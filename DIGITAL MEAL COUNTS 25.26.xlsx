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30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Dining/Dine and Connect/Forecasts/2021-22/Greeter copy count book /"/>
    </mc:Choice>
  </mc:AlternateContent>
  <xr:revisionPtr revIDLastSave="0" documentId="8_{147E5B40-4091-447F-8287-443967DC8490}" xr6:coauthVersionLast="47" xr6:coauthVersionMax="47" xr10:uidLastSave="{00000000-0000-0000-0000-000000000000}"/>
  <bookViews>
    <workbookView xWindow="16640" yWindow="1600" windowWidth="15080" windowHeight="15100" tabRatio="826" firstSheet="9" activeTab="9" xr2:uid="{00000000-000D-0000-FFFF-FFFF00000000}"/>
  </bookViews>
  <sheets>
    <sheet name="AVE WEEKLY COUNTS AT GLANCE" sheetId="26" r:id="rId1"/>
    <sheet name="AUGUST WK 1" sheetId="52" r:id="rId2"/>
    <sheet name="AUGUST WK 2" sheetId="51" r:id="rId3"/>
    <sheet name="AUGUST WK 3" sheetId="50" r:id="rId4"/>
    <sheet name="AUGUST WK 4" sheetId="32" r:id="rId5"/>
    <sheet name="OPENING WEEK 1" sheetId="1" r:id="rId6"/>
    <sheet name="Week 2" sheetId="2" r:id="rId7"/>
    <sheet name="Week 3" sheetId="3" r:id="rId8"/>
    <sheet name="Week 4" sheetId="4" r:id="rId9"/>
    <sheet name="Week 5" sheetId="5" r:id="rId10"/>
    <sheet name="Average w3-5" sheetId="22" r:id="rId11"/>
    <sheet name="Week 6" sheetId="6" r:id="rId12"/>
    <sheet name="Week 7" sheetId="7" r:id="rId13"/>
    <sheet name="Week 8" sheetId="8" r:id="rId14"/>
    <sheet name="Week 9" sheetId="9" r:id="rId15"/>
    <sheet name="Average w6-9" sheetId="23" r:id="rId16"/>
    <sheet name="Week 10" sheetId="10" r:id="rId17"/>
    <sheet name="Week 11" sheetId="11" r:id="rId18"/>
    <sheet name="Week 12" sheetId="12" r:id="rId19"/>
    <sheet name="Week 13" sheetId="13" r:id="rId20"/>
    <sheet name="Average w10-13" sheetId="24" r:id="rId21"/>
    <sheet name="Week 14" sheetId="14" r:id="rId22"/>
    <sheet name="Week 15" sheetId="15" r:id="rId23"/>
    <sheet name="Week 16" sheetId="16" r:id="rId24"/>
    <sheet name="Week 17" sheetId="17" r:id="rId25"/>
    <sheet name="Week 18" sheetId="31" r:id="rId26"/>
    <sheet name="Opening" sheetId="27" r:id="rId27"/>
    <sheet name="Week 1" sheetId="29" r:id="rId28"/>
    <sheet name="Week. 2" sheetId="30" r:id="rId29"/>
    <sheet name="Week. 3" sheetId="35" r:id="rId30"/>
    <sheet name="Week. 4" sheetId="34" r:id="rId31"/>
    <sheet name="Week. 5" sheetId="36" r:id="rId32"/>
    <sheet name="Week. 6" sheetId="33" r:id="rId33"/>
    <sheet name="Week. 7" sheetId="42" r:id="rId34"/>
    <sheet name="Week. 8" sheetId="41" r:id="rId35"/>
    <sheet name="Week. 9" sheetId="40" r:id="rId36"/>
    <sheet name="Week. 10" sheetId="39" r:id="rId37"/>
    <sheet name="Week. 11" sheetId="38" r:id="rId38"/>
    <sheet name="Week. 12" sheetId="37" r:id="rId39"/>
    <sheet name="Week. 13" sheetId="44" r:id="rId40"/>
    <sheet name="Week. 14" sheetId="43" r:id="rId41"/>
    <sheet name="Week. 1 Spring" sheetId="45" r:id="rId42"/>
    <sheet name="Week. 2 Spring " sheetId="46" r:id="rId43"/>
    <sheet name="Week. 3 Spring " sheetId="47" r:id="rId44"/>
    <sheet name="Week. 4 Spring " sheetId="48" r:id="rId45"/>
    <sheet name="Week. 5 Spring " sheetId="49" r:id="rId46"/>
    <sheet name="Feuil1" sheetId="53" r:id="rId47"/>
  </sheets>
  <definedNames>
    <definedName name="_xlnm.Print_Area" localSheetId="5">'OPENING WEEK 1'!$A$2:$H$52</definedName>
    <definedName name="_xlnm.Print_Area" localSheetId="4">'AUGUST WK 4'!$A$2:$H$52</definedName>
    <definedName name="_xlnm.Print_Area" localSheetId="3">'AUGUST WK 3'!$A$2:$H$52</definedName>
    <definedName name="_xlnm.Print_Area" localSheetId="2">'AUGUST WK 2'!$A$2:$H$52</definedName>
    <definedName name="_xlnm.Print_Area" localSheetId="1">'AUGUST WK 1'!$A$2:$H$52</definedName>
    <definedName name="_xlnm.Print_Area" localSheetId="16">'Week 10'!$A$1:$H$52</definedName>
    <definedName name="_xlnm.Print_Area" localSheetId="17">'Week 11'!$A$1:$H$52</definedName>
    <definedName name="_xlnm.Print_Area" localSheetId="18">'Week 12'!$A$1:$H$52</definedName>
    <definedName name="_xlnm.Print_Area" localSheetId="19">'Week 13'!$A$1:$H$52</definedName>
    <definedName name="_xlnm.Print_Area" localSheetId="21">'Week 14'!$A$1:$H$52</definedName>
    <definedName name="_xlnm.Print_Area" localSheetId="22">'Week 15'!$A$1:$H$52</definedName>
    <definedName name="_xlnm.Print_Area" localSheetId="11">'Week 6'!$A$1:$H$52</definedName>
    <definedName name="_xlnm.Print_Area" localSheetId="12">'Week 7'!$A$1:$H$53</definedName>
    <definedName name="_xlnm.Print_Area" localSheetId="13">'Week 8'!$A$1:$H$52</definedName>
    <definedName name="_xlnm.Print_Area" localSheetId="14">'Week 9'!$A$1:$H$52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2" l="1"/>
  <c r="E33" i="2"/>
  <c r="F33" i="2"/>
  <c r="G33" i="2"/>
  <c r="H33" i="2"/>
  <c r="D3" i="27"/>
  <c r="E3" i="27"/>
  <c r="F3" i="27"/>
  <c r="G3" i="27"/>
  <c r="H3" i="27"/>
  <c r="C3" i="27"/>
  <c r="B3" i="27"/>
  <c r="E3" i="15"/>
  <c r="B3" i="15"/>
  <c r="C3" i="15"/>
  <c r="B8" i="24"/>
  <c r="C8" i="24"/>
  <c r="D8" i="24"/>
  <c r="E8" i="24"/>
  <c r="F8" i="24"/>
  <c r="G8" i="24"/>
  <c r="H8" i="24"/>
  <c r="B33" i="11"/>
  <c r="C33" i="11"/>
  <c r="D33" i="11"/>
  <c r="E33" i="11"/>
  <c r="F33" i="11"/>
  <c r="G33" i="11"/>
  <c r="H21" i="5"/>
  <c r="H53" i="52"/>
  <c r="H33" i="52"/>
  <c r="G33" i="52"/>
  <c r="F33" i="52"/>
  <c r="E33" i="52"/>
  <c r="D33" i="52"/>
  <c r="C33" i="52"/>
  <c r="B33" i="52"/>
  <c r="H27" i="52"/>
  <c r="H28" i="52" s="1"/>
  <c r="G27" i="52"/>
  <c r="G28" i="52" s="1"/>
  <c r="F27" i="52"/>
  <c r="F28" i="52" s="1"/>
  <c r="E27" i="52"/>
  <c r="E28" i="52" s="1"/>
  <c r="D27" i="52"/>
  <c r="D28" i="52" s="1"/>
  <c r="C27" i="52"/>
  <c r="C28" i="52" s="1"/>
  <c r="B27" i="52"/>
  <c r="B28" i="52" s="1"/>
  <c r="H21" i="52"/>
  <c r="H22" i="52" s="1"/>
  <c r="G21" i="52"/>
  <c r="G22" i="52" s="1"/>
  <c r="F21" i="52"/>
  <c r="F22" i="52" s="1"/>
  <c r="E21" i="52"/>
  <c r="D21" i="52"/>
  <c r="C21" i="52"/>
  <c r="C22" i="52" s="1"/>
  <c r="B21" i="52"/>
  <c r="B22" i="52" s="1"/>
  <c r="A19" i="52"/>
  <c r="H14" i="52"/>
  <c r="G14" i="52"/>
  <c r="F14" i="52"/>
  <c r="E14" i="52"/>
  <c r="D14" i="52"/>
  <c r="C14" i="52"/>
  <c r="B14" i="52"/>
  <c r="H8" i="52"/>
  <c r="G8" i="52"/>
  <c r="F8" i="52"/>
  <c r="E8" i="52"/>
  <c r="D8" i="52"/>
  <c r="C8" i="52"/>
  <c r="B8" i="52"/>
  <c r="H9" i="52" s="1"/>
  <c r="C3" i="52"/>
  <c r="D3" i="52" s="1"/>
  <c r="E3" i="52" s="1"/>
  <c r="F3" i="52" s="1"/>
  <c r="G3" i="52" s="1"/>
  <c r="H3" i="52" s="1"/>
  <c r="H53" i="51"/>
  <c r="H33" i="51"/>
  <c r="G33" i="51"/>
  <c r="F33" i="51"/>
  <c r="E33" i="51"/>
  <c r="D33" i="51"/>
  <c r="C33" i="51"/>
  <c r="B33" i="51"/>
  <c r="H27" i="51"/>
  <c r="H28" i="51" s="1"/>
  <c r="G27" i="51"/>
  <c r="G28" i="51" s="1"/>
  <c r="F27" i="51"/>
  <c r="F28" i="51" s="1"/>
  <c r="E27" i="51"/>
  <c r="E28" i="51" s="1"/>
  <c r="D27" i="51"/>
  <c r="D28" i="51" s="1"/>
  <c r="C27" i="51"/>
  <c r="C28" i="51" s="1"/>
  <c r="B27" i="51"/>
  <c r="B28" i="51" s="1"/>
  <c r="H21" i="51"/>
  <c r="H22" i="51" s="1"/>
  <c r="G21" i="51"/>
  <c r="G22" i="51" s="1"/>
  <c r="F21" i="51"/>
  <c r="F22" i="51" s="1"/>
  <c r="E21" i="51"/>
  <c r="D21" i="51"/>
  <c r="C21" i="51"/>
  <c r="C22" i="51" s="1"/>
  <c r="B21" i="51"/>
  <c r="B22" i="51" s="1"/>
  <c r="A19" i="51"/>
  <c r="H14" i="51"/>
  <c r="G14" i="51"/>
  <c r="F14" i="51"/>
  <c r="E14" i="51"/>
  <c r="D14" i="51"/>
  <c r="C14" i="51"/>
  <c r="B14" i="51"/>
  <c r="H8" i="51"/>
  <c r="G8" i="51"/>
  <c r="F8" i="51"/>
  <c r="E8" i="51"/>
  <c r="D8" i="51"/>
  <c r="C8" i="51"/>
  <c r="B8" i="51"/>
  <c r="H9" i="51" s="1"/>
  <c r="C3" i="51"/>
  <c r="D3" i="51" s="1"/>
  <c r="E3" i="51" s="1"/>
  <c r="F3" i="51" s="1"/>
  <c r="G3" i="51" s="1"/>
  <c r="H3" i="51" s="1"/>
  <c r="H53" i="50"/>
  <c r="H33" i="50"/>
  <c r="G33" i="50"/>
  <c r="F33" i="50"/>
  <c r="E33" i="50"/>
  <c r="D33" i="50"/>
  <c r="C33" i="50"/>
  <c r="B33" i="50"/>
  <c r="H27" i="50"/>
  <c r="H28" i="50" s="1"/>
  <c r="G27" i="50"/>
  <c r="G28" i="50" s="1"/>
  <c r="F27" i="50"/>
  <c r="F28" i="50" s="1"/>
  <c r="E27" i="50"/>
  <c r="E28" i="50" s="1"/>
  <c r="D27" i="50"/>
  <c r="D28" i="50" s="1"/>
  <c r="C27" i="50"/>
  <c r="C28" i="50" s="1"/>
  <c r="B27" i="50"/>
  <c r="B28" i="50" s="1"/>
  <c r="H21" i="50"/>
  <c r="H22" i="50" s="1"/>
  <c r="G21" i="50"/>
  <c r="G22" i="50" s="1"/>
  <c r="F21" i="50"/>
  <c r="F22" i="50" s="1"/>
  <c r="E21" i="50"/>
  <c r="D21" i="50"/>
  <c r="C21" i="50"/>
  <c r="C22" i="50" s="1"/>
  <c r="B21" i="50"/>
  <c r="B22" i="50" s="1"/>
  <c r="A19" i="50"/>
  <c r="H14" i="50"/>
  <c r="G14" i="50"/>
  <c r="F14" i="50"/>
  <c r="E14" i="50"/>
  <c r="D14" i="50"/>
  <c r="C14" i="50"/>
  <c r="B14" i="50"/>
  <c r="H8" i="50"/>
  <c r="G8" i="50"/>
  <c r="F8" i="50"/>
  <c r="E8" i="50"/>
  <c r="D8" i="50"/>
  <c r="C8" i="50"/>
  <c r="B8" i="50"/>
  <c r="H9" i="50" s="1"/>
  <c r="C3" i="50"/>
  <c r="D3" i="50" s="1"/>
  <c r="E3" i="50" s="1"/>
  <c r="F3" i="50" s="1"/>
  <c r="G3" i="50" s="1"/>
  <c r="H3" i="50" s="1"/>
  <c r="C3" i="32"/>
  <c r="D3" i="32" s="1"/>
  <c r="E3" i="32" s="1"/>
  <c r="F3" i="32" s="1"/>
  <c r="G3" i="32" s="1"/>
  <c r="H3" i="32" s="1"/>
  <c r="B3" i="1" s="1"/>
  <c r="C3" i="1" s="1"/>
  <c r="D3" i="1" s="1"/>
  <c r="E3" i="1" s="1"/>
  <c r="F3" i="1" s="1"/>
  <c r="G3" i="1" s="1"/>
  <c r="H3" i="1" s="1"/>
  <c r="B3" i="2"/>
  <c r="B3" i="29"/>
  <c r="B2" i="29" s="1"/>
  <c r="A19" i="32"/>
  <c r="A19" i="12"/>
  <c r="A25" i="12" s="1"/>
  <c r="A31" i="12" s="1"/>
  <c r="A19" i="13" s="1"/>
  <c r="A25" i="13" s="1"/>
  <c r="A31" i="13" s="1"/>
  <c r="A19" i="24" s="1"/>
  <c r="A25" i="24" s="1"/>
  <c r="A25" i="11"/>
  <c r="A19" i="11"/>
  <c r="A31" i="10"/>
  <c r="A25" i="10"/>
  <c r="A19" i="10"/>
  <c r="A31" i="23"/>
  <c r="A25" i="23"/>
  <c r="A19" i="23"/>
  <c r="A31" i="9"/>
  <c r="A30" i="9"/>
  <c r="A25" i="9"/>
  <c r="A24" i="9"/>
  <c r="A19" i="9"/>
  <c r="A31" i="8"/>
  <c r="A25" i="8"/>
  <c r="A19" i="8"/>
  <c r="A32" i="7"/>
  <c r="A19" i="7"/>
  <c r="A25" i="7"/>
  <c r="A31" i="6"/>
  <c r="A25" i="6"/>
  <c r="A19" i="6"/>
  <c r="A31" i="22"/>
  <c r="A30" i="22"/>
  <c r="A25" i="22"/>
  <c r="A24" i="22"/>
  <c r="A19" i="22"/>
  <c r="A18" i="22"/>
  <c r="A31" i="5"/>
  <c r="A30" i="5"/>
  <c r="A25" i="5"/>
  <c r="A26" i="5"/>
  <c r="A32" i="5" s="1"/>
  <c r="A20" i="22" s="1"/>
  <c r="A26" i="22" s="1"/>
  <c r="A32" i="22" s="1"/>
  <c r="A20" i="6" s="1"/>
  <c r="A26" i="6" s="1"/>
  <c r="A24" i="5"/>
  <c r="A19" i="5"/>
  <c r="A18" i="5"/>
  <c r="A31" i="4"/>
  <c r="A32" i="4"/>
  <c r="A30" i="4"/>
  <c r="A25" i="4"/>
  <c r="A26" i="4"/>
  <c r="A24" i="4"/>
  <c r="A19" i="4"/>
  <c r="A20" i="4"/>
  <c r="A18" i="4"/>
  <c r="A32" i="3"/>
  <c r="A31" i="3"/>
  <c r="A26" i="3"/>
  <c r="A25" i="3"/>
  <c r="A24" i="3"/>
  <c r="A26" i="2"/>
  <c r="A27" i="2"/>
  <c r="A28" i="2"/>
  <c r="A29" i="2"/>
  <c r="A30" i="2"/>
  <c r="A31" i="2"/>
  <c r="A32" i="2"/>
  <c r="A25" i="2"/>
  <c r="A20" i="2"/>
  <c r="A19" i="2"/>
  <c r="H53" i="49"/>
  <c r="H33" i="49"/>
  <c r="G33" i="49"/>
  <c r="F33" i="49"/>
  <c r="E33" i="49"/>
  <c r="D33" i="49"/>
  <c r="C33" i="49"/>
  <c r="B33" i="49"/>
  <c r="H27" i="49"/>
  <c r="H28" i="49" s="1"/>
  <c r="G27" i="49"/>
  <c r="G28" i="49" s="1"/>
  <c r="F27" i="49"/>
  <c r="F28" i="49" s="1"/>
  <c r="E27" i="49"/>
  <c r="E28" i="49" s="1"/>
  <c r="D27" i="49"/>
  <c r="D28" i="49" s="1"/>
  <c r="C27" i="49"/>
  <c r="C28" i="49" s="1"/>
  <c r="B27" i="49"/>
  <c r="B28" i="49" s="1"/>
  <c r="H21" i="49"/>
  <c r="H22" i="49" s="1"/>
  <c r="G21" i="49"/>
  <c r="G22" i="49" s="1"/>
  <c r="F21" i="49"/>
  <c r="F22" i="49" s="1"/>
  <c r="C21" i="49"/>
  <c r="C22" i="49" s="1"/>
  <c r="B21" i="49"/>
  <c r="B22" i="49" s="1"/>
  <c r="H14" i="49"/>
  <c r="G14" i="49"/>
  <c r="F14" i="49"/>
  <c r="E14" i="49"/>
  <c r="D14" i="49"/>
  <c r="C14" i="49"/>
  <c r="B14" i="49"/>
  <c r="H8" i="49"/>
  <c r="G8" i="49"/>
  <c r="F8" i="49"/>
  <c r="E8" i="49"/>
  <c r="D8" i="49"/>
  <c r="C8" i="49"/>
  <c r="B8" i="49"/>
  <c r="H9" i="49" s="1"/>
  <c r="H53" i="48"/>
  <c r="H33" i="48"/>
  <c r="G33" i="48"/>
  <c r="F33" i="48"/>
  <c r="E33" i="48"/>
  <c r="D33" i="48"/>
  <c r="C33" i="48"/>
  <c r="B33" i="48"/>
  <c r="H27" i="48"/>
  <c r="H28" i="48" s="1"/>
  <c r="G27" i="48"/>
  <c r="G28" i="48" s="1"/>
  <c r="F27" i="48"/>
  <c r="F28" i="48" s="1"/>
  <c r="E27" i="48"/>
  <c r="E28" i="48" s="1"/>
  <c r="D27" i="48"/>
  <c r="D28" i="48" s="1"/>
  <c r="C27" i="48"/>
  <c r="C28" i="48" s="1"/>
  <c r="B27" i="48"/>
  <c r="B28" i="48" s="1"/>
  <c r="H21" i="48"/>
  <c r="H22" i="48" s="1"/>
  <c r="G21" i="48"/>
  <c r="G22" i="48" s="1"/>
  <c r="F21" i="48"/>
  <c r="F22" i="48" s="1"/>
  <c r="C21" i="48"/>
  <c r="C22" i="48" s="1"/>
  <c r="B21" i="48"/>
  <c r="B22" i="48" s="1"/>
  <c r="H14" i="48"/>
  <c r="G14" i="48"/>
  <c r="F14" i="48"/>
  <c r="E14" i="48"/>
  <c r="D14" i="48"/>
  <c r="C14" i="48"/>
  <c r="B14" i="48"/>
  <c r="H8" i="48"/>
  <c r="G8" i="48"/>
  <c r="F8" i="48"/>
  <c r="E8" i="48"/>
  <c r="D8" i="48"/>
  <c r="C8" i="48"/>
  <c r="B8" i="48"/>
  <c r="H9" i="48" s="1"/>
  <c r="H53" i="47"/>
  <c r="H33" i="47"/>
  <c r="G33" i="47"/>
  <c r="F33" i="47"/>
  <c r="E33" i="47"/>
  <c r="D33" i="47"/>
  <c r="C33" i="47"/>
  <c r="B33" i="47"/>
  <c r="H27" i="47"/>
  <c r="H28" i="47" s="1"/>
  <c r="G27" i="47"/>
  <c r="G28" i="47" s="1"/>
  <c r="F27" i="47"/>
  <c r="F28" i="47" s="1"/>
  <c r="E27" i="47"/>
  <c r="E28" i="47" s="1"/>
  <c r="D27" i="47"/>
  <c r="D28" i="47" s="1"/>
  <c r="C27" i="47"/>
  <c r="C28" i="47" s="1"/>
  <c r="B27" i="47"/>
  <c r="B28" i="47" s="1"/>
  <c r="H21" i="47"/>
  <c r="H22" i="47" s="1"/>
  <c r="G21" i="47"/>
  <c r="G22" i="47" s="1"/>
  <c r="F21" i="47"/>
  <c r="F22" i="47" s="1"/>
  <c r="C21" i="47"/>
  <c r="C22" i="47" s="1"/>
  <c r="B21" i="47"/>
  <c r="B22" i="47" s="1"/>
  <c r="H14" i="47"/>
  <c r="G14" i="47"/>
  <c r="F14" i="47"/>
  <c r="E14" i="47"/>
  <c r="D14" i="47"/>
  <c r="C14" i="47"/>
  <c r="B14" i="47"/>
  <c r="H8" i="47"/>
  <c r="G8" i="47"/>
  <c r="F8" i="47"/>
  <c r="E8" i="47"/>
  <c r="D8" i="47"/>
  <c r="C8" i="47"/>
  <c r="B8" i="47"/>
  <c r="H9" i="47" s="1"/>
  <c r="H53" i="46"/>
  <c r="H33" i="46"/>
  <c r="G33" i="46"/>
  <c r="F33" i="46"/>
  <c r="E33" i="46"/>
  <c r="D33" i="46"/>
  <c r="C33" i="46"/>
  <c r="B33" i="46"/>
  <c r="H27" i="46"/>
  <c r="H28" i="46" s="1"/>
  <c r="G27" i="46"/>
  <c r="G28" i="46" s="1"/>
  <c r="F27" i="46"/>
  <c r="F28" i="46" s="1"/>
  <c r="E27" i="46"/>
  <c r="E28" i="46" s="1"/>
  <c r="D27" i="46"/>
  <c r="D28" i="46" s="1"/>
  <c r="C27" i="46"/>
  <c r="C28" i="46" s="1"/>
  <c r="B27" i="46"/>
  <c r="B28" i="46" s="1"/>
  <c r="H21" i="46"/>
  <c r="H22" i="46" s="1"/>
  <c r="G21" i="46"/>
  <c r="G22" i="46" s="1"/>
  <c r="F21" i="46"/>
  <c r="F22" i="46" s="1"/>
  <c r="C21" i="46"/>
  <c r="C22" i="46" s="1"/>
  <c r="B21" i="46"/>
  <c r="B22" i="46" s="1"/>
  <c r="H14" i="46"/>
  <c r="G14" i="46"/>
  <c r="F14" i="46"/>
  <c r="E14" i="46"/>
  <c r="D14" i="46"/>
  <c r="C14" i="46"/>
  <c r="B14" i="46"/>
  <c r="H8" i="46"/>
  <c r="G8" i="46"/>
  <c r="F8" i="46"/>
  <c r="E8" i="46"/>
  <c r="D8" i="46"/>
  <c r="C8" i="46"/>
  <c r="B8" i="46"/>
  <c r="H9" i="46" s="1"/>
  <c r="H53" i="45"/>
  <c r="H33" i="45"/>
  <c r="G33" i="45"/>
  <c r="F33" i="45"/>
  <c r="E33" i="45"/>
  <c r="D33" i="45"/>
  <c r="C33" i="45"/>
  <c r="B33" i="45"/>
  <c r="H27" i="45"/>
  <c r="H28" i="45" s="1"/>
  <c r="G27" i="45"/>
  <c r="G28" i="45" s="1"/>
  <c r="F27" i="45"/>
  <c r="F28" i="45" s="1"/>
  <c r="E27" i="45"/>
  <c r="E28" i="45" s="1"/>
  <c r="D27" i="45"/>
  <c r="D28" i="45" s="1"/>
  <c r="C27" i="45"/>
  <c r="C28" i="45" s="1"/>
  <c r="B27" i="45"/>
  <c r="B28" i="45" s="1"/>
  <c r="H21" i="45"/>
  <c r="H22" i="45" s="1"/>
  <c r="G21" i="45"/>
  <c r="G22" i="45" s="1"/>
  <c r="F21" i="45"/>
  <c r="F22" i="45" s="1"/>
  <c r="C21" i="45"/>
  <c r="C22" i="45" s="1"/>
  <c r="B21" i="45"/>
  <c r="B22" i="45" s="1"/>
  <c r="H14" i="45"/>
  <c r="G14" i="45"/>
  <c r="F14" i="45"/>
  <c r="E14" i="45"/>
  <c r="D14" i="45"/>
  <c r="C14" i="45"/>
  <c r="B14" i="45"/>
  <c r="H8" i="45"/>
  <c r="G8" i="45"/>
  <c r="F8" i="45"/>
  <c r="E8" i="45"/>
  <c r="D8" i="45"/>
  <c r="C8" i="45"/>
  <c r="B8" i="45"/>
  <c r="H9" i="45" s="1"/>
  <c r="H53" i="44"/>
  <c r="H33" i="44"/>
  <c r="G33" i="44"/>
  <c r="F33" i="44"/>
  <c r="E33" i="44"/>
  <c r="D33" i="44"/>
  <c r="C33" i="44"/>
  <c r="B33" i="44"/>
  <c r="H27" i="44"/>
  <c r="H28" i="44" s="1"/>
  <c r="G27" i="44"/>
  <c r="G28" i="44" s="1"/>
  <c r="F27" i="44"/>
  <c r="F28" i="44" s="1"/>
  <c r="E27" i="44"/>
  <c r="E28" i="44" s="1"/>
  <c r="D27" i="44"/>
  <c r="D28" i="44" s="1"/>
  <c r="C27" i="44"/>
  <c r="C28" i="44" s="1"/>
  <c r="B27" i="44"/>
  <c r="B28" i="44" s="1"/>
  <c r="H21" i="44"/>
  <c r="H22" i="44" s="1"/>
  <c r="G21" i="44"/>
  <c r="G22" i="44" s="1"/>
  <c r="F21" i="44"/>
  <c r="F22" i="44" s="1"/>
  <c r="C21" i="44"/>
  <c r="C22" i="44" s="1"/>
  <c r="B21" i="44"/>
  <c r="B22" i="44" s="1"/>
  <c r="H14" i="44"/>
  <c r="G14" i="44"/>
  <c r="F14" i="44"/>
  <c r="E14" i="44"/>
  <c r="D14" i="44"/>
  <c r="C14" i="44"/>
  <c r="B14" i="44"/>
  <c r="H8" i="44"/>
  <c r="G8" i="44"/>
  <c r="F8" i="44"/>
  <c r="E8" i="44"/>
  <c r="D8" i="44"/>
  <c r="C8" i="44"/>
  <c r="B8" i="44"/>
  <c r="H9" i="44" s="1"/>
  <c r="H53" i="43"/>
  <c r="H33" i="43"/>
  <c r="G33" i="43"/>
  <c r="F33" i="43"/>
  <c r="E33" i="43"/>
  <c r="D33" i="43"/>
  <c r="C33" i="43"/>
  <c r="B33" i="43"/>
  <c r="H27" i="43"/>
  <c r="H28" i="43" s="1"/>
  <c r="G27" i="43"/>
  <c r="G28" i="43" s="1"/>
  <c r="F27" i="43"/>
  <c r="F28" i="43" s="1"/>
  <c r="E27" i="43"/>
  <c r="E28" i="43" s="1"/>
  <c r="D27" i="43"/>
  <c r="D28" i="43" s="1"/>
  <c r="C27" i="43"/>
  <c r="C28" i="43" s="1"/>
  <c r="B27" i="43"/>
  <c r="B28" i="43" s="1"/>
  <c r="H21" i="43"/>
  <c r="H22" i="43" s="1"/>
  <c r="G21" i="43"/>
  <c r="G22" i="43" s="1"/>
  <c r="F21" i="43"/>
  <c r="F22" i="43" s="1"/>
  <c r="C21" i="43"/>
  <c r="C22" i="43" s="1"/>
  <c r="B21" i="43"/>
  <c r="B22" i="43" s="1"/>
  <c r="H14" i="43"/>
  <c r="G14" i="43"/>
  <c r="F14" i="43"/>
  <c r="E14" i="43"/>
  <c r="D14" i="43"/>
  <c r="C14" i="43"/>
  <c r="B14" i="43"/>
  <c r="H8" i="43"/>
  <c r="G8" i="43"/>
  <c r="F8" i="43"/>
  <c r="E8" i="43"/>
  <c r="D8" i="43"/>
  <c r="C8" i="43"/>
  <c r="B8" i="43"/>
  <c r="H9" i="43" s="1"/>
  <c r="H53" i="42"/>
  <c r="H33" i="42"/>
  <c r="G33" i="42"/>
  <c r="F33" i="42"/>
  <c r="E33" i="42"/>
  <c r="D33" i="42"/>
  <c r="C33" i="42"/>
  <c r="B33" i="42"/>
  <c r="H27" i="42"/>
  <c r="H28" i="42" s="1"/>
  <c r="G27" i="42"/>
  <c r="G28" i="42" s="1"/>
  <c r="F27" i="42"/>
  <c r="F28" i="42" s="1"/>
  <c r="E27" i="42"/>
  <c r="E28" i="42" s="1"/>
  <c r="D27" i="42"/>
  <c r="D28" i="42" s="1"/>
  <c r="C27" i="42"/>
  <c r="C28" i="42" s="1"/>
  <c r="B27" i="42"/>
  <c r="B28" i="42" s="1"/>
  <c r="H21" i="42"/>
  <c r="H22" i="42" s="1"/>
  <c r="G21" i="42"/>
  <c r="G22" i="42" s="1"/>
  <c r="F21" i="42"/>
  <c r="F22" i="42" s="1"/>
  <c r="C21" i="42"/>
  <c r="C22" i="42" s="1"/>
  <c r="B21" i="42"/>
  <c r="B22" i="42" s="1"/>
  <c r="H14" i="42"/>
  <c r="G14" i="42"/>
  <c r="F14" i="42"/>
  <c r="E14" i="42"/>
  <c r="D14" i="42"/>
  <c r="C14" i="42"/>
  <c r="B14" i="42"/>
  <c r="H8" i="42"/>
  <c r="G8" i="42"/>
  <c r="F8" i="42"/>
  <c r="E8" i="42"/>
  <c r="D8" i="42"/>
  <c r="C8" i="42"/>
  <c r="B8" i="42"/>
  <c r="H9" i="42" s="1"/>
  <c r="H53" i="41"/>
  <c r="H33" i="41"/>
  <c r="G33" i="41"/>
  <c r="F33" i="41"/>
  <c r="E33" i="41"/>
  <c r="D33" i="41"/>
  <c r="C33" i="41"/>
  <c r="B33" i="41"/>
  <c r="H27" i="41"/>
  <c r="H28" i="41" s="1"/>
  <c r="G27" i="41"/>
  <c r="G28" i="41" s="1"/>
  <c r="F27" i="41"/>
  <c r="F28" i="41" s="1"/>
  <c r="E27" i="41"/>
  <c r="E28" i="41" s="1"/>
  <c r="D27" i="41"/>
  <c r="D28" i="41" s="1"/>
  <c r="C27" i="41"/>
  <c r="C28" i="41" s="1"/>
  <c r="B27" i="41"/>
  <c r="B28" i="41" s="1"/>
  <c r="H21" i="41"/>
  <c r="H22" i="41" s="1"/>
  <c r="G21" i="41"/>
  <c r="G22" i="41" s="1"/>
  <c r="F21" i="41"/>
  <c r="F22" i="41" s="1"/>
  <c r="C21" i="41"/>
  <c r="C22" i="41" s="1"/>
  <c r="B21" i="41"/>
  <c r="B22" i="41" s="1"/>
  <c r="H14" i="41"/>
  <c r="G14" i="41"/>
  <c r="F14" i="41"/>
  <c r="E14" i="41"/>
  <c r="D14" i="41"/>
  <c r="C14" i="41"/>
  <c r="B14" i="41"/>
  <c r="H8" i="41"/>
  <c r="G8" i="41"/>
  <c r="F8" i="41"/>
  <c r="E8" i="41"/>
  <c r="D8" i="41"/>
  <c r="C8" i="41"/>
  <c r="B8" i="41"/>
  <c r="H9" i="41" s="1"/>
  <c r="H53" i="40"/>
  <c r="H33" i="40"/>
  <c r="G33" i="40"/>
  <c r="F33" i="40"/>
  <c r="E33" i="40"/>
  <c r="D33" i="40"/>
  <c r="C33" i="40"/>
  <c r="B33" i="40"/>
  <c r="H27" i="40"/>
  <c r="H28" i="40" s="1"/>
  <c r="G27" i="40"/>
  <c r="G28" i="40" s="1"/>
  <c r="F27" i="40"/>
  <c r="F28" i="40" s="1"/>
  <c r="E27" i="40"/>
  <c r="E28" i="40" s="1"/>
  <c r="D27" i="40"/>
  <c r="D28" i="40" s="1"/>
  <c r="C27" i="40"/>
  <c r="C28" i="40" s="1"/>
  <c r="B27" i="40"/>
  <c r="B28" i="40" s="1"/>
  <c r="H21" i="40"/>
  <c r="H22" i="40" s="1"/>
  <c r="G21" i="40"/>
  <c r="G22" i="40" s="1"/>
  <c r="F21" i="40"/>
  <c r="F22" i="40" s="1"/>
  <c r="C21" i="40"/>
  <c r="C22" i="40" s="1"/>
  <c r="B21" i="40"/>
  <c r="B22" i="40" s="1"/>
  <c r="H14" i="40"/>
  <c r="G14" i="40"/>
  <c r="F14" i="40"/>
  <c r="E14" i="40"/>
  <c r="D14" i="40"/>
  <c r="C14" i="40"/>
  <c r="B14" i="40"/>
  <c r="H8" i="40"/>
  <c r="G8" i="40"/>
  <c r="F8" i="40"/>
  <c r="E8" i="40"/>
  <c r="D8" i="40"/>
  <c r="C8" i="40"/>
  <c r="B8" i="40"/>
  <c r="H9" i="40" s="1"/>
  <c r="H53" i="39"/>
  <c r="H33" i="39"/>
  <c r="G33" i="39"/>
  <c r="F33" i="39"/>
  <c r="E33" i="39"/>
  <c r="D33" i="39"/>
  <c r="C33" i="39"/>
  <c r="B33" i="39"/>
  <c r="H27" i="39"/>
  <c r="H28" i="39" s="1"/>
  <c r="G27" i="39"/>
  <c r="G28" i="39" s="1"/>
  <c r="F27" i="39"/>
  <c r="F28" i="39" s="1"/>
  <c r="E27" i="39"/>
  <c r="E28" i="39" s="1"/>
  <c r="D27" i="39"/>
  <c r="D28" i="39" s="1"/>
  <c r="C27" i="39"/>
  <c r="C28" i="39" s="1"/>
  <c r="B27" i="39"/>
  <c r="B28" i="39" s="1"/>
  <c r="H21" i="39"/>
  <c r="H22" i="39" s="1"/>
  <c r="G21" i="39"/>
  <c r="G22" i="39" s="1"/>
  <c r="F21" i="39"/>
  <c r="F22" i="39" s="1"/>
  <c r="C21" i="39"/>
  <c r="C22" i="39" s="1"/>
  <c r="B21" i="39"/>
  <c r="B22" i="39" s="1"/>
  <c r="H14" i="39"/>
  <c r="G14" i="39"/>
  <c r="F14" i="39"/>
  <c r="E14" i="39"/>
  <c r="D14" i="39"/>
  <c r="C14" i="39"/>
  <c r="B14" i="39"/>
  <c r="H8" i="39"/>
  <c r="G8" i="39"/>
  <c r="F8" i="39"/>
  <c r="E8" i="39"/>
  <c r="D8" i="39"/>
  <c r="C8" i="39"/>
  <c r="B8" i="39"/>
  <c r="H9" i="39" s="1"/>
  <c r="H53" i="38"/>
  <c r="H33" i="38"/>
  <c r="G33" i="38"/>
  <c r="F33" i="38"/>
  <c r="E33" i="38"/>
  <c r="D33" i="38"/>
  <c r="C33" i="38"/>
  <c r="B33" i="38"/>
  <c r="H27" i="38"/>
  <c r="H28" i="38" s="1"/>
  <c r="G27" i="38"/>
  <c r="G28" i="38" s="1"/>
  <c r="F27" i="38"/>
  <c r="F28" i="38" s="1"/>
  <c r="E27" i="38"/>
  <c r="E28" i="38" s="1"/>
  <c r="D27" i="38"/>
  <c r="D28" i="38" s="1"/>
  <c r="C27" i="38"/>
  <c r="C28" i="38" s="1"/>
  <c r="B27" i="38"/>
  <c r="B28" i="38" s="1"/>
  <c r="H21" i="38"/>
  <c r="H22" i="38" s="1"/>
  <c r="G21" i="38"/>
  <c r="G22" i="38" s="1"/>
  <c r="F21" i="38"/>
  <c r="F22" i="38" s="1"/>
  <c r="C21" i="38"/>
  <c r="C22" i="38" s="1"/>
  <c r="B21" i="38"/>
  <c r="B22" i="38" s="1"/>
  <c r="H14" i="38"/>
  <c r="G14" i="38"/>
  <c r="F14" i="38"/>
  <c r="E14" i="38"/>
  <c r="D14" i="38"/>
  <c r="C14" i="38"/>
  <c r="B14" i="38"/>
  <c r="H8" i="38"/>
  <c r="G8" i="38"/>
  <c r="F8" i="38"/>
  <c r="E8" i="38"/>
  <c r="D8" i="38"/>
  <c r="C8" i="38"/>
  <c r="B8" i="38"/>
  <c r="H9" i="38" s="1"/>
  <c r="H53" i="37"/>
  <c r="H33" i="37"/>
  <c r="G33" i="37"/>
  <c r="F33" i="37"/>
  <c r="E33" i="37"/>
  <c r="D33" i="37"/>
  <c r="C33" i="37"/>
  <c r="B33" i="37"/>
  <c r="H27" i="37"/>
  <c r="H28" i="37" s="1"/>
  <c r="G27" i="37"/>
  <c r="G28" i="37" s="1"/>
  <c r="F27" i="37"/>
  <c r="F28" i="37" s="1"/>
  <c r="E27" i="37"/>
  <c r="E28" i="37" s="1"/>
  <c r="D27" i="37"/>
  <c r="D28" i="37" s="1"/>
  <c r="C27" i="37"/>
  <c r="C28" i="37" s="1"/>
  <c r="B27" i="37"/>
  <c r="B28" i="37" s="1"/>
  <c r="H21" i="37"/>
  <c r="H22" i="37" s="1"/>
  <c r="G21" i="37"/>
  <c r="G22" i="37" s="1"/>
  <c r="F21" i="37"/>
  <c r="F22" i="37" s="1"/>
  <c r="C21" i="37"/>
  <c r="C22" i="37" s="1"/>
  <c r="B21" i="37"/>
  <c r="B22" i="37" s="1"/>
  <c r="H14" i="37"/>
  <c r="G14" i="37"/>
  <c r="F14" i="37"/>
  <c r="E14" i="37"/>
  <c r="D14" i="37"/>
  <c r="C14" i="37"/>
  <c r="B14" i="37"/>
  <c r="H8" i="37"/>
  <c r="G8" i="37"/>
  <c r="F8" i="37"/>
  <c r="E8" i="37"/>
  <c r="D8" i="37"/>
  <c r="C8" i="37"/>
  <c r="B8" i="37"/>
  <c r="H9" i="37" s="1"/>
  <c r="H53" i="36"/>
  <c r="H33" i="36"/>
  <c r="G33" i="36"/>
  <c r="F33" i="36"/>
  <c r="E33" i="36"/>
  <c r="D33" i="36"/>
  <c r="C33" i="36"/>
  <c r="B33" i="36"/>
  <c r="H27" i="36"/>
  <c r="H28" i="36" s="1"/>
  <c r="G27" i="36"/>
  <c r="G28" i="36" s="1"/>
  <c r="F27" i="36"/>
  <c r="F28" i="36" s="1"/>
  <c r="E27" i="36"/>
  <c r="E28" i="36" s="1"/>
  <c r="D27" i="36"/>
  <c r="D28" i="36" s="1"/>
  <c r="C27" i="36"/>
  <c r="C28" i="36" s="1"/>
  <c r="B27" i="36"/>
  <c r="B28" i="36" s="1"/>
  <c r="H21" i="36"/>
  <c r="H22" i="36" s="1"/>
  <c r="G21" i="36"/>
  <c r="G22" i="36" s="1"/>
  <c r="F21" i="36"/>
  <c r="F22" i="36" s="1"/>
  <c r="C21" i="36"/>
  <c r="C22" i="36" s="1"/>
  <c r="B21" i="36"/>
  <c r="B22" i="36" s="1"/>
  <c r="H14" i="36"/>
  <c r="G14" i="36"/>
  <c r="F14" i="36"/>
  <c r="E14" i="36"/>
  <c r="D14" i="36"/>
  <c r="C14" i="36"/>
  <c r="B14" i="36"/>
  <c r="H8" i="36"/>
  <c r="G8" i="36"/>
  <c r="F8" i="36"/>
  <c r="E8" i="36"/>
  <c r="D8" i="36"/>
  <c r="C8" i="36"/>
  <c r="B8" i="36"/>
  <c r="H9" i="36" s="1"/>
  <c r="H53" i="35"/>
  <c r="H33" i="35"/>
  <c r="G33" i="35"/>
  <c r="F33" i="35"/>
  <c r="E33" i="35"/>
  <c r="D33" i="35"/>
  <c r="C33" i="35"/>
  <c r="B33" i="35"/>
  <c r="H27" i="35"/>
  <c r="H28" i="35" s="1"/>
  <c r="G27" i="35"/>
  <c r="G28" i="35" s="1"/>
  <c r="F27" i="35"/>
  <c r="F28" i="35" s="1"/>
  <c r="E27" i="35"/>
  <c r="E28" i="35" s="1"/>
  <c r="D27" i="35"/>
  <c r="D28" i="35" s="1"/>
  <c r="C27" i="35"/>
  <c r="C28" i="35" s="1"/>
  <c r="B27" i="35"/>
  <c r="B28" i="35" s="1"/>
  <c r="H21" i="35"/>
  <c r="H22" i="35" s="1"/>
  <c r="G21" i="35"/>
  <c r="G22" i="35" s="1"/>
  <c r="F21" i="35"/>
  <c r="F22" i="35" s="1"/>
  <c r="C21" i="35"/>
  <c r="C22" i="35" s="1"/>
  <c r="B21" i="35"/>
  <c r="B22" i="35" s="1"/>
  <c r="H14" i="35"/>
  <c r="G14" i="35"/>
  <c r="F14" i="35"/>
  <c r="E14" i="35"/>
  <c r="D14" i="35"/>
  <c r="C14" i="35"/>
  <c r="B14" i="35"/>
  <c r="H8" i="35"/>
  <c r="G8" i="35"/>
  <c r="F8" i="35"/>
  <c r="E8" i="35"/>
  <c r="D8" i="35"/>
  <c r="C8" i="35"/>
  <c r="B8" i="35"/>
  <c r="H9" i="35" s="1"/>
  <c r="H53" i="34"/>
  <c r="H33" i="34"/>
  <c r="G33" i="34"/>
  <c r="F33" i="34"/>
  <c r="E33" i="34"/>
  <c r="D33" i="34"/>
  <c r="C33" i="34"/>
  <c r="B33" i="34"/>
  <c r="H27" i="34"/>
  <c r="H28" i="34" s="1"/>
  <c r="G27" i="34"/>
  <c r="G28" i="34" s="1"/>
  <c r="F27" i="34"/>
  <c r="F28" i="34" s="1"/>
  <c r="E27" i="34"/>
  <c r="E28" i="34" s="1"/>
  <c r="D27" i="34"/>
  <c r="D28" i="34" s="1"/>
  <c r="C27" i="34"/>
  <c r="C28" i="34" s="1"/>
  <c r="B27" i="34"/>
  <c r="B28" i="34" s="1"/>
  <c r="H21" i="34"/>
  <c r="H22" i="34" s="1"/>
  <c r="G21" i="34"/>
  <c r="G22" i="34" s="1"/>
  <c r="F21" i="34"/>
  <c r="F22" i="34" s="1"/>
  <c r="C21" i="34"/>
  <c r="C22" i="34" s="1"/>
  <c r="B21" i="34"/>
  <c r="B22" i="34" s="1"/>
  <c r="H14" i="34"/>
  <c r="G14" i="34"/>
  <c r="F14" i="34"/>
  <c r="E14" i="34"/>
  <c r="D14" i="34"/>
  <c r="C14" i="34"/>
  <c r="B14" i="34"/>
  <c r="H8" i="34"/>
  <c r="G8" i="34"/>
  <c r="F8" i="34"/>
  <c r="E8" i="34"/>
  <c r="D8" i="34"/>
  <c r="C8" i="34"/>
  <c r="B8" i="34"/>
  <c r="H9" i="34" s="1"/>
  <c r="H53" i="33"/>
  <c r="H33" i="33"/>
  <c r="G33" i="33"/>
  <c r="F33" i="33"/>
  <c r="E33" i="33"/>
  <c r="D33" i="33"/>
  <c r="C33" i="33"/>
  <c r="B33" i="33"/>
  <c r="H27" i="33"/>
  <c r="H28" i="33" s="1"/>
  <c r="G27" i="33"/>
  <c r="G28" i="33" s="1"/>
  <c r="F27" i="33"/>
  <c r="F28" i="33" s="1"/>
  <c r="E27" i="33"/>
  <c r="E28" i="33" s="1"/>
  <c r="D27" i="33"/>
  <c r="D28" i="33" s="1"/>
  <c r="C27" i="33"/>
  <c r="C28" i="33" s="1"/>
  <c r="B27" i="33"/>
  <c r="B28" i="33" s="1"/>
  <c r="H22" i="33"/>
  <c r="G22" i="33"/>
  <c r="F22" i="33"/>
  <c r="C22" i="33"/>
  <c r="B22" i="33"/>
  <c r="H14" i="33"/>
  <c r="G14" i="33"/>
  <c r="F14" i="33"/>
  <c r="E14" i="33"/>
  <c r="D14" i="33"/>
  <c r="C14" i="33"/>
  <c r="B14" i="33"/>
  <c r="H8" i="33"/>
  <c r="G8" i="33"/>
  <c r="F8" i="33"/>
  <c r="E8" i="33"/>
  <c r="D8" i="33"/>
  <c r="C8" i="33"/>
  <c r="B8" i="33"/>
  <c r="H9" i="33" s="1"/>
  <c r="C3" i="29"/>
  <c r="E22" i="17"/>
  <c r="E21" i="16"/>
  <c r="H53" i="32"/>
  <c r="H33" i="32"/>
  <c r="H34" i="32" s="1"/>
  <c r="G33" i="32"/>
  <c r="F33" i="32"/>
  <c r="F34" i="32" s="1"/>
  <c r="E33" i="32"/>
  <c r="D33" i="32"/>
  <c r="D34" i="32" s="1"/>
  <c r="C33" i="32"/>
  <c r="C34" i="32" s="1"/>
  <c r="B33" i="32"/>
  <c r="B34" i="32" s="1"/>
  <c r="H27" i="32"/>
  <c r="H28" i="32" s="1"/>
  <c r="G27" i="32"/>
  <c r="G28" i="32" s="1"/>
  <c r="F27" i="32"/>
  <c r="F28" i="32" s="1"/>
  <c r="E27" i="32"/>
  <c r="E28" i="32" s="1"/>
  <c r="D27" i="32"/>
  <c r="D28" i="32" s="1"/>
  <c r="C27" i="32"/>
  <c r="C28" i="32" s="1"/>
  <c r="B27" i="32"/>
  <c r="B28" i="32" s="1"/>
  <c r="H21" i="32"/>
  <c r="H22" i="32" s="1"/>
  <c r="G21" i="32"/>
  <c r="G22" i="32" s="1"/>
  <c r="F21" i="32"/>
  <c r="F22" i="32" s="1"/>
  <c r="E21" i="32"/>
  <c r="D21" i="32"/>
  <c r="C21" i="32"/>
  <c r="C22" i="32" s="1"/>
  <c r="B21" i="32"/>
  <c r="B22" i="32" s="1"/>
  <c r="H14" i="32"/>
  <c r="G14" i="32"/>
  <c r="F14" i="32"/>
  <c r="E14" i="32"/>
  <c r="D14" i="32"/>
  <c r="C14" i="32"/>
  <c r="B14" i="32"/>
  <c r="H8" i="32"/>
  <c r="G8" i="32"/>
  <c r="F8" i="32"/>
  <c r="E8" i="32"/>
  <c r="D8" i="32"/>
  <c r="C8" i="32"/>
  <c r="B8" i="32"/>
  <c r="A20" i="7" l="1"/>
  <c r="A32" i="6"/>
  <c r="A26" i="7" s="1"/>
  <c r="A33" i="7" s="1"/>
  <c r="A20" i="8" s="1"/>
  <c r="H16" i="52"/>
  <c r="H17" i="52" s="1"/>
  <c r="B15" i="52"/>
  <c r="C15" i="52"/>
  <c r="D15" i="52"/>
  <c r="E15" i="52"/>
  <c r="F15" i="52"/>
  <c r="G15" i="52"/>
  <c r="H15" i="52"/>
  <c r="B36" i="52"/>
  <c r="B34" i="52"/>
  <c r="C36" i="52"/>
  <c r="C37" i="52" s="1"/>
  <c r="C34" i="52"/>
  <c r="D36" i="52"/>
  <c r="D37" i="52" s="1"/>
  <c r="D34" i="52"/>
  <c r="E36" i="52"/>
  <c r="E37" i="52" s="1"/>
  <c r="E34" i="52"/>
  <c r="F36" i="52"/>
  <c r="F37" i="52" s="1"/>
  <c r="F34" i="52"/>
  <c r="G36" i="52"/>
  <c r="G37" i="52" s="1"/>
  <c r="G34" i="52"/>
  <c r="H36" i="52"/>
  <c r="H37" i="52" s="1"/>
  <c r="H34" i="52"/>
  <c r="H16" i="51"/>
  <c r="H17" i="51" s="1"/>
  <c r="B15" i="51"/>
  <c r="C15" i="51"/>
  <c r="D15" i="51"/>
  <c r="E15" i="51"/>
  <c r="F15" i="51"/>
  <c r="G15" i="51"/>
  <c r="H15" i="51"/>
  <c r="B36" i="51"/>
  <c r="B34" i="51"/>
  <c r="C36" i="51"/>
  <c r="C37" i="51" s="1"/>
  <c r="C34" i="51"/>
  <c r="D36" i="51"/>
  <c r="D37" i="51" s="1"/>
  <c r="D34" i="51"/>
  <c r="E36" i="51"/>
  <c r="E37" i="51" s="1"/>
  <c r="E34" i="51"/>
  <c r="F36" i="51"/>
  <c r="F37" i="51" s="1"/>
  <c r="F34" i="51"/>
  <c r="G36" i="51"/>
  <c r="G37" i="51" s="1"/>
  <c r="G34" i="51"/>
  <c r="H36" i="51"/>
  <c r="H37" i="51" s="1"/>
  <c r="H34" i="51"/>
  <c r="H16" i="50"/>
  <c r="H17" i="50" s="1"/>
  <c r="B15" i="50"/>
  <c r="C15" i="50"/>
  <c r="D15" i="50"/>
  <c r="E15" i="50"/>
  <c r="F15" i="50"/>
  <c r="G15" i="50"/>
  <c r="H15" i="50"/>
  <c r="B36" i="50"/>
  <c r="B34" i="50"/>
  <c r="C36" i="50"/>
  <c r="C37" i="50" s="1"/>
  <c r="C34" i="50"/>
  <c r="D36" i="50"/>
  <c r="D37" i="50" s="1"/>
  <c r="D34" i="50"/>
  <c r="E36" i="50"/>
  <c r="E37" i="50" s="1"/>
  <c r="E34" i="50"/>
  <c r="F36" i="50"/>
  <c r="F37" i="50" s="1"/>
  <c r="F34" i="50"/>
  <c r="G36" i="50"/>
  <c r="G37" i="50" s="1"/>
  <c r="G34" i="50"/>
  <c r="H36" i="50"/>
  <c r="H37" i="50" s="1"/>
  <c r="H34" i="50"/>
  <c r="D3" i="29"/>
  <c r="C2" i="29"/>
  <c r="A19" i="14"/>
  <c r="A25" i="14" s="1"/>
  <c r="A31" i="14" s="1"/>
  <c r="A19" i="15" s="1"/>
  <c r="A25" i="15" s="1"/>
  <c r="A31" i="15" s="1"/>
  <c r="A19" i="16" s="1"/>
  <c r="A25" i="16" s="1"/>
  <c r="A31" i="16" s="1"/>
  <c r="A19" i="17" s="1"/>
  <c r="A25" i="17" s="1"/>
  <c r="A31" i="17" s="1"/>
  <c r="A19" i="31" s="1"/>
  <c r="A25" i="31" s="1"/>
  <c r="A31" i="31" s="1"/>
  <c r="A19" i="27" s="1"/>
  <c r="A25" i="27" s="1"/>
  <c r="A31" i="24"/>
  <c r="H16" i="49"/>
  <c r="H17" i="49" s="1"/>
  <c r="B15" i="49"/>
  <c r="C15" i="49"/>
  <c r="D15" i="49"/>
  <c r="E15" i="49"/>
  <c r="F15" i="49"/>
  <c r="G15" i="49"/>
  <c r="H15" i="49"/>
  <c r="B36" i="49"/>
  <c r="B34" i="49"/>
  <c r="C36" i="49"/>
  <c r="C37" i="49" s="1"/>
  <c r="C34" i="49"/>
  <c r="D36" i="49"/>
  <c r="D37" i="49" s="1"/>
  <c r="D34" i="49"/>
  <c r="E36" i="49"/>
  <c r="E37" i="49" s="1"/>
  <c r="E34" i="49"/>
  <c r="F36" i="49"/>
  <c r="F37" i="49" s="1"/>
  <c r="F34" i="49"/>
  <c r="G36" i="49"/>
  <c r="G37" i="49" s="1"/>
  <c r="G34" i="49"/>
  <c r="H36" i="49"/>
  <c r="H37" i="49" s="1"/>
  <c r="H34" i="49"/>
  <c r="H16" i="48"/>
  <c r="H17" i="48" s="1"/>
  <c r="B15" i="48"/>
  <c r="C15" i="48"/>
  <c r="D15" i="48"/>
  <c r="E15" i="48"/>
  <c r="F15" i="48"/>
  <c r="G15" i="48"/>
  <c r="H15" i="48"/>
  <c r="B36" i="48"/>
  <c r="B34" i="48"/>
  <c r="C36" i="48"/>
  <c r="C37" i="48" s="1"/>
  <c r="C34" i="48"/>
  <c r="D36" i="48"/>
  <c r="D37" i="48" s="1"/>
  <c r="D34" i="48"/>
  <c r="E36" i="48"/>
  <c r="E37" i="48" s="1"/>
  <c r="E34" i="48"/>
  <c r="F36" i="48"/>
  <c r="F37" i="48" s="1"/>
  <c r="F34" i="48"/>
  <c r="G36" i="48"/>
  <c r="G37" i="48" s="1"/>
  <c r="G34" i="48"/>
  <c r="H36" i="48"/>
  <c r="H37" i="48" s="1"/>
  <c r="H34" i="48"/>
  <c r="H16" i="47"/>
  <c r="H17" i="47" s="1"/>
  <c r="B15" i="47"/>
  <c r="C15" i="47"/>
  <c r="D15" i="47"/>
  <c r="E15" i="47"/>
  <c r="F15" i="47"/>
  <c r="G15" i="47"/>
  <c r="H15" i="47"/>
  <c r="B36" i="47"/>
  <c r="B34" i="47"/>
  <c r="C36" i="47"/>
  <c r="C37" i="47" s="1"/>
  <c r="C34" i="47"/>
  <c r="D36" i="47"/>
  <c r="D37" i="47" s="1"/>
  <c r="D34" i="47"/>
  <c r="E36" i="47"/>
  <c r="E37" i="47" s="1"/>
  <c r="E34" i="47"/>
  <c r="F36" i="47"/>
  <c r="F37" i="47" s="1"/>
  <c r="F34" i="47"/>
  <c r="G36" i="47"/>
  <c r="G37" i="47" s="1"/>
  <c r="G34" i="47"/>
  <c r="H36" i="47"/>
  <c r="H37" i="47" s="1"/>
  <c r="H34" i="47"/>
  <c r="H16" i="46"/>
  <c r="H17" i="46" s="1"/>
  <c r="B15" i="46"/>
  <c r="C15" i="46"/>
  <c r="D15" i="46"/>
  <c r="E15" i="46"/>
  <c r="F15" i="46"/>
  <c r="G15" i="46"/>
  <c r="H15" i="46"/>
  <c r="B36" i="46"/>
  <c r="B34" i="46"/>
  <c r="C36" i="46"/>
  <c r="C37" i="46" s="1"/>
  <c r="C34" i="46"/>
  <c r="D36" i="46"/>
  <c r="D37" i="46" s="1"/>
  <c r="D34" i="46"/>
  <c r="E36" i="46"/>
  <c r="E37" i="46" s="1"/>
  <c r="E34" i="46"/>
  <c r="F36" i="46"/>
  <c r="F37" i="46" s="1"/>
  <c r="F34" i="46"/>
  <c r="G36" i="46"/>
  <c r="G37" i="46" s="1"/>
  <c r="G34" i="46"/>
  <c r="H36" i="46"/>
  <c r="H37" i="46" s="1"/>
  <c r="H34" i="46"/>
  <c r="H16" i="45"/>
  <c r="H17" i="45" s="1"/>
  <c r="B15" i="45"/>
  <c r="C15" i="45"/>
  <c r="D15" i="45"/>
  <c r="E15" i="45"/>
  <c r="F15" i="45"/>
  <c r="G15" i="45"/>
  <c r="H15" i="45"/>
  <c r="B36" i="45"/>
  <c r="B34" i="45"/>
  <c r="C36" i="45"/>
  <c r="C37" i="45" s="1"/>
  <c r="C34" i="45"/>
  <c r="D36" i="45"/>
  <c r="D37" i="45" s="1"/>
  <c r="D34" i="45"/>
  <c r="E36" i="45"/>
  <c r="E37" i="45" s="1"/>
  <c r="E34" i="45"/>
  <c r="F36" i="45"/>
  <c r="F37" i="45" s="1"/>
  <c r="F34" i="45"/>
  <c r="G36" i="45"/>
  <c r="G37" i="45" s="1"/>
  <c r="G34" i="45"/>
  <c r="H36" i="45"/>
  <c r="H37" i="45" s="1"/>
  <c r="H34" i="45"/>
  <c r="H16" i="44"/>
  <c r="H17" i="44" s="1"/>
  <c r="B15" i="44"/>
  <c r="C15" i="44"/>
  <c r="D15" i="44"/>
  <c r="E15" i="44"/>
  <c r="F15" i="44"/>
  <c r="G15" i="44"/>
  <c r="H15" i="44"/>
  <c r="B36" i="44"/>
  <c r="B34" i="44"/>
  <c r="C36" i="44"/>
  <c r="C37" i="44" s="1"/>
  <c r="C34" i="44"/>
  <c r="D36" i="44"/>
  <c r="D37" i="44" s="1"/>
  <c r="D34" i="44"/>
  <c r="E36" i="44"/>
  <c r="E37" i="44" s="1"/>
  <c r="E34" i="44"/>
  <c r="F36" i="44"/>
  <c r="F37" i="44" s="1"/>
  <c r="F34" i="44"/>
  <c r="G36" i="44"/>
  <c r="G37" i="44" s="1"/>
  <c r="G34" i="44"/>
  <c r="H36" i="44"/>
  <c r="H37" i="44" s="1"/>
  <c r="H34" i="44"/>
  <c r="H16" i="43"/>
  <c r="H17" i="43" s="1"/>
  <c r="B15" i="43"/>
  <c r="C15" i="43"/>
  <c r="D15" i="43"/>
  <c r="E15" i="43"/>
  <c r="F15" i="43"/>
  <c r="G15" i="43"/>
  <c r="H15" i="43"/>
  <c r="B36" i="43"/>
  <c r="B34" i="43"/>
  <c r="C36" i="43"/>
  <c r="C37" i="43" s="1"/>
  <c r="C34" i="43"/>
  <c r="D36" i="43"/>
  <c r="D37" i="43" s="1"/>
  <c r="D34" i="43"/>
  <c r="E36" i="43"/>
  <c r="E37" i="43" s="1"/>
  <c r="E34" i="43"/>
  <c r="F36" i="43"/>
  <c r="F37" i="43" s="1"/>
  <c r="F34" i="43"/>
  <c r="G36" i="43"/>
  <c r="G37" i="43" s="1"/>
  <c r="G34" i="43"/>
  <c r="H36" i="43"/>
  <c r="H37" i="43" s="1"/>
  <c r="H34" i="43"/>
  <c r="H16" i="42"/>
  <c r="H17" i="42" s="1"/>
  <c r="B15" i="42"/>
  <c r="C15" i="42"/>
  <c r="D15" i="42"/>
  <c r="E15" i="42"/>
  <c r="F15" i="42"/>
  <c r="G15" i="42"/>
  <c r="H15" i="42"/>
  <c r="B36" i="42"/>
  <c r="B34" i="42"/>
  <c r="C36" i="42"/>
  <c r="C37" i="42" s="1"/>
  <c r="C34" i="42"/>
  <c r="D36" i="42"/>
  <c r="D37" i="42" s="1"/>
  <c r="D34" i="42"/>
  <c r="E36" i="42"/>
  <c r="E37" i="42" s="1"/>
  <c r="E34" i="42"/>
  <c r="F36" i="42"/>
  <c r="F37" i="42" s="1"/>
  <c r="F34" i="42"/>
  <c r="G36" i="42"/>
  <c r="G37" i="42" s="1"/>
  <c r="G34" i="42"/>
  <c r="H36" i="42"/>
  <c r="H37" i="42" s="1"/>
  <c r="H34" i="42"/>
  <c r="H16" i="41"/>
  <c r="H17" i="41" s="1"/>
  <c r="B15" i="41"/>
  <c r="C15" i="41"/>
  <c r="D15" i="41"/>
  <c r="E15" i="41"/>
  <c r="F15" i="41"/>
  <c r="G15" i="41"/>
  <c r="H15" i="41"/>
  <c r="B36" i="41"/>
  <c r="B34" i="41"/>
  <c r="C36" i="41"/>
  <c r="C37" i="41" s="1"/>
  <c r="C34" i="41"/>
  <c r="D36" i="41"/>
  <c r="D37" i="41" s="1"/>
  <c r="D34" i="41"/>
  <c r="E36" i="41"/>
  <c r="E37" i="41" s="1"/>
  <c r="E34" i="41"/>
  <c r="F36" i="41"/>
  <c r="F37" i="41" s="1"/>
  <c r="F34" i="41"/>
  <c r="G36" i="41"/>
  <c r="G37" i="41" s="1"/>
  <c r="G34" i="41"/>
  <c r="H36" i="41"/>
  <c r="H37" i="41" s="1"/>
  <c r="H34" i="41"/>
  <c r="H16" i="40"/>
  <c r="H17" i="40" s="1"/>
  <c r="B15" i="40"/>
  <c r="C15" i="40"/>
  <c r="D15" i="40"/>
  <c r="E15" i="40"/>
  <c r="F15" i="40"/>
  <c r="G15" i="40"/>
  <c r="H15" i="40"/>
  <c r="B36" i="40"/>
  <c r="B34" i="40"/>
  <c r="C36" i="40"/>
  <c r="C37" i="40" s="1"/>
  <c r="C34" i="40"/>
  <c r="D36" i="40"/>
  <c r="D37" i="40" s="1"/>
  <c r="D34" i="40"/>
  <c r="E36" i="40"/>
  <c r="E37" i="40" s="1"/>
  <c r="E34" i="40"/>
  <c r="F36" i="40"/>
  <c r="F37" i="40" s="1"/>
  <c r="F34" i="40"/>
  <c r="G36" i="40"/>
  <c r="G37" i="40" s="1"/>
  <c r="G34" i="40"/>
  <c r="H36" i="40"/>
  <c r="H37" i="40" s="1"/>
  <c r="H34" i="40"/>
  <c r="H16" i="39"/>
  <c r="H17" i="39" s="1"/>
  <c r="B15" i="39"/>
  <c r="C15" i="39"/>
  <c r="D15" i="39"/>
  <c r="E15" i="39"/>
  <c r="F15" i="39"/>
  <c r="G15" i="39"/>
  <c r="H15" i="39"/>
  <c r="B36" i="39"/>
  <c r="B34" i="39"/>
  <c r="C36" i="39"/>
  <c r="C37" i="39" s="1"/>
  <c r="C34" i="39"/>
  <c r="D36" i="39"/>
  <c r="D37" i="39" s="1"/>
  <c r="D34" i="39"/>
  <c r="E36" i="39"/>
  <c r="E37" i="39" s="1"/>
  <c r="E34" i="39"/>
  <c r="F36" i="39"/>
  <c r="F37" i="39" s="1"/>
  <c r="F34" i="39"/>
  <c r="G36" i="39"/>
  <c r="G37" i="39" s="1"/>
  <c r="G34" i="39"/>
  <c r="H36" i="39"/>
  <c r="H37" i="39" s="1"/>
  <c r="H34" i="39"/>
  <c r="H16" i="38"/>
  <c r="H17" i="38" s="1"/>
  <c r="B15" i="38"/>
  <c r="C15" i="38"/>
  <c r="D15" i="38"/>
  <c r="E15" i="38"/>
  <c r="F15" i="38"/>
  <c r="G15" i="38"/>
  <c r="H15" i="38"/>
  <c r="B36" i="38"/>
  <c r="B34" i="38"/>
  <c r="C36" i="38"/>
  <c r="C37" i="38" s="1"/>
  <c r="C34" i="38"/>
  <c r="D36" i="38"/>
  <c r="D37" i="38" s="1"/>
  <c r="D34" i="38"/>
  <c r="E36" i="38"/>
  <c r="E37" i="38" s="1"/>
  <c r="E34" i="38"/>
  <c r="F36" i="38"/>
  <c r="F37" i="38" s="1"/>
  <c r="F34" i="38"/>
  <c r="G36" i="38"/>
  <c r="G37" i="38" s="1"/>
  <c r="G34" i="38"/>
  <c r="H36" i="38"/>
  <c r="H37" i="38" s="1"/>
  <c r="H34" i="38"/>
  <c r="H16" i="37"/>
  <c r="H17" i="37" s="1"/>
  <c r="B15" i="37"/>
  <c r="C15" i="37"/>
  <c r="D15" i="37"/>
  <c r="E15" i="37"/>
  <c r="F15" i="37"/>
  <c r="G15" i="37"/>
  <c r="H15" i="37"/>
  <c r="B36" i="37"/>
  <c r="B34" i="37"/>
  <c r="C36" i="37"/>
  <c r="C37" i="37" s="1"/>
  <c r="C34" i="37"/>
  <c r="D36" i="37"/>
  <c r="D37" i="37" s="1"/>
  <c r="D34" i="37"/>
  <c r="E36" i="37"/>
  <c r="E37" i="37" s="1"/>
  <c r="E34" i="37"/>
  <c r="F36" i="37"/>
  <c r="F37" i="37" s="1"/>
  <c r="F34" i="37"/>
  <c r="G36" i="37"/>
  <c r="G37" i="37" s="1"/>
  <c r="G34" i="37"/>
  <c r="H36" i="37"/>
  <c r="H37" i="37" s="1"/>
  <c r="H34" i="37"/>
  <c r="H16" i="36"/>
  <c r="H17" i="36" s="1"/>
  <c r="B15" i="36"/>
  <c r="C15" i="36"/>
  <c r="D15" i="36"/>
  <c r="E15" i="36"/>
  <c r="F15" i="36"/>
  <c r="G15" i="36"/>
  <c r="H15" i="36"/>
  <c r="B36" i="36"/>
  <c r="B34" i="36"/>
  <c r="C36" i="36"/>
  <c r="C37" i="36" s="1"/>
  <c r="C34" i="36"/>
  <c r="D36" i="36"/>
  <c r="D37" i="36" s="1"/>
  <c r="D34" i="36"/>
  <c r="E36" i="36"/>
  <c r="E37" i="36" s="1"/>
  <c r="E34" i="36"/>
  <c r="F36" i="36"/>
  <c r="F37" i="36" s="1"/>
  <c r="F34" i="36"/>
  <c r="G36" i="36"/>
  <c r="G37" i="36" s="1"/>
  <c r="G34" i="36"/>
  <c r="H36" i="36"/>
  <c r="H37" i="36" s="1"/>
  <c r="H34" i="36"/>
  <c r="H16" i="35"/>
  <c r="H17" i="35" s="1"/>
  <c r="B15" i="35"/>
  <c r="C15" i="35"/>
  <c r="D15" i="35"/>
  <c r="E15" i="35"/>
  <c r="F15" i="35"/>
  <c r="G15" i="35"/>
  <c r="H15" i="35"/>
  <c r="B36" i="35"/>
  <c r="B34" i="35"/>
  <c r="C36" i="35"/>
  <c r="C37" i="35" s="1"/>
  <c r="C34" i="35"/>
  <c r="D36" i="35"/>
  <c r="D37" i="35" s="1"/>
  <c r="D34" i="35"/>
  <c r="E36" i="35"/>
  <c r="E37" i="35" s="1"/>
  <c r="E34" i="35"/>
  <c r="F36" i="35"/>
  <c r="F37" i="35" s="1"/>
  <c r="F34" i="35"/>
  <c r="G36" i="35"/>
  <c r="G37" i="35" s="1"/>
  <c r="G34" i="35"/>
  <c r="H36" i="35"/>
  <c r="H37" i="35" s="1"/>
  <c r="H34" i="35"/>
  <c r="H16" i="34"/>
  <c r="H17" i="34" s="1"/>
  <c r="B15" i="34"/>
  <c r="C15" i="34"/>
  <c r="D15" i="34"/>
  <c r="E15" i="34"/>
  <c r="F15" i="34"/>
  <c r="G15" i="34"/>
  <c r="H15" i="34"/>
  <c r="B36" i="34"/>
  <c r="B34" i="34"/>
  <c r="C36" i="34"/>
  <c r="C37" i="34" s="1"/>
  <c r="C34" i="34"/>
  <c r="D36" i="34"/>
  <c r="D37" i="34" s="1"/>
  <c r="D34" i="34"/>
  <c r="E36" i="34"/>
  <c r="E37" i="34" s="1"/>
  <c r="E34" i="34"/>
  <c r="F36" i="34"/>
  <c r="F37" i="34" s="1"/>
  <c r="F34" i="34"/>
  <c r="G36" i="34"/>
  <c r="G37" i="34" s="1"/>
  <c r="G34" i="34"/>
  <c r="H36" i="34"/>
  <c r="H37" i="34" s="1"/>
  <c r="H34" i="34"/>
  <c r="H16" i="33"/>
  <c r="H17" i="33" s="1"/>
  <c r="B15" i="33"/>
  <c r="C15" i="33"/>
  <c r="D15" i="33"/>
  <c r="E15" i="33"/>
  <c r="F15" i="33"/>
  <c r="G15" i="33"/>
  <c r="H15" i="33"/>
  <c r="B36" i="33"/>
  <c r="B34" i="33"/>
  <c r="C36" i="33"/>
  <c r="C37" i="33" s="1"/>
  <c r="C34" i="33"/>
  <c r="D36" i="33"/>
  <c r="D37" i="33" s="1"/>
  <c r="D34" i="33"/>
  <c r="E36" i="33"/>
  <c r="E37" i="33" s="1"/>
  <c r="E34" i="33"/>
  <c r="F36" i="33"/>
  <c r="F37" i="33" s="1"/>
  <c r="F34" i="33"/>
  <c r="G36" i="33"/>
  <c r="G37" i="33" s="1"/>
  <c r="G34" i="33"/>
  <c r="H36" i="33"/>
  <c r="H37" i="33" s="1"/>
  <c r="H34" i="33"/>
  <c r="C15" i="32"/>
  <c r="G15" i="32"/>
  <c r="H15" i="32"/>
  <c r="E36" i="32"/>
  <c r="E37" i="32" s="1"/>
  <c r="E34" i="32"/>
  <c r="C36" i="32"/>
  <c r="C37" i="32" s="1"/>
  <c r="G36" i="32"/>
  <c r="G37" i="32" s="1"/>
  <c r="G34" i="32"/>
  <c r="E15" i="32"/>
  <c r="F15" i="32"/>
  <c r="B15" i="32"/>
  <c r="D15" i="32"/>
  <c r="H9" i="32"/>
  <c r="B36" i="32"/>
  <c r="F36" i="32"/>
  <c r="F37" i="32" s="1"/>
  <c r="H16" i="32"/>
  <c r="D36" i="32"/>
  <c r="D37" i="32" s="1"/>
  <c r="H36" i="32"/>
  <c r="H37" i="32" s="1"/>
  <c r="A20" i="9" l="1"/>
  <c r="A26" i="9" s="1"/>
  <c r="A26" i="8"/>
  <c r="A32" i="8" s="1"/>
  <c r="H38" i="52"/>
  <c r="B37" i="52"/>
  <c r="H38" i="51"/>
  <c r="B37" i="51"/>
  <c r="H38" i="50"/>
  <c r="B37" i="50"/>
  <c r="E3" i="29"/>
  <c r="D2" i="29"/>
  <c r="A19" i="29"/>
  <c r="A25" i="29" s="1"/>
  <c r="A31" i="27"/>
  <c r="H38" i="49"/>
  <c r="B37" i="49"/>
  <c r="H38" i="48"/>
  <c r="B37" i="48"/>
  <c r="H38" i="47"/>
  <c r="B37" i="47"/>
  <c r="H38" i="46"/>
  <c r="B37" i="46"/>
  <c r="H38" i="45"/>
  <c r="B37" i="45"/>
  <c r="H38" i="44"/>
  <c r="B37" i="44"/>
  <c r="H38" i="43"/>
  <c r="B37" i="43"/>
  <c r="H38" i="42"/>
  <c r="B37" i="42"/>
  <c r="H38" i="41"/>
  <c r="B37" i="41"/>
  <c r="H38" i="40"/>
  <c r="B37" i="40"/>
  <c r="H38" i="39"/>
  <c r="B37" i="39"/>
  <c r="H38" i="38"/>
  <c r="B37" i="38"/>
  <c r="H38" i="37"/>
  <c r="B37" i="37"/>
  <c r="H38" i="36"/>
  <c r="B37" i="36"/>
  <c r="H38" i="35"/>
  <c r="B37" i="35"/>
  <c r="H38" i="34"/>
  <c r="B37" i="34"/>
  <c r="H38" i="33"/>
  <c r="B37" i="33"/>
  <c r="H17" i="32"/>
  <c r="B37" i="32"/>
  <c r="H38" i="32"/>
  <c r="A20" i="23" l="1"/>
  <c r="A32" i="9"/>
  <c r="H40" i="52"/>
  <c r="H39" i="52"/>
  <c r="H40" i="51"/>
  <c r="H39" i="51"/>
  <c r="H40" i="50"/>
  <c r="H39" i="50"/>
  <c r="F3" i="29"/>
  <c r="E2" i="29"/>
  <c r="A31" i="29"/>
  <c r="A19" i="30" s="1"/>
  <c r="A25" i="30" s="1"/>
  <c r="A31" i="30" s="1"/>
  <c r="A19" i="35" s="1"/>
  <c r="A25" i="35" s="1"/>
  <c r="A31" i="35" s="1"/>
  <c r="A19" i="34" s="1"/>
  <c r="A25" i="34" s="1"/>
  <c r="A31" i="34" s="1"/>
  <c r="A19" i="36" s="1"/>
  <c r="A25" i="36" s="1"/>
  <c r="A31" i="36" s="1"/>
  <c r="A19" i="33" s="1"/>
  <c r="A25" i="33" s="1"/>
  <c r="A19" i="42"/>
  <c r="A25" i="42" s="1"/>
  <c r="A31" i="33"/>
  <c r="H40" i="49"/>
  <c r="H39" i="49"/>
  <c r="H40" i="48"/>
  <c r="H39" i="48"/>
  <c r="H40" i="47"/>
  <c r="H39" i="47"/>
  <c r="H40" i="46"/>
  <c r="H39" i="46"/>
  <c r="H40" i="45"/>
  <c r="H39" i="45"/>
  <c r="H40" i="44"/>
  <c r="H39" i="44"/>
  <c r="H40" i="43"/>
  <c r="H39" i="43"/>
  <c r="H40" i="42"/>
  <c r="H39" i="42"/>
  <c r="H40" i="41"/>
  <c r="H39" i="41"/>
  <c r="H40" i="40"/>
  <c r="H39" i="40"/>
  <c r="H40" i="39"/>
  <c r="H39" i="39"/>
  <c r="H40" i="38"/>
  <c r="H39" i="38"/>
  <c r="H40" i="37"/>
  <c r="H39" i="37"/>
  <c r="H40" i="36"/>
  <c r="H39" i="36"/>
  <c r="H40" i="35"/>
  <c r="H39" i="35"/>
  <c r="H40" i="34"/>
  <c r="H39" i="34"/>
  <c r="H40" i="33"/>
  <c r="H39" i="33"/>
  <c r="H40" i="32"/>
  <c r="H39" i="32"/>
  <c r="A20" i="10" l="1"/>
  <c r="A26" i="10" s="1"/>
  <c r="A32" i="10" s="1"/>
  <c r="A20" i="11" s="1"/>
  <c r="A26" i="23"/>
  <c r="A32" i="23" s="1"/>
  <c r="G3" i="29"/>
  <c r="F2" i="29"/>
  <c r="A19" i="41"/>
  <c r="A25" i="41" s="1"/>
  <c r="A31" i="41" s="1"/>
  <c r="A19" i="40" s="1"/>
  <c r="A25" i="40" s="1"/>
  <c r="A31" i="40" s="1"/>
  <c r="A19" i="39" s="1"/>
  <c r="A25" i="39" s="1"/>
  <c r="A31" i="39" s="1"/>
  <c r="A19" i="38" s="1"/>
  <c r="A25" i="38" s="1"/>
  <c r="A31" i="38" s="1"/>
  <c r="A19" i="37" s="1"/>
  <c r="A25" i="37" s="1"/>
  <c r="A31" i="37" s="1"/>
  <c r="A19" i="44" s="1"/>
  <c r="A25" i="44" s="1"/>
  <c r="A31" i="44" s="1"/>
  <c r="A19" i="43" s="1"/>
  <c r="A25" i="43" s="1"/>
  <c r="A31" i="43" s="1"/>
  <c r="A19" i="45" s="1"/>
  <c r="A25" i="45" s="1"/>
  <c r="A31" i="45" s="1"/>
  <c r="A19" i="46" s="1"/>
  <c r="A25" i="46" s="1"/>
  <c r="A31" i="46" s="1"/>
  <c r="A19" i="47" s="1"/>
  <c r="A25" i="47" s="1"/>
  <c r="A31" i="47" s="1"/>
  <c r="A19" i="48" s="1"/>
  <c r="A25" i="48" s="1"/>
  <c r="A31" i="48" s="1"/>
  <c r="A19" i="49" s="1"/>
  <c r="A25" i="49" s="1"/>
  <c r="A31" i="49" s="1"/>
  <c r="A31" i="42"/>
  <c r="H53" i="31"/>
  <c r="H33" i="31"/>
  <c r="G33" i="31"/>
  <c r="G34" i="31" s="1"/>
  <c r="F33" i="31"/>
  <c r="E33" i="31"/>
  <c r="E34" i="31" s="1"/>
  <c r="D33" i="31"/>
  <c r="C33" i="31"/>
  <c r="C34" i="31" s="1"/>
  <c r="B33" i="31"/>
  <c r="H27" i="31"/>
  <c r="H28" i="31" s="1"/>
  <c r="G27" i="31"/>
  <c r="G28" i="31" s="1"/>
  <c r="F27" i="31"/>
  <c r="F28" i="31" s="1"/>
  <c r="E27" i="31"/>
  <c r="E28" i="31" s="1"/>
  <c r="D27" i="31"/>
  <c r="D28" i="31" s="1"/>
  <c r="C27" i="31"/>
  <c r="C28" i="31" s="1"/>
  <c r="B27" i="31"/>
  <c r="B28" i="31" s="1"/>
  <c r="H21" i="31"/>
  <c r="H22" i="31" s="1"/>
  <c r="G21" i="31"/>
  <c r="G22" i="31" s="1"/>
  <c r="F21" i="31"/>
  <c r="F22" i="31" s="1"/>
  <c r="C21" i="31"/>
  <c r="C22" i="31" s="1"/>
  <c r="B21" i="31"/>
  <c r="B22" i="31" s="1"/>
  <c r="H13" i="31"/>
  <c r="G13" i="31"/>
  <c r="F13" i="31"/>
  <c r="E13" i="31"/>
  <c r="D13" i="31"/>
  <c r="C13" i="31"/>
  <c r="B13" i="31"/>
  <c r="H12" i="31"/>
  <c r="G12" i="31"/>
  <c r="F12" i="31"/>
  <c r="E12" i="31"/>
  <c r="E14" i="31" s="1"/>
  <c r="D12" i="31"/>
  <c r="C12" i="31"/>
  <c r="B12" i="31"/>
  <c r="H11" i="31"/>
  <c r="H14" i="31" s="1"/>
  <c r="G11" i="31"/>
  <c r="F11" i="31"/>
  <c r="C11" i="31"/>
  <c r="B11" i="31"/>
  <c r="B14" i="31" s="1"/>
  <c r="H8" i="31"/>
  <c r="G8" i="31"/>
  <c r="F8" i="31"/>
  <c r="E8" i="31"/>
  <c r="D8" i="31"/>
  <c r="C8" i="31"/>
  <c r="B8" i="31"/>
  <c r="A20" i="12" l="1"/>
  <c r="A26" i="12" s="1"/>
  <c r="A32" i="12" s="1"/>
  <c r="A20" i="13" s="1"/>
  <c r="A26" i="13" s="1"/>
  <c r="A32" i="13" s="1"/>
  <c r="A20" i="24" s="1"/>
  <c r="A26" i="24" s="1"/>
  <c r="A26" i="11"/>
  <c r="H3" i="29"/>
  <c r="G2" i="29"/>
  <c r="C14" i="31"/>
  <c r="C15" i="31" s="1"/>
  <c r="D36" i="31"/>
  <c r="D37" i="31" s="1"/>
  <c r="F14" i="31"/>
  <c r="F15" i="31" s="1"/>
  <c r="H15" i="31"/>
  <c r="E15" i="31"/>
  <c r="D34" i="31"/>
  <c r="H9" i="31"/>
  <c r="B36" i="31"/>
  <c r="B37" i="31" s="1"/>
  <c r="F36" i="31"/>
  <c r="F37" i="31" s="1"/>
  <c r="C36" i="31"/>
  <c r="C37" i="31" s="1"/>
  <c r="D14" i="31"/>
  <c r="D15" i="31" s="1"/>
  <c r="G14" i="31"/>
  <c r="G15" i="31" s="1"/>
  <c r="H36" i="31"/>
  <c r="H37" i="31" s="1"/>
  <c r="H16" i="31"/>
  <c r="H17" i="31" s="1"/>
  <c r="B15" i="31"/>
  <c r="F34" i="31"/>
  <c r="E36" i="31"/>
  <c r="E37" i="31" s="1"/>
  <c r="B34" i="31"/>
  <c r="H34" i="31"/>
  <c r="G36" i="31"/>
  <c r="G37" i="31" s="1"/>
  <c r="C33" i="16"/>
  <c r="D33" i="16"/>
  <c r="E33" i="16"/>
  <c r="F33" i="16"/>
  <c r="G33" i="16"/>
  <c r="H33" i="16"/>
  <c r="B33" i="16"/>
  <c r="C27" i="16"/>
  <c r="D27" i="16"/>
  <c r="E27" i="16"/>
  <c r="F27" i="16"/>
  <c r="G27" i="16"/>
  <c r="H27" i="16"/>
  <c r="B27" i="16"/>
  <c r="C14" i="8"/>
  <c r="D14" i="8"/>
  <c r="E14" i="8"/>
  <c r="F14" i="8"/>
  <c r="G14" i="8"/>
  <c r="H14" i="8"/>
  <c r="B14" i="8"/>
  <c r="C14" i="7"/>
  <c r="D14" i="7"/>
  <c r="E14" i="7"/>
  <c r="F14" i="7"/>
  <c r="G14" i="7"/>
  <c r="H14" i="7"/>
  <c r="B14" i="7"/>
  <c r="C14" i="6"/>
  <c r="D14" i="6"/>
  <c r="E14" i="6"/>
  <c r="F14" i="6"/>
  <c r="G14" i="6"/>
  <c r="H14" i="6"/>
  <c r="B14" i="6"/>
  <c r="C33" i="5"/>
  <c r="D33" i="5"/>
  <c r="E33" i="5"/>
  <c r="F33" i="5"/>
  <c r="G33" i="5"/>
  <c r="H33" i="5"/>
  <c r="B33" i="5"/>
  <c r="C27" i="5"/>
  <c r="D27" i="5"/>
  <c r="E27" i="5"/>
  <c r="F27" i="5"/>
  <c r="G27" i="5"/>
  <c r="H27" i="5"/>
  <c r="B27" i="5"/>
  <c r="C21" i="5"/>
  <c r="D21" i="5"/>
  <c r="E21" i="5"/>
  <c r="F21" i="5"/>
  <c r="G21" i="5"/>
  <c r="B21" i="5"/>
  <c r="C33" i="4"/>
  <c r="D33" i="4"/>
  <c r="E33" i="4"/>
  <c r="F33" i="4"/>
  <c r="G33" i="4"/>
  <c r="H33" i="4"/>
  <c r="B33" i="4"/>
  <c r="C27" i="4"/>
  <c r="D27" i="4"/>
  <c r="E27" i="4"/>
  <c r="F27" i="4"/>
  <c r="G27" i="4"/>
  <c r="H27" i="4"/>
  <c r="B27" i="4"/>
  <c r="C21" i="4"/>
  <c r="D21" i="4"/>
  <c r="E21" i="4"/>
  <c r="F21" i="4"/>
  <c r="G21" i="4"/>
  <c r="H21" i="4"/>
  <c r="B21" i="4"/>
  <c r="F14" i="4"/>
  <c r="G14" i="4"/>
  <c r="H14" i="4"/>
  <c r="C33" i="3"/>
  <c r="D33" i="3"/>
  <c r="E33" i="3"/>
  <c r="F33" i="3"/>
  <c r="G33" i="3"/>
  <c r="H33" i="3"/>
  <c r="B33" i="3"/>
  <c r="C27" i="3"/>
  <c r="D27" i="3"/>
  <c r="E27" i="3"/>
  <c r="F27" i="3"/>
  <c r="G27" i="3"/>
  <c r="H27" i="3"/>
  <c r="B27" i="3"/>
  <c r="C21" i="3"/>
  <c r="D21" i="3"/>
  <c r="E21" i="3"/>
  <c r="F21" i="3"/>
  <c r="G21" i="3"/>
  <c r="H21" i="3"/>
  <c r="B21" i="3"/>
  <c r="C33" i="2"/>
  <c r="B33" i="2"/>
  <c r="C27" i="2"/>
  <c r="C36" i="2" s="1"/>
  <c r="D27" i="2"/>
  <c r="E27" i="2"/>
  <c r="F27" i="2"/>
  <c r="G27" i="2"/>
  <c r="H27" i="2"/>
  <c r="B27" i="2"/>
  <c r="B36" i="2" s="1"/>
  <c r="C21" i="2"/>
  <c r="D21" i="2"/>
  <c r="E21" i="2"/>
  <c r="F21" i="2"/>
  <c r="G21" i="2"/>
  <c r="H21" i="2"/>
  <c r="B21" i="2"/>
  <c r="C33" i="1"/>
  <c r="D33" i="1"/>
  <c r="E33" i="1"/>
  <c r="F33" i="1"/>
  <c r="G33" i="1"/>
  <c r="H33" i="1"/>
  <c r="B33" i="1"/>
  <c r="B27" i="1"/>
  <c r="C21" i="1"/>
  <c r="D21" i="1"/>
  <c r="E21" i="1"/>
  <c r="F21" i="1"/>
  <c r="G21" i="1"/>
  <c r="H21" i="1"/>
  <c r="B21" i="1"/>
  <c r="C14" i="1"/>
  <c r="D14" i="1"/>
  <c r="E14" i="1"/>
  <c r="F14" i="1"/>
  <c r="G14" i="1"/>
  <c r="H14" i="1"/>
  <c r="B14" i="1"/>
  <c r="A20" i="14" l="1"/>
  <c r="A26" i="14" s="1"/>
  <c r="A32" i="14" s="1"/>
  <c r="A20" i="15" s="1"/>
  <c r="A26" i="15" s="1"/>
  <c r="A32" i="15" s="1"/>
  <c r="A20" i="16" s="1"/>
  <c r="A26" i="16" s="1"/>
  <c r="A32" i="16" s="1"/>
  <c r="A20" i="17" s="1"/>
  <c r="A26" i="17" s="1"/>
  <c r="A32" i="17" s="1"/>
  <c r="A20" i="31" s="1"/>
  <c r="A26" i="31" s="1"/>
  <c r="A32" i="31" s="1"/>
  <c r="A20" i="27" s="1"/>
  <c r="A26" i="27" s="1"/>
  <c r="A32" i="24"/>
  <c r="H36" i="5"/>
  <c r="D36" i="2"/>
  <c r="B3" i="30"/>
  <c r="C3" i="30" s="1"/>
  <c r="D3" i="30" s="1"/>
  <c r="E3" i="30" s="1"/>
  <c r="F3" i="30" s="1"/>
  <c r="G3" i="30" s="1"/>
  <c r="H3" i="30" s="1"/>
  <c r="B3" i="35" s="1"/>
  <c r="C3" i="35" s="1"/>
  <c r="D3" i="35" s="1"/>
  <c r="E3" i="35" s="1"/>
  <c r="F3" i="35" s="1"/>
  <c r="G3" i="35" s="1"/>
  <c r="H3" i="35" s="1"/>
  <c r="B3" i="34" s="1"/>
  <c r="C3" i="34" s="1"/>
  <c r="D3" i="34" s="1"/>
  <c r="E3" i="34" s="1"/>
  <c r="F3" i="34" s="1"/>
  <c r="G3" i="34" s="1"/>
  <c r="H3" i="34" s="1"/>
  <c r="B3" i="36" s="1"/>
  <c r="C3" i="36" s="1"/>
  <c r="D3" i="36" s="1"/>
  <c r="E3" i="36" s="1"/>
  <c r="F3" i="36" s="1"/>
  <c r="G3" i="36" s="1"/>
  <c r="H3" i="36" s="1"/>
  <c r="B3" i="33" s="1"/>
  <c r="C3" i="33" s="1"/>
  <c r="D3" i="33" s="1"/>
  <c r="E3" i="33" s="1"/>
  <c r="F3" i="33" s="1"/>
  <c r="G3" i="33" s="1"/>
  <c r="H3" i="33" s="1"/>
  <c r="B3" i="42" s="1"/>
  <c r="C3" i="42" s="1"/>
  <c r="D3" i="42" s="1"/>
  <c r="E3" i="42" s="1"/>
  <c r="F3" i="42" s="1"/>
  <c r="G3" i="42" s="1"/>
  <c r="H3" i="42" s="1"/>
  <c r="B3" i="41" s="1"/>
  <c r="C3" i="41" s="1"/>
  <c r="D3" i="41" s="1"/>
  <c r="E3" i="41" s="1"/>
  <c r="F3" i="41" s="1"/>
  <c r="G3" i="41" s="1"/>
  <c r="H3" i="41" s="1"/>
  <c r="B3" i="40" s="1"/>
  <c r="C3" i="40" s="1"/>
  <c r="D3" i="40" s="1"/>
  <c r="E3" i="40" s="1"/>
  <c r="F3" i="40" s="1"/>
  <c r="G3" i="40" s="1"/>
  <c r="H3" i="40" s="1"/>
  <c r="B3" i="39" s="1"/>
  <c r="C3" i="39" s="1"/>
  <c r="D3" i="39" s="1"/>
  <c r="E3" i="39" s="1"/>
  <c r="F3" i="39" s="1"/>
  <c r="G3" i="39" s="1"/>
  <c r="H3" i="39" s="1"/>
  <c r="B3" i="38" s="1"/>
  <c r="C3" i="38" s="1"/>
  <c r="D3" i="38" s="1"/>
  <c r="E3" i="38" s="1"/>
  <c r="F3" i="38" s="1"/>
  <c r="G3" i="38" s="1"/>
  <c r="H3" i="38" s="1"/>
  <c r="B3" i="37" s="1"/>
  <c r="C3" i="37" s="1"/>
  <c r="D3" i="37" s="1"/>
  <c r="E3" i="37" s="1"/>
  <c r="F3" i="37" s="1"/>
  <c r="G3" i="37" s="1"/>
  <c r="H3" i="37" s="1"/>
  <c r="B3" i="44" s="1"/>
  <c r="C3" i="44" s="1"/>
  <c r="D3" i="44" s="1"/>
  <c r="E3" i="44" s="1"/>
  <c r="F3" i="44" s="1"/>
  <c r="G3" i="44" s="1"/>
  <c r="H3" i="44" s="1"/>
  <c r="B3" i="43" s="1"/>
  <c r="C3" i="43" s="1"/>
  <c r="D3" i="43" s="1"/>
  <c r="E3" i="43" s="1"/>
  <c r="F3" i="43" s="1"/>
  <c r="G3" i="43" s="1"/>
  <c r="H3" i="43" s="1"/>
  <c r="B3" i="45" s="1"/>
  <c r="C3" i="45" s="1"/>
  <c r="D3" i="45" s="1"/>
  <c r="E3" i="45" s="1"/>
  <c r="F3" i="45" s="1"/>
  <c r="G3" i="45" s="1"/>
  <c r="H3" i="45" s="1"/>
  <c r="B3" i="46" s="1"/>
  <c r="C3" i="46" s="1"/>
  <c r="D3" i="46" s="1"/>
  <c r="E3" i="46" s="1"/>
  <c r="F3" i="46" s="1"/>
  <c r="G3" i="46" s="1"/>
  <c r="H3" i="46" s="1"/>
  <c r="B3" i="47" s="1"/>
  <c r="C3" i="47" s="1"/>
  <c r="D3" i="47" s="1"/>
  <c r="E3" i="47" s="1"/>
  <c r="F3" i="47" s="1"/>
  <c r="G3" i="47" s="1"/>
  <c r="H3" i="47" s="1"/>
  <c r="B3" i="48" s="1"/>
  <c r="C3" i="48" s="1"/>
  <c r="D3" i="48" s="1"/>
  <c r="E3" i="48" s="1"/>
  <c r="F3" i="48" s="1"/>
  <c r="G3" i="48" s="1"/>
  <c r="H3" i="48" s="1"/>
  <c r="B3" i="49" s="1"/>
  <c r="H2" i="29"/>
  <c r="H38" i="31"/>
  <c r="XFD21" i="3"/>
  <c r="H53" i="30"/>
  <c r="H33" i="30"/>
  <c r="H34" i="30" s="1"/>
  <c r="G33" i="30"/>
  <c r="G34" i="30" s="1"/>
  <c r="F33" i="30"/>
  <c r="F34" i="30" s="1"/>
  <c r="E33" i="30"/>
  <c r="E34" i="30" s="1"/>
  <c r="D33" i="30"/>
  <c r="D34" i="30" s="1"/>
  <c r="C33" i="30"/>
  <c r="B33" i="30"/>
  <c r="B34" i="30" s="1"/>
  <c r="H27" i="30"/>
  <c r="H28" i="30" s="1"/>
  <c r="G27" i="30"/>
  <c r="G28" i="30" s="1"/>
  <c r="F27" i="30"/>
  <c r="F28" i="30" s="1"/>
  <c r="E27" i="30"/>
  <c r="E28" i="30" s="1"/>
  <c r="D27" i="30"/>
  <c r="D28" i="30" s="1"/>
  <c r="C27" i="30"/>
  <c r="C28" i="30" s="1"/>
  <c r="B27" i="30"/>
  <c r="B28" i="30" s="1"/>
  <c r="H21" i="30"/>
  <c r="H22" i="30" s="1"/>
  <c r="G21" i="30"/>
  <c r="G36" i="30" s="1"/>
  <c r="F21" i="30"/>
  <c r="F22" i="30" s="1"/>
  <c r="C21" i="30"/>
  <c r="C22" i="30" s="1"/>
  <c r="B21" i="30"/>
  <c r="B22" i="30" s="1"/>
  <c r="H14" i="30"/>
  <c r="G14" i="30"/>
  <c r="F14" i="30"/>
  <c r="E14" i="30"/>
  <c r="D14" i="30"/>
  <c r="C14" i="30"/>
  <c r="B14" i="30"/>
  <c r="H8" i="30"/>
  <c r="G8" i="30"/>
  <c r="F8" i="30"/>
  <c r="E8" i="30"/>
  <c r="D8" i="30"/>
  <c r="C8" i="30"/>
  <c r="B8" i="30"/>
  <c r="A20" i="29" l="1"/>
  <c r="A26" i="29" s="1"/>
  <c r="A32" i="29" s="1"/>
  <c r="A20" i="30" s="1"/>
  <c r="A26" i="30" s="1"/>
  <c r="A32" i="30" s="1"/>
  <c r="A20" i="35" s="1"/>
  <c r="A26" i="35" s="1"/>
  <c r="A32" i="35" s="1"/>
  <c r="A20" i="34" s="1"/>
  <c r="A26" i="34" s="1"/>
  <c r="A32" i="34" s="1"/>
  <c r="A20" i="36" s="1"/>
  <c r="A26" i="36" s="1"/>
  <c r="A32" i="36" s="1"/>
  <c r="A20" i="33" s="1"/>
  <c r="A26" i="33" s="1"/>
  <c r="A32" i="27"/>
  <c r="E36" i="30"/>
  <c r="E37" i="30" s="1"/>
  <c r="H40" i="31"/>
  <c r="H39" i="31"/>
  <c r="C15" i="30"/>
  <c r="C36" i="30"/>
  <c r="C37" i="30" s="1"/>
  <c r="C34" i="30"/>
  <c r="D36" i="30"/>
  <c r="D37" i="30" s="1"/>
  <c r="G15" i="30"/>
  <c r="G22" i="30"/>
  <c r="E15" i="30"/>
  <c r="D15" i="30"/>
  <c r="F15" i="30"/>
  <c r="H15" i="30"/>
  <c r="G37" i="30"/>
  <c r="B15" i="30"/>
  <c r="H9" i="30"/>
  <c r="F36" i="30"/>
  <c r="F37" i="30" s="1"/>
  <c r="H36" i="30"/>
  <c r="H37" i="30" s="1"/>
  <c r="H16" i="30"/>
  <c r="B36" i="30"/>
  <c r="H53" i="29"/>
  <c r="B33" i="29"/>
  <c r="B27" i="29"/>
  <c r="B28" i="29" s="1"/>
  <c r="B21" i="29"/>
  <c r="B22" i="29" s="1"/>
  <c r="B36" i="29"/>
  <c r="C33" i="29"/>
  <c r="C27" i="29"/>
  <c r="C21" i="29"/>
  <c r="C22" i="29" s="1"/>
  <c r="C36" i="29"/>
  <c r="D33" i="29"/>
  <c r="D34" i="29" s="1"/>
  <c r="D27" i="29"/>
  <c r="E33" i="29"/>
  <c r="E27" i="29"/>
  <c r="E28" i="29" s="1"/>
  <c r="F33" i="29"/>
  <c r="F27" i="29"/>
  <c r="F28" i="29" s="1"/>
  <c r="F21" i="29"/>
  <c r="F22" i="29" s="1"/>
  <c r="G33" i="29"/>
  <c r="G27" i="29"/>
  <c r="G28" i="29" s="1"/>
  <c r="G21" i="29"/>
  <c r="H33" i="29"/>
  <c r="H27" i="29"/>
  <c r="H28" i="29" s="1"/>
  <c r="H21" i="29"/>
  <c r="B14" i="29"/>
  <c r="C14" i="29"/>
  <c r="D14" i="29"/>
  <c r="E14" i="29"/>
  <c r="F14" i="29"/>
  <c r="G14" i="29"/>
  <c r="H14" i="29"/>
  <c r="B8" i="29"/>
  <c r="C8" i="29"/>
  <c r="C15" i="29" s="1"/>
  <c r="D8" i="29"/>
  <c r="E8" i="29"/>
  <c r="F8" i="29"/>
  <c r="F15" i="29" s="1"/>
  <c r="G8" i="29"/>
  <c r="H8" i="29"/>
  <c r="H34" i="29"/>
  <c r="G34" i="29"/>
  <c r="E34" i="29"/>
  <c r="C34" i="29"/>
  <c r="B34" i="29"/>
  <c r="D28" i="29"/>
  <c r="C28" i="29"/>
  <c r="H22" i="29"/>
  <c r="G22" i="29"/>
  <c r="G15" i="29"/>
  <c r="H53" i="27"/>
  <c r="B33" i="27"/>
  <c r="B27" i="27"/>
  <c r="B28" i="27" s="1"/>
  <c r="B21" i="27"/>
  <c r="C33" i="27"/>
  <c r="C27" i="27"/>
  <c r="C28" i="27" s="1"/>
  <c r="C21" i="27"/>
  <c r="C22" i="27" s="1"/>
  <c r="D33" i="27"/>
  <c r="D34" i="27" s="1"/>
  <c r="D27" i="27"/>
  <c r="E33" i="27"/>
  <c r="E34" i="27" s="1"/>
  <c r="E27" i="27"/>
  <c r="E28" i="27" s="1"/>
  <c r="F33" i="27"/>
  <c r="F27" i="27"/>
  <c r="F28" i="27" s="1"/>
  <c r="F21" i="27"/>
  <c r="G33" i="27"/>
  <c r="G27" i="27"/>
  <c r="G28" i="27" s="1"/>
  <c r="G21" i="27"/>
  <c r="H33" i="27"/>
  <c r="H27" i="27"/>
  <c r="H21" i="27"/>
  <c r="H22" i="27" s="1"/>
  <c r="B14" i="27"/>
  <c r="C14" i="27"/>
  <c r="D12" i="27"/>
  <c r="D13" i="27"/>
  <c r="E14" i="27"/>
  <c r="F14" i="27"/>
  <c r="G14" i="27"/>
  <c r="H14" i="27"/>
  <c r="B8" i="27"/>
  <c r="C8" i="27"/>
  <c r="D8" i="27"/>
  <c r="E8" i="27"/>
  <c r="F8" i="27"/>
  <c r="G8" i="27"/>
  <c r="H8" i="27"/>
  <c r="H15" i="27" s="1"/>
  <c r="H34" i="27"/>
  <c r="C34" i="27"/>
  <c r="H28" i="27"/>
  <c r="D28" i="27"/>
  <c r="G22" i="27"/>
  <c r="F22" i="27"/>
  <c r="B22" i="27"/>
  <c r="B15" i="27"/>
  <c r="C33" i="15"/>
  <c r="C34" i="15" s="1"/>
  <c r="D33" i="15"/>
  <c r="D34" i="15" s="1"/>
  <c r="E33" i="15"/>
  <c r="F33" i="15"/>
  <c r="F34" i="15" s="1"/>
  <c r="G33" i="15"/>
  <c r="H33" i="15"/>
  <c r="C27" i="15"/>
  <c r="C28" i="15" s="1"/>
  <c r="D27" i="15"/>
  <c r="D28" i="15" s="1"/>
  <c r="E27" i="15"/>
  <c r="F27" i="15"/>
  <c r="F28" i="15" s="1"/>
  <c r="G27" i="15"/>
  <c r="G28" i="15" s="1"/>
  <c r="H27" i="15"/>
  <c r="H28" i="15" s="1"/>
  <c r="C21" i="15"/>
  <c r="C22" i="15" s="1"/>
  <c r="D21" i="15"/>
  <c r="E21" i="15"/>
  <c r="F21" i="15"/>
  <c r="F22" i="15" s="1"/>
  <c r="G21" i="15"/>
  <c r="G22" i="15" s="1"/>
  <c r="H21" i="15"/>
  <c r="H22" i="15" s="1"/>
  <c r="B33" i="15"/>
  <c r="B34" i="15" s="1"/>
  <c r="B27" i="15"/>
  <c r="B28" i="15" s="1"/>
  <c r="B21" i="15"/>
  <c r="C33" i="14"/>
  <c r="C34" i="14" s="1"/>
  <c r="D33" i="14"/>
  <c r="D34" i="14" s="1"/>
  <c r="E33" i="14"/>
  <c r="F33" i="14"/>
  <c r="F34" i="14" s="1"/>
  <c r="H33" i="14"/>
  <c r="H34" i="14" s="1"/>
  <c r="B33" i="14"/>
  <c r="B34" i="14" s="1"/>
  <c r="B27" i="14"/>
  <c r="C27" i="14"/>
  <c r="C28" i="14" s="1"/>
  <c r="D27" i="14"/>
  <c r="E27" i="14"/>
  <c r="F27" i="14"/>
  <c r="F28" i="14" s="1"/>
  <c r="G27" i="14"/>
  <c r="H27" i="14"/>
  <c r="H28" i="14" s="1"/>
  <c r="G21" i="14"/>
  <c r="G22" i="14" s="1"/>
  <c r="H21" i="14"/>
  <c r="F21" i="14"/>
  <c r="F22" i="14" s="1"/>
  <c r="C21" i="14"/>
  <c r="B21" i="14"/>
  <c r="D47" i="26"/>
  <c r="E47" i="26"/>
  <c r="F47" i="26"/>
  <c r="G47" i="26"/>
  <c r="H47" i="26"/>
  <c r="I47" i="26"/>
  <c r="C47" i="26"/>
  <c r="D32" i="26"/>
  <c r="E32" i="26"/>
  <c r="F32" i="26"/>
  <c r="G32" i="26"/>
  <c r="H32" i="26"/>
  <c r="I32" i="26"/>
  <c r="C32" i="26"/>
  <c r="D16" i="26"/>
  <c r="G16" i="26"/>
  <c r="H16" i="26"/>
  <c r="I16" i="26"/>
  <c r="C16" i="26"/>
  <c r="C33" i="13"/>
  <c r="C34" i="13" s="1"/>
  <c r="D33" i="13"/>
  <c r="E33" i="13"/>
  <c r="E34" i="13" s="1"/>
  <c r="F33" i="13"/>
  <c r="G33" i="13"/>
  <c r="H33" i="13"/>
  <c r="B33" i="13"/>
  <c r="B34" i="13" s="1"/>
  <c r="C27" i="13"/>
  <c r="C28" i="13" s="1"/>
  <c r="D27" i="13"/>
  <c r="D28" i="13" s="1"/>
  <c r="E27" i="13"/>
  <c r="E28" i="13" s="1"/>
  <c r="F27" i="13"/>
  <c r="G27" i="13"/>
  <c r="H27" i="13"/>
  <c r="B27" i="13"/>
  <c r="C21" i="13"/>
  <c r="C22" i="13" s="1"/>
  <c r="D21" i="13"/>
  <c r="E21" i="13"/>
  <c r="F21" i="13"/>
  <c r="G21" i="13"/>
  <c r="G22" i="13" s="1"/>
  <c r="H21" i="13"/>
  <c r="B21" i="13"/>
  <c r="C33" i="12"/>
  <c r="C34" i="12" s="1"/>
  <c r="D33" i="12"/>
  <c r="E33" i="12"/>
  <c r="E34" i="12" s="1"/>
  <c r="F33" i="12"/>
  <c r="F34" i="12" s="1"/>
  <c r="G33" i="12"/>
  <c r="G34" i="12" s="1"/>
  <c r="H33" i="12"/>
  <c r="B33" i="12"/>
  <c r="B34" i="12" s="1"/>
  <c r="C27" i="12"/>
  <c r="D27" i="12"/>
  <c r="D28" i="12" s="1"/>
  <c r="E27" i="12"/>
  <c r="E28" i="12" s="1"/>
  <c r="F27" i="12"/>
  <c r="G27" i="12"/>
  <c r="G28" i="12" s="1"/>
  <c r="H27" i="12"/>
  <c r="H28" i="12" s="1"/>
  <c r="B27" i="12"/>
  <c r="G21" i="12"/>
  <c r="H21" i="12"/>
  <c r="F21" i="12"/>
  <c r="C21" i="12"/>
  <c r="C22" i="12" s="1"/>
  <c r="B21" i="12"/>
  <c r="B22" i="12" s="1"/>
  <c r="D34" i="11"/>
  <c r="G34" i="11"/>
  <c r="B34" i="11"/>
  <c r="C27" i="11"/>
  <c r="D27" i="11"/>
  <c r="E27" i="11"/>
  <c r="F27" i="11"/>
  <c r="G27" i="11"/>
  <c r="H27" i="11"/>
  <c r="H28" i="11" s="1"/>
  <c r="B27" i="11"/>
  <c r="D36" i="11"/>
  <c r="F22" i="11"/>
  <c r="G22" i="11"/>
  <c r="C33" i="10"/>
  <c r="D33" i="10"/>
  <c r="E33" i="10"/>
  <c r="E34" i="10" s="1"/>
  <c r="F33" i="10"/>
  <c r="G33" i="10"/>
  <c r="G34" i="10" s="1"/>
  <c r="H33" i="10"/>
  <c r="H34" i="10" s="1"/>
  <c r="B33" i="10"/>
  <c r="C27" i="10"/>
  <c r="D27" i="10"/>
  <c r="E27" i="10"/>
  <c r="E28" i="10" s="1"/>
  <c r="F27" i="10"/>
  <c r="F28" i="10" s="1"/>
  <c r="G27" i="10"/>
  <c r="H27" i="10"/>
  <c r="B27" i="10"/>
  <c r="B28" i="10" s="1"/>
  <c r="C21" i="10"/>
  <c r="F21" i="10"/>
  <c r="G21" i="10"/>
  <c r="H21" i="10"/>
  <c r="H22" i="10" s="1"/>
  <c r="B21" i="10"/>
  <c r="C33" i="9"/>
  <c r="D33" i="9"/>
  <c r="E33" i="9"/>
  <c r="E34" i="9" s="1"/>
  <c r="F33" i="9"/>
  <c r="G33" i="9"/>
  <c r="H33" i="9"/>
  <c r="H34" i="9" s="1"/>
  <c r="B33" i="9"/>
  <c r="C27" i="9"/>
  <c r="C28" i="9" s="1"/>
  <c r="D27" i="9"/>
  <c r="E27" i="9"/>
  <c r="E28" i="9" s="1"/>
  <c r="F27" i="9"/>
  <c r="F28" i="9" s="1"/>
  <c r="G27" i="9"/>
  <c r="G28" i="9" s="1"/>
  <c r="H27" i="9"/>
  <c r="B27" i="9"/>
  <c r="B28" i="9" s="1"/>
  <c r="C21" i="9"/>
  <c r="C22" i="9" s="1"/>
  <c r="D21" i="9"/>
  <c r="E21" i="9"/>
  <c r="F21" i="9"/>
  <c r="F22" i="9" s="1"/>
  <c r="G21" i="9"/>
  <c r="H21" i="9"/>
  <c r="B21" i="9"/>
  <c r="C33" i="8"/>
  <c r="D33" i="8"/>
  <c r="D34" i="8" s="1"/>
  <c r="E33" i="8"/>
  <c r="F33" i="8"/>
  <c r="G33" i="8"/>
  <c r="G34" i="8" s="1"/>
  <c r="H33" i="8"/>
  <c r="B33" i="8"/>
  <c r="C27" i="8"/>
  <c r="C28" i="8" s="1"/>
  <c r="D27" i="8"/>
  <c r="D28" i="8" s="1"/>
  <c r="E27" i="8"/>
  <c r="E28" i="8" s="1"/>
  <c r="F27" i="8"/>
  <c r="F28" i="8" s="1"/>
  <c r="G27" i="8"/>
  <c r="G28" i="8" s="1"/>
  <c r="H27" i="8"/>
  <c r="H28" i="8" s="1"/>
  <c r="B27" i="8"/>
  <c r="B28" i="8" s="1"/>
  <c r="C21" i="8"/>
  <c r="C22" i="8" s="1"/>
  <c r="D21" i="8"/>
  <c r="E21" i="8"/>
  <c r="F21" i="8"/>
  <c r="F22" i="8" s="1"/>
  <c r="G21" i="8"/>
  <c r="G22" i="8" s="1"/>
  <c r="H21" i="8"/>
  <c r="H22" i="8" s="1"/>
  <c r="B21" i="8"/>
  <c r="C34" i="7"/>
  <c r="C35" i="7" s="1"/>
  <c r="D34" i="7"/>
  <c r="E34" i="7"/>
  <c r="F34" i="7"/>
  <c r="G34" i="7"/>
  <c r="H34" i="7"/>
  <c r="H35" i="7" s="1"/>
  <c r="B34" i="7"/>
  <c r="B35" i="7" s="1"/>
  <c r="C28" i="7"/>
  <c r="C29" i="7" s="1"/>
  <c r="D28" i="7"/>
  <c r="D29" i="7" s="1"/>
  <c r="E28" i="7"/>
  <c r="F28" i="7"/>
  <c r="G28" i="7"/>
  <c r="H28" i="7"/>
  <c r="B28" i="7"/>
  <c r="B29" i="7" s="1"/>
  <c r="C21" i="7"/>
  <c r="D21" i="7"/>
  <c r="E21" i="7"/>
  <c r="F21" i="7"/>
  <c r="F22" i="7" s="1"/>
  <c r="G21" i="7"/>
  <c r="G22" i="7" s="1"/>
  <c r="H21" i="7"/>
  <c r="H22" i="7" s="1"/>
  <c r="B21" i="7"/>
  <c r="B22" i="7" s="1"/>
  <c r="C27" i="6"/>
  <c r="C28" i="6" s="1"/>
  <c r="D27" i="6"/>
  <c r="E27" i="6"/>
  <c r="F27" i="6"/>
  <c r="F28" i="6" s="1"/>
  <c r="G27" i="6"/>
  <c r="H27" i="6"/>
  <c r="H28" i="6" s="1"/>
  <c r="B27" i="6"/>
  <c r="C21" i="6"/>
  <c r="B21" i="6"/>
  <c r="B22" i="6" s="1"/>
  <c r="D33" i="6"/>
  <c r="D34" i="6" s="1"/>
  <c r="E33" i="6"/>
  <c r="G33" i="6"/>
  <c r="G34" i="6" s="1"/>
  <c r="H33" i="6"/>
  <c r="H34" i="6" s="1"/>
  <c r="F33" i="6"/>
  <c r="G21" i="6"/>
  <c r="G22" i="6" s="1"/>
  <c r="H21" i="6"/>
  <c r="F21" i="6"/>
  <c r="H52" i="8"/>
  <c r="F22" i="2"/>
  <c r="H8" i="5"/>
  <c r="F11" i="3"/>
  <c r="F11" i="22" s="1"/>
  <c r="E12" i="3"/>
  <c r="E14" i="3" s="1"/>
  <c r="H13" i="17"/>
  <c r="G13" i="17"/>
  <c r="F13" i="17"/>
  <c r="E13" i="17"/>
  <c r="D13" i="17"/>
  <c r="C13" i="17"/>
  <c r="B13" i="17"/>
  <c r="H12" i="17"/>
  <c r="G12" i="17"/>
  <c r="F12" i="17"/>
  <c r="E12" i="17"/>
  <c r="E14" i="17" s="1"/>
  <c r="D12" i="17"/>
  <c r="D14" i="17" s="1"/>
  <c r="C12" i="17"/>
  <c r="B12" i="17"/>
  <c r="H11" i="17"/>
  <c r="G11" i="17"/>
  <c r="F11" i="17"/>
  <c r="C11" i="17"/>
  <c r="B11" i="17"/>
  <c r="H13" i="16"/>
  <c r="G13" i="16"/>
  <c r="F13" i="16"/>
  <c r="E13" i="16"/>
  <c r="D13" i="16"/>
  <c r="C13" i="16"/>
  <c r="B13" i="16"/>
  <c r="H12" i="16"/>
  <c r="G12" i="16"/>
  <c r="F12" i="16"/>
  <c r="E12" i="16"/>
  <c r="D12" i="16"/>
  <c r="C12" i="16"/>
  <c r="B12" i="16"/>
  <c r="H11" i="16"/>
  <c r="G11" i="16"/>
  <c r="F11" i="16"/>
  <c r="C11" i="16"/>
  <c r="C14" i="16" s="1"/>
  <c r="B11" i="16"/>
  <c r="E28" i="15"/>
  <c r="B22" i="15"/>
  <c r="E8" i="13"/>
  <c r="D8" i="13"/>
  <c r="G14" i="17"/>
  <c r="E14" i="14"/>
  <c r="H14" i="15"/>
  <c r="G14" i="15"/>
  <c r="F14" i="15"/>
  <c r="E14" i="15"/>
  <c r="D14" i="15"/>
  <c r="C14" i="15"/>
  <c r="B14" i="15"/>
  <c r="H14" i="14"/>
  <c r="G14" i="14"/>
  <c r="F14" i="14"/>
  <c r="D14" i="14"/>
  <c r="C14" i="14"/>
  <c r="B14" i="14"/>
  <c r="B21" i="16"/>
  <c r="B22" i="16" s="1"/>
  <c r="B21" i="17"/>
  <c r="H13" i="2"/>
  <c r="H13" i="3"/>
  <c r="G13" i="2"/>
  <c r="G13" i="3"/>
  <c r="F13" i="2"/>
  <c r="F13" i="3"/>
  <c r="E13" i="2"/>
  <c r="E13" i="4"/>
  <c r="E13" i="22" s="1"/>
  <c r="D13" i="2"/>
  <c r="D13" i="3"/>
  <c r="D13" i="4"/>
  <c r="C13" i="2"/>
  <c r="C13" i="3"/>
  <c r="C13" i="4"/>
  <c r="B13" i="2"/>
  <c r="B13" i="3"/>
  <c r="B13" i="4"/>
  <c r="B11" i="2"/>
  <c r="B11" i="3"/>
  <c r="B11" i="4"/>
  <c r="E21" i="24"/>
  <c r="E21" i="22"/>
  <c r="D21" i="22"/>
  <c r="E11" i="24"/>
  <c r="D11" i="24"/>
  <c r="H53" i="24"/>
  <c r="E11" i="23"/>
  <c r="D11" i="23"/>
  <c r="H7" i="23"/>
  <c r="G7" i="23"/>
  <c r="F7" i="23"/>
  <c r="E7" i="23"/>
  <c r="D7" i="23"/>
  <c r="C7" i="23"/>
  <c r="H6" i="23"/>
  <c r="G6" i="23"/>
  <c r="F6" i="23"/>
  <c r="E6" i="23"/>
  <c r="D6" i="23"/>
  <c r="C6" i="23"/>
  <c r="H5" i="23"/>
  <c r="G5" i="23"/>
  <c r="F5" i="23"/>
  <c r="E5" i="23"/>
  <c r="D5" i="23"/>
  <c r="C5" i="23"/>
  <c r="B7" i="23"/>
  <c r="B6" i="23"/>
  <c r="B5" i="23"/>
  <c r="H53" i="23"/>
  <c r="E11" i="22"/>
  <c r="D11" i="22"/>
  <c r="H7" i="22"/>
  <c r="G7" i="22"/>
  <c r="F7" i="22"/>
  <c r="E7" i="22"/>
  <c r="D7" i="22"/>
  <c r="C7" i="22"/>
  <c r="H6" i="22"/>
  <c r="G6" i="22"/>
  <c r="F6" i="22"/>
  <c r="E6" i="22"/>
  <c r="D6" i="22"/>
  <c r="C6" i="22"/>
  <c r="H5" i="22"/>
  <c r="G5" i="22"/>
  <c r="F5" i="22"/>
  <c r="F8" i="22" s="1"/>
  <c r="E5" i="22"/>
  <c r="D5" i="22"/>
  <c r="C5" i="22"/>
  <c r="B7" i="22"/>
  <c r="B6" i="22"/>
  <c r="B5" i="22"/>
  <c r="H53" i="22"/>
  <c r="H12" i="2"/>
  <c r="G12" i="2"/>
  <c r="F12" i="2"/>
  <c r="E12" i="2"/>
  <c r="E14" i="2" s="1"/>
  <c r="D12" i="2"/>
  <c r="C12" i="2"/>
  <c r="B12" i="2"/>
  <c r="H11" i="2"/>
  <c r="G11" i="2"/>
  <c r="F11" i="2"/>
  <c r="C11" i="2"/>
  <c r="H12" i="3"/>
  <c r="G12" i="3"/>
  <c r="G12" i="22" s="1"/>
  <c r="F12" i="3"/>
  <c r="D12" i="3"/>
  <c r="C12" i="3"/>
  <c r="B12" i="3"/>
  <c r="H11" i="3"/>
  <c r="G11" i="3"/>
  <c r="C11" i="3"/>
  <c r="E12" i="4"/>
  <c r="E14" i="4" s="1"/>
  <c r="D12" i="4"/>
  <c r="C12" i="4"/>
  <c r="B12" i="4"/>
  <c r="C11" i="4"/>
  <c r="D14" i="5"/>
  <c r="E13" i="23"/>
  <c r="C11" i="23"/>
  <c r="G13" i="24"/>
  <c r="E14" i="10"/>
  <c r="D12" i="24"/>
  <c r="B14" i="10"/>
  <c r="F13" i="24"/>
  <c r="H14" i="11"/>
  <c r="B14" i="12"/>
  <c r="E13" i="24"/>
  <c r="D14" i="13"/>
  <c r="B14" i="13"/>
  <c r="H14" i="13"/>
  <c r="G14" i="13"/>
  <c r="D14" i="9"/>
  <c r="E14" i="11"/>
  <c r="D14" i="12"/>
  <c r="E14" i="12"/>
  <c r="D14" i="11"/>
  <c r="B33" i="6"/>
  <c r="B34" i="6" s="1"/>
  <c r="C3" i="2"/>
  <c r="D3" i="2" s="1"/>
  <c r="E3" i="2" s="1"/>
  <c r="F3" i="2" s="1"/>
  <c r="G3" i="2" s="1"/>
  <c r="H3" i="2" s="1"/>
  <c r="B22" i="11"/>
  <c r="D8" i="12"/>
  <c r="B34" i="1"/>
  <c r="B28" i="1"/>
  <c r="B22" i="1"/>
  <c r="C27" i="1"/>
  <c r="C28" i="1" s="1"/>
  <c r="C22" i="1"/>
  <c r="D27" i="1"/>
  <c r="D28" i="1" s="1"/>
  <c r="E34" i="1"/>
  <c r="E27" i="1"/>
  <c r="F34" i="1"/>
  <c r="F27" i="1"/>
  <c r="F28" i="1" s="1"/>
  <c r="G27" i="1"/>
  <c r="G22" i="1"/>
  <c r="H34" i="1"/>
  <c r="H27" i="1"/>
  <c r="H22" i="1"/>
  <c r="B8" i="1"/>
  <c r="B15" i="1" s="1"/>
  <c r="C8" i="1"/>
  <c r="C15" i="1" s="1"/>
  <c r="D8" i="1"/>
  <c r="D15" i="1" s="1"/>
  <c r="E8" i="1"/>
  <c r="E15" i="1" s="1"/>
  <c r="F8" i="1"/>
  <c r="F15" i="1" s="1"/>
  <c r="G8" i="1"/>
  <c r="G15" i="1" s="1"/>
  <c r="H8" i="1"/>
  <c r="H28" i="9"/>
  <c r="H22" i="9"/>
  <c r="H8" i="9"/>
  <c r="H34" i="2"/>
  <c r="H34" i="3"/>
  <c r="H34" i="4"/>
  <c r="H34" i="11"/>
  <c r="H34" i="12"/>
  <c r="H34" i="15"/>
  <c r="H34" i="16"/>
  <c r="H33" i="17"/>
  <c r="H34" i="17" s="1"/>
  <c r="H28" i="2"/>
  <c r="H28" i="4"/>
  <c r="H29" i="7"/>
  <c r="H28" i="10"/>
  <c r="H28" i="16"/>
  <c r="H27" i="17"/>
  <c r="H28" i="17" s="1"/>
  <c r="H22" i="2"/>
  <c r="H22" i="3"/>
  <c r="H22" i="4"/>
  <c r="H22" i="6"/>
  <c r="H22" i="11"/>
  <c r="H22" i="12"/>
  <c r="H22" i="13"/>
  <c r="H22" i="14"/>
  <c r="H21" i="16"/>
  <c r="H22" i="16" s="1"/>
  <c r="H21" i="17"/>
  <c r="H22" i="17" s="1"/>
  <c r="B8" i="10"/>
  <c r="H53" i="2"/>
  <c r="H53" i="3"/>
  <c r="H53" i="4"/>
  <c r="H53" i="5"/>
  <c r="H52" i="6"/>
  <c r="H53" i="7"/>
  <c r="H52" i="9"/>
  <c r="H52" i="10"/>
  <c r="H52" i="11"/>
  <c r="H52" i="12"/>
  <c r="H52" i="13"/>
  <c r="H52" i="14"/>
  <c r="H52" i="15"/>
  <c r="H53" i="16"/>
  <c r="H53" i="17"/>
  <c r="H53" i="1"/>
  <c r="H8" i="2"/>
  <c r="G8" i="2"/>
  <c r="F8" i="2"/>
  <c r="E8" i="2"/>
  <c r="D8" i="2"/>
  <c r="C8" i="2"/>
  <c r="H8" i="3"/>
  <c r="G8" i="3"/>
  <c r="F8" i="3"/>
  <c r="E8" i="3"/>
  <c r="D8" i="3"/>
  <c r="C8" i="3"/>
  <c r="H8" i="4"/>
  <c r="H15" i="4" s="1"/>
  <c r="G8" i="4"/>
  <c r="F8" i="4"/>
  <c r="F15" i="4" s="1"/>
  <c r="E8" i="4"/>
  <c r="D8" i="4"/>
  <c r="C8" i="4"/>
  <c r="G8" i="5"/>
  <c r="F8" i="5"/>
  <c r="E8" i="5"/>
  <c r="D8" i="5"/>
  <c r="C8" i="5"/>
  <c r="H15" i="6"/>
  <c r="G15" i="6"/>
  <c r="F15" i="6"/>
  <c r="E8" i="6"/>
  <c r="D8" i="6"/>
  <c r="D15" i="6" s="1"/>
  <c r="C8" i="6"/>
  <c r="C15" i="6" s="1"/>
  <c r="H8" i="7"/>
  <c r="G8" i="7"/>
  <c r="G15" i="7" s="1"/>
  <c r="F8" i="7"/>
  <c r="F15" i="7" s="1"/>
  <c r="E8" i="7"/>
  <c r="D8" i="7"/>
  <c r="D15" i="7" s="1"/>
  <c r="C8" i="7"/>
  <c r="C15" i="7" s="1"/>
  <c r="H8" i="8"/>
  <c r="H15" i="8" s="1"/>
  <c r="G8" i="8"/>
  <c r="G15" i="8" s="1"/>
  <c r="F8" i="8"/>
  <c r="F15" i="8" s="1"/>
  <c r="E8" i="8"/>
  <c r="D8" i="8"/>
  <c r="D15" i="8" s="1"/>
  <c r="C8" i="8"/>
  <c r="C15" i="8" s="1"/>
  <c r="G8" i="9"/>
  <c r="F8" i="9"/>
  <c r="E8" i="9"/>
  <c r="D8" i="9"/>
  <c r="C8" i="9"/>
  <c r="H8" i="10"/>
  <c r="G8" i="10"/>
  <c r="F8" i="10"/>
  <c r="E8" i="10"/>
  <c r="D8" i="10"/>
  <c r="C8" i="10"/>
  <c r="H8" i="11"/>
  <c r="G8" i="11"/>
  <c r="F8" i="11"/>
  <c r="E8" i="11"/>
  <c r="D8" i="11"/>
  <c r="C8" i="11"/>
  <c r="H8" i="12"/>
  <c r="G8" i="12"/>
  <c r="F8" i="12"/>
  <c r="E8" i="12"/>
  <c r="E15" i="12" s="1"/>
  <c r="C8" i="12"/>
  <c r="H8" i="13"/>
  <c r="G8" i="13"/>
  <c r="F8" i="13"/>
  <c r="C8" i="13"/>
  <c r="H8" i="14"/>
  <c r="G8" i="14"/>
  <c r="F8" i="14"/>
  <c r="F15" i="14" s="1"/>
  <c r="E8" i="14"/>
  <c r="D8" i="14"/>
  <c r="D15" i="14" s="1"/>
  <c r="C8" i="14"/>
  <c r="H8" i="15"/>
  <c r="G8" i="15"/>
  <c r="G15" i="15" s="1"/>
  <c r="F8" i="15"/>
  <c r="E8" i="15"/>
  <c r="D8" i="15"/>
  <c r="C8" i="15"/>
  <c r="H8" i="16"/>
  <c r="G8" i="16"/>
  <c r="F8" i="16"/>
  <c r="E8" i="16"/>
  <c r="D8" i="16"/>
  <c r="C8" i="16"/>
  <c r="H8" i="17"/>
  <c r="G8" i="17"/>
  <c r="G15" i="17"/>
  <c r="F8" i="17"/>
  <c r="E8" i="17"/>
  <c r="D8" i="17"/>
  <c r="C8" i="17"/>
  <c r="B8" i="2"/>
  <c r="B8" i="3"/>
  <c r="B8" i="4"/>
  <c r="B8" i="5"/>
  <c r="B8" i="6"/>
  <c r="B15" i="6" s="1"/>
  <c r="B8" i="7"/>
  <c r="B15" i="7" s="1"/>
  <c r="B8" i="8"/>
  <c r="B15" i="8" s="1"/>
  <c r="B8" i="9"/>
  <c r="B8" i="11"/>
  <c r="B8" i="12"/>
  <c r="B8" i="13"/>
  <c r="B15" i="13" s="1"/>
  <c r="B8" i="14"/>
  <c r="B8" i="15"/>
  <c r="B8" i="16"/>
  <c r="B8" i="17"/>
  <c r="G28" i="6"/>
  <c r="F22" i="6"/>
  <c r="E34" i="6"/>
  <c r="B28" i="6"/>
  <c r="C22" i="6"/>
  <c r="C33" i="6"/>
  <c r="C34" i="6" s="1"/>
  <c r="G35" i="7"/>
  <c r="F29" i="7"/>
  <c r="F35" i="7"/>
  <c r="E29" i="7"/>
  <c r="F34" i="8"/>
  <c r="B22" i="8"/>
  <c r="C34" i="8"/>
  <c r="G22" i="9"/>
  <c r="F34" i="9"/>
  <c r="D34" i="9"/>
  <c r="G22" i="10"/>
  <c r="G28" i="10"/>
  <c r="D34" i="10"/>
  <c r="B34" i="10"/>
  <c r="C34" i="10"/>
  <c r="G34" i="2"/>
  <c r="F34" i="2"/>
  <c r="E34" i="2"/>
  <c r="D34" i="2"/>
  <c r="F34" i="3"/>
  <c r="E34" i="3"/>
  <c r="C34" i="3"/>
  <c r="F34" i="4"/>
  <c r="D34" i="4"/>
  <c r="G28" i="5"/>
  <c r="D34" i="5"/>
  <c r="C34" i="5"/>
  <c r="C34" i="11"/>
  <c r="F22" i="12"/>
  <c r="D34" i="12"/>
  <c r="D34" i="13"/>
  <c r="G34" i="14"/>
  <c r="E34" i="14"/>
  <c r="G34" i="16"/>
  <c r="F34" i="16"/>
  <c r="E36" i="16"/>
  <c r="D34" i="16"/>
  <c r="C34" i="16"/>
  <c r="G33" i="17"/>
  <c r="G34" i="17" s="1"/>
  <c r="F33" i="17"/>
  <c r="F34" i="17" s="1"/>
  <c r="E33" i="17"/>
  <c r="E34" i="17" s="1"/>
  <c r="D33" i="17"/>
  <c r="D34" i="17" s="1"/>
  <c r="C33" i="17"/>
  <c r="C34" i="17" s="1"/>
  <c r="B34" i="2"/>
  <c r="B34" i="3"/>
  <c r="B34" i="5"/>
  <c r="B34" i="16"/>
  <c r="B33" i="17"/>
  <c r="G28" i="2"/>
  <c r="D28" i="2"/>
  <c r="C28" i="2"/>
  <c r="G28" i="3"/>
  <c r="C28" i="3"/>
  <c r="D36" i="4"/>
  <c r="C28" i="4"/>
  <c r="E28" i="5"/>
  <c r="D36" i="5"/>
  <c r="D37" i="5" s="1"/>
  <c r="C28" i="5"/>
  <c r="E28" i="11"/>
  <c r="D28" i="11"/>
  <c r="C28" i="11"/>
  <c r="C28" i="12"/>
  <c r="G28" i="13"/>
  <c r="F28" i="13"/>
  <c r="G28" i="14"/>
  <c r="D28" i="14"/>
  <c r="G28" i="16"/>
  <c r="F28" i="16"/>
  <c r="E28" i="16"/>
  <c r="D28" i="16"/>
  <c r="C28" i="16"/>
  <c r="G27" i="17"/>
  <c r="G28" i="17" s="1"/>
  <c r="F27" i="17"/>
  <c r="E27" i="17"/>
  <c r="E28" i="17" s="1"/>
  <c r="D27" i="17"/>
  <c r="D28" i="17" s="1"/>
  <c r="C27" i="17"/>
  <c r="C28" i="17" s="1"/>
  <c r="G28" i="1"/>
  <c r="B28" i="3"/>
  <c r="B28" i="4"/>
  <c r="B22" i="5"/>
  <c r="B28" i="11"/>
  <c r="B28" i="12"/>
  <c r="B28" i="16"/>
  <c r="B27" i="17"/>
  <c r="B28" i="17" s="1"/>
  <c r="G22" i="2"/>
  <c r="C22" i="2"/>
  <c r="G22" i="3"/>
  <c r="F36" i="3"/>
  <c r="C22" i="3"/>
  <c r="G22" i="4"/>
  <c r="F22" i="4"/>
  <c r="C22" i="4"/>
  <c r="C22" i="5"/>
  <c r="C22" i="11"/>
  <c r="G22" i="12"/>
  <c r="G21" i="16"/>
  <c r="G22" i="16" s="1"/>
  <c r="F21" i="16"/>
  <c r="F22" i="16" s="1"/>
  <c r="C22" i="16"/>
  <c r="G21" i="17"/>
  <c r="G22" i="17" s="1"/>
  <c r="F21" i="17"/>
  <c r="F22" i="17" s="1"/>
  <c r="F22" i="1"/>
  <c r="B22" i="2"/>
  <c r="B22" i="3"/>
  <c r="B22" i="4"/>
  <c r="B22" i="13"/>
  <c r="B22" i="17"/>
  <c r="E36" i="5"/>
  <c r="F34" i="5"/>
  <c r="H34" i="5"/>
  <c r="B36" i="10"/>
  <c r="H22" i="5"/>
  <c r="H36" i="2"/>
  <c r="H37" i="2" s="1"/>
  <c r="C34" i="4"/>
  <c r="H33" i="22"/>
  <c r="G34" i="9"/>
  <c r="F34" i="11"/>
  <c r="F28" i="2"/>
  <c r="F36" i="2"/>
  <c r="E28" i="2"/>
  <c r="D37" i="2"/>
  <c r="F28" i="3"/>
  <c r="B14" i="11"/>
  <c r="C13" i="23"/>
  <c r="D13" i="24"/>
  <c r="F14" i="12"/>
  <c r="B22" i="10"/>
  <c r="C34" i="2"/>
  <c r="B13" i="24"/>
  <c r="H13" i="24"/>
  <c r="E34" i="5"/>
  <c r="D33" i="22"/>
  <c r="D28" i="5"/>
  <c r="H36" i="4"/>
  <c r="G14" i="9"/>
  <c r="F11" i="24"/>
  <c r="G27" i="22"/>
  <c r="C21" i="22"/>
  <c r="G36" i="2"/>
  <c r="E36" i="2"/>
  <c r="E37" i="2" s="1"/>
  <c r="H14" i="12"/>
  <c r="C14" i="12"/>
  <c r="H14" i="9"/>
  <c r="G12" i="24"/>
  <c r="F14" i="10"/>
  <c r="C14" i="13"/>
  <c r="B12" i="24"/>
  <c r="G14" i="11"/>
  <c r="C14" i="11"/>
  <c r="H14" i="10"/>
  <c r="D14" i="10"/>
  <c r="C14" i="10"/>
  <c r="E12" i="23"/>
  <c r="C12" i="23"/>
  <c r="G12" i="23"/>
  <c r="F11" i="23"/>
  <c r="F14" i="5"/>
  <c r="F15" i="5" s="1"/>
  <c r="H12" i="22"/>
  <c r="H11" i="22"/>
  <c r="D36" i="12"/>
  <c r="B36" i="3"/>
  <c r="E34" i="15"/>
  <c r="C33" i="22"/>
  <c r="D28" i="4"/>
  <c r="H28" i="5"/>
  <c r="H36" i="3"/>
  <c r="H21" i="22"/>
  <c r="B36" i="1"/>
  <c r="H36" i="10"/>
  <c r="H37" i="10" s="1"/>
  <c r="E14" i="9"/>
  <c r="F14" i="13"/>
  <c r="F15" i="13" s="1"/>
  <c r="E12" i="24"/>
  <c r="H13" i="23"/>
  <c r="B12" i="23"/>
  <c r="C12" i="24"/>
  <c r="E14" i="5"/>
  <c r="C14" i="9"/>
  <c r="G15" i="4"/>
  <c r="F15" i="15"/>
  <c r="F14" i="11"/>
  <c r="H14" i="5"/>
  <c r="C11" i="24"/>
  <c r="C13" i="24"/>
  <c r="H11" i="24"/>
  <c r="B11" i="24"/>
  <c r="F12" i="23"/>
  <c r="F13" i="23"/>
  <c r="G11" i="23"/>
  <c r="C8" i="23"/>
  <c r="B14" i="5"/>
  <c r="G14" i="5"/>
  <c r="G13" i="22"/>
  <c r="H12" i="24"/>
  <c r="F12" i="24"/>
  <c r="F28" i="12"/>
  <c r="F33" i="22"/>
  <c r="E14" i="13"/>
  <c r="G14" i="12"/>
  <c r="F14" i="9"/>
  <c r="F15" i="9" s="1"/>
  <c r="B21" i="22"/>
  <c r="F22" i="13"/>
  <c r="G28" i="4"/>
  <c r="G11" i="24"/>
  <c r="B13" i="23"/>
  <c r="G13" i="23"/>
  <c r="D13" i="23"/>
  <c r="B14" i="9"/>
  <c r="B11" i="23"/>
  <c r="H11" i="23"/>
  <c r="G36" i="5"/>
  <c r="G34" i="5"/>
  <c r="C14" i="5"/>
  <c r="C36" i="5"/>
  <c r="G34" i="4"/>
  <c r="G36" i="4"/>
  <c r="E34" i="8"/>
  <c r="G33" i="22"/>
  <c r="C34" i="9"/>
  <c r="E28" i="3"/>
  <c r="E36" i="3"/>
  <c r="G34" i="3"/>
  <c r="G36" i="3"/>
  <c r="C36" i="13"/>
  <c r="C36" i="4"/>
  <c r="F28" i="4"/>
  <c r="F36" i="4"/>
  <c r="B33" i="22"/>
  <c r="C28" i="10"/>
  <c r="C27" i="24"/>
  <c r="B36" i="4"/>
  <c r="B34" i="4"/>
  <c r="H28" i="13"/>
  <c r="F22" i="3"/>
  <c r="D12" i="23"/>
  <c r="F22" i="5"/>
  <c r="F21" i="22"/>
  <c r="G34" i="13"/>
  <c r="C36" i="6"/>
  <c r="C37" i="6" s="1"/>
  <c r="C36" i="3"/>
  <c r="C37" i="3" s="1"/>
  <c r="G28" i="11"/>
  <c r="B27" i="24"/>
  <c r="H12" i="23"/>
  <c r="G14" i="10"/>
  <c r="G15" i="10" s="1"/>
  <c r="G34" i="15"/>
  <c r="B22" i="14"/>
  <c r="H34" i="13"/>
  <c r="H16" i="8"/>
  <c r="B34" i="9"/>
  <c r="B28" i="14"/>
  <c r="A20" i="42" l="1"/>
  <c r="A26" i="42" s="1"/>
  <c r="A32" i="33"/>
  <c r="B3" i="3"/>
  <c r="C3" i="3" s="1"/>
  <c r="D3" i="3" s="1"/>
  <c r="E3" i="3" s="1"/>
  <c r="F3" i="3" s="1"/>
  <c r="G3" i="3" s="1"/>
  <c r="H3" i="3" s="1"/>
  <c r="B3" i="4" s="1"/>
  <c r="C3" i="4" s="1"/>
  <c r="D3" i="4" s="1"/>
  <c r="E3" i="4" s="1"/>
  <c r="F3" i="4" s="1"/>
  <c r="G3" i="4" s="1"/>
  <c r="H3" i="4" s="1"/>
  <c r="B3" i="5" s="1"/>
  <c r="C3" i="5" s="1"/>
  <c r="D3" i="5" s="1"/>
  <c r="E3" i="5" s="1"/>
  <c r="F3" i="5" s="1"/>
  <c r="G3" i="5" s="1"/>
  <c r="H3" i="5" s="1"/>
  <c r="B3" i="6" s="1"/>
  <c r="C3" i="6" s="1"/>
  <c r="D3" i="6" s="1"/>
  <c r="E3" i="6" s="1"/>
  <c r="F3" i="6" s="1"/>
  <c r="G3" i="6" s="1"/>
  <c r="H3" i="6" s="1"/>
  <c r="B3" i="7" s="1"/>
  <c r="C3" i="7" s="1"/>
  <c r="D3" i="7" s="1"/>
  <c r="E3" i="7" s="1"/>
  <c r="F3" i="7" s="1"/>
  <c r="G3" i="7" s="1"/>
  <c r="H3" i="7" s="1"/>
  <c r="B3" i="8" s="1"/>
  <c r="C3" i="8" s="1"/>
  <c r="D3" i="8" s="1"/>
  <c r="E3" i="8" s="1"/>
  <c r="F3" i="8" s="1"/>
  <c r="G3" i="8" s="1"/>
  <c r="H3" i="8" s="1"/>
  <c r="B3" i="9" s="1"/>
  <c r="C3" i="9" s="1"/>
  <c r="D3" i="9" s="1"/>
  <c r="E3" i="9" s="1"/>
  <c r="F3" i="9" s="1"/>
  <c r="G3" i="9" s="1"/>
  <c r="H3" i="9" s="1"/>
  <c r="B3" i="10" s="1"/>
  <c r="C3" i="10" s="1"/>
  <c r="D3" i="10" s="1"/>
  <c r="E3" i="10" s="1"/>
  <c r="F3" i="10" s="1"/>
  <c r="G3" i="10" s="1"/>
  <c r="H3" i="10" s="1"/>
  <c r="B3" i="11" s="1"/>
  <c r="C3" i="11" s="1"/>
  <c r="D3" i="11" s="1"/>
  <c r="E3" i="11" s="1"/>
  <c r="F3" i="11" s="1"/>
  <c r="G3" i="11" s="1"/>
  <c r="H3" i="11" s="1"/>
  <c r="B3" i="12" s="1"/>
  <c r="C3" i="12" s="1"/>
  <c r="D3" i="12" s="1"/>
  <c r="E3" i="12" s="1"/>
  <c r="F3" i="12" s="1"/>
  <c r="G3" i="12" s="1"/>
  <c r="H3" i="12" s="1"/>
  <c r="B3" i="13" s="1"/>
  <c r="C3" i="13" s="1"/>
  <c r="D3" i="13" s="1"/>
  <c r="E3" i="13" s="1"/>
  <c r="F3" i="13" s="1"/>
  <c r="G3" i="13" s="1"/>
  <c r="H3" i="13" s="1"/>
  <c r="B3" i="14" s="1"/>
  <c r="C3" i="14" s="1"/>
  <c r="D3" i="14" s="1"/>
  <c r="E3" i="14" s="1"/>
  <c r="F3" i="14" s="1"/>
  <c r="G3" i="14" s="1"/>
  <c r="H3" i="14" s="1"/>
  <c r="D3" i="15" s="1"/>
  <c r="F3" i="15" s="1"/>
  <c r="G3" i="15" s="1"/>
  <c r="H3" i="15" s="1"/>
  <c r="B3" i="16" s="1"/>
  <c r="C3" i="16" s="1"/>
  <c r="D3" i="16" s="1"/>
  <c r="E3" i="16" s="1"/>
  <c r="F3" i="16" s="1"/>
  <c r="G3" i="16" s="1"/>
  <c r="H3" i="16" s="1"/>
  <c r="B3" i="17" s="1"/>
  <c r="C3" i="17" s="1"/>
  <c r="D3" i="17" s="1"/>
  <c r="E3" i="17" s="1"/>
  <c r="F3" i="17" s="1"/>
  <c r="G3" i="17" s="1"/>
  <c r="H3" i="17" s="1"/>
  <c r="G37" i="7"/>
  <c r="D14" i="27"/>
  <c r="C15" i="27"/>
  <c r="H36" i="27"/>
  <c r="F36" i="27"/>
  <c r="F37" i="27" s="1"/>
  <c r="G36" i="29"/>
  <c r="G37" i="29" s="1"/>
  <c r="C37" i="29"/>
  <c r="E15" i="29"/>
  <c r="E36" i="14"/>
  <c r="H36" i="29"/>
  <c r="H37" i="29" s="1"/>
  <c r="E36" i="15"/>
  <c r="H37" i="27"/>
  <c r="H9" i="27"/>
  <c r="B37" i="29"/>
  <c r="E36" i="29"/>
  <c r="E15" i="17"/>
  <c r="F34" i="27"/>
  <c r="C36" i="27"/>
  <c r="C37" i="27" s="1"/>
  <c r="H36" i="17"/>
  <c r="H37" i="17" s="1"/>
  <c r="G36" i="17"/>
  <c r="G37" i="17" s="1"/>
  <c r="F36" i="17"/>
  <c r="F37" i="17" s="1"/>
  <c r="F28" i="17"/>
  <c r="B36" i="16"/>
  <c r="G36" i="15"/>
  <c r="G37" i="15" s="1"/>
  <c r="F36" i="15"/>
  <c r="F37" i="15" s="1"/>
  <c r="E36" i="17"/>
  <c r="E37" i="17" s="1"/>
  <c r="D15" i="17"/>
  <c r="H14" i="17"/>
  <c r="H15" i="17" s="1"/>
  <c r="H21" i="24"/>
  <c r="D15" i="27"/>
  <c r="E15" i="5"/>
  <c r="C37" i="7"/>
  <c r="E33" i="23"/>
  <c r="B36" i="9"/>
  <c r="D36" i="9"/>
  <c r="F36" i="13"/>
  <c r="F37" i="13" s="1"/>
  <c r="G36" i="27"/>
  <c r="G37" i="27" s="1"/>
  <c r="B36" i="27"/>
  <c r="B14" i="17"/>
  <c r="E36" i="27"/>
  <c r="E37" i="27" s="1"/>
  <c r="D36" i="27"/>
  <c r="D37" i="27" s="1"/>
  <c r="D15" i="29"/>
  <c r="F36" i="29"/>
  <c r="F37" i="29" s="1"/>
  <c r="C36" i="17"/>
  <c r="C37" i="17" s="1"/>
  <c r="H9" i="17"/>
  <c r="B15" i="15"/>
  <c r="C15" i="16"/>
  <c r="F14" i="17"/>
  <c r="F15" i="17" s="1"/>
  <c r="C14" i="17"/>
  <c r="C36" i="11"/>
  <c r="H16" i="29"/>
  <c r="D36" i="29"/>
  <c r="D37" i="29" s="1"/>
  <c r="G15" i="14"/>
  <c r="H15" i="13"/>
  <c r="C15" i="12"/>
  <c r="G15" i="12"/>
  <c r="H15" i="11"/>
  <c r="G15" i="11"/>
  <c r="F15" i="11"/>
  <c r="C37" i="11"/>
  <c r="D15" i="10"/>
  <c r="B15" i="5"/>
  <c r="H37" i="3"/>
  <c r="D13" i="22"/>
  <c r="D14" i="3"/>
  <c r="C14" i="3"/>
  <c r="H14" i="2"/>
  <c r="H15" i="2" s="1"/>
  <c r="F14" i="2"/>
  <c r="F15" i="2" s="1"/>
  <c r="H9" i="2"/>
  <c r="E15" i="2"/>
  <c r="B14" i="2"/>
  <c r="B15" i="2" s="1"/>
  <c r="C36" i="16"/>
  <c r="C37" i="16" s="1"/>
  <c r="E14" i="16"/>
  <c r="E15" i="15"/>
  <c r="E37" i="15"/>
  <c r="C15" i="15"/>
  <c r="H16" i="15"/>
  <c r="G36" i="14"/>
  <c r="G37" i="14" s="1"/>
  <c r="C36" i="14"/>
  <c r="C37" i="14" s="1"/>
  <c r="B36" i="14"/>
  <c r="E15" i="14"/>
  <c r="D36" i="14"/>
  <c r="D37" i="14" s="1"/>
  <c r="E37" i="14"/>
  <c r="B37" i="14"/>
  <c r="H36" i="14"/>
  <c r="H37" i="14" s="1"/>
  <c r="C15" i="14"/>
  <c r="B15" i="14"/>
  <c r="D36" i="13"/>
  <c r="D37" i="13" s="1"/>
  <c r="H36" i="13"/>
  <c r="H37" i="13" s="1"/>
  <c r="G15" i="13"/>
  <c r="H16" i="13"/>
  <c r="G36" i="13"/>
  <c r="G37" i="13" s="1"/>
  <c r="F27" i="24"/>
  <c r="F28" i="24" s="1"/>
  <c r="B36" i="13"/>
  <c r="B37" i="13" s="1"/>
  <c r="D27" i="24"/>
  <c r="D28" i="24" s="1"/>
  <c r="F34" i="13"/>
  <c r="D37" i="12"/>
  <c r="C33" i="24"/>
  <c r="C34" i="24" s="1"/>
  <c r="H15" i="12"/>
  <c r="F15" i="12"/>
  <c r="F36" i="12"/>
  <c r="F37" i="12" s="1"/>
  <c r="F21" i="24"/>
  <c r="F22" i="24" s="1"/>
  <c r="B36" i="12"/>
  <c r="B37" i="12" s="1"/>
  <c r="G36" i="12"/>
  <c r="G37" i="12" s="1"/>
  <c r="B15" i="12"/>
  <c r="D21" i="24"/>
  <c r="D33" i="24"/>
  <c r="D34" i="24" s="1"/>
  <c r="D15" i="11"/>
  <c r="C21" i="24"/>
  <c r="C22" i="24" s="1"/>
  <c r="B15" i="11"/>
  <c r="D37" i="11"/>
  <c r="C15" i="11"/>
  <c r="H9" i="11"/>
  <c r="E36" i="11"/>
  <c r="E37" i="11" s="1"/>
  <c r="G21" i="24"/>
  <c r="G22" i="24" s="1"/>
  <c r="D36" i="10"/>
  <c r="D37" i="10" s="1"/>
  <c r="H15" i="10"/>
  <c r="E36" i="10"/>
  <c r="E37" i="10" s="1"/>
  <c r="D28" i="10"/>
  <c r="F36" i="10"/>
  <c r="F37" i="10" s="1"/>
  <c r="G33" i="24"/>
  <c r="G34" i="24" s="1"/>
  <c r="C36" i="10"/>
  <c r="C37" i="10" s="1"/>
  <c r="H9" i="10"/>
  <c r="C15" i="10"/>
  <c r="G36" i="10"/>
  <c r="G37" i="10" s="1"/>
  <c r="C15" i="9"/>
  <c r="H15" i="9"/>
  <c r="C36" i="9"/>
  <c r="C37" i="9" s="1"/>
  <c r="E36" i="9"/>
  <c r="E37" i="9" s="1"/>
  <c r="G36" i="9"/>
  <c r="B22" i="9"/>
  <c r="B37" i="9"/>
  <c r="D15" i="9"/>
  <c r="H16" i="9"/>
  <c r="B15" i="9"/>
  <c r="F36" i="9"/>
  <c r="G8" i="23"/>
  <c r="D37" i="9"/>
  <c r="H36" i="9"/>
  <c r="H37" i="9" s="1"/>
  <c r="E15" i="9"/>
  <c r="D28" i="9"/>
  <c r="H36" i="8"/>
  <c r="H37" i="8" s="1"/>
  <c r="B27" i="23"/>
  <c r="B28" i="23" s="1"/>
  <c r="E8" i="23"/>
  <c r="E36" i="8"/>
  <c r="E21" i="23"/>
  <c r="G38" i="7"/>
  <c r="C27" i="23"/>
  <c r="C28" i="23" s="1"/>
  <c r="F37" i="7"/>
  <c r="G29" i="7"/>
  <c r="C38" i="7"/>
  <c r="G33" i="23"/>
  <c r="G34" i="23" s="1"/>
  <c r="E34" i="23"/>
  <c r="H21" i="23"/>
  <c r="H22" i="23" s="1"/>
  <c r="D33" i="23"/>
  <c r="D34" i="23" s="1"/>
  <c r="F27" i="23"/>
  <c r="F28" i="23" s="1"/>
  <c r="H9" i="5"/>
  <c r="D15" i="5"/>
  <c r="E37" i="5"/>
  <c r="B11" i="22"/>
  <c r="C13" i="22"/>
  <c r="G8" i="22"/>
  <c r="B37" i="4"/>
  <c r="G37" i="4"/>
  <c r="E8" i="22"/>
  <c r="E37" i="3"/>
  <c r="E12" i="22"/>
  <c r="E14" i="22" s="1"/>
  <c r="D8" i="22"/>
  <c r="G37" i="2"/>
  <c r="C37" i="2"/>
  <c r="C14" i="2"/>
  <c r="C15" i="2" s="1"/>
  <c r="D14" i="2"/>
  <c r="D15" i="2" s="1"/>
  <c r="B37" i="1"/>
  <c r="H22" i="24"/>
  <c r="C14" i="24"/>
  <c r="B36" i="15"/>
  <c r="B37" i="15" s="1"/>
  <c r="D36" i="15"/>
  <c r="D37" i="15" s="1"/>
  <c r="H36" i="15"/>
  <c r="H37" i="15" s="1"/>
  <c r="C36" i="15"/>
  <c r="D15" i="15"/>
  <c r="F36" i="14"/>
  <c r="F37" i="14" s="1"/>
  <c r="E28" i="14"/>
  <c r="C22" i="14"/>
  <c r="H16" i="14"/>
  <c r="F33" i="24"/>
  <c r="F34" i="24" s="1"/>
  <c r="E36" i="13"/>
  <c r="B28" i="13"/>
  <c r="G27" i="24"/>
  <c r="G28" i="24" s="1"/>
  <c r="C37" i="13"/>
  <c r="D15" i="13"/>
  <c r="H14" i="24"/>
  <c r="C36" i="12"/>
  <c r="C37" i="12" s="1"/>
  <c r="E27" i="24"/>
  <c r="E28" i="24" s="1"/>
  <c r="E36" i="12"/>
  <c r="H36" i="12"/>
  <c r="H37" i="12" s="1"/>
  <c r="H27" i="24"/>
  <c r="H28" i="24" s="1"/>
  <c r="B21" i="24"/>
  <c r="B22" i="24" s="1"/>
  <c r="B36" i="11"/>
  <c r="B37" i="11" s="1"/>
  <c r="B33" i="24"/>
  <c r="B34" i="24" s="1"/>
  <c r="E34" i="11"/>
  <c r="H36" i="11"/>
  <c r="H37" i="11" s="1"/>
  <c r="F36" i="11"/>
  <c r="G36" i="11"/>
  <c r="G37" i="11" s="1"/>
  <c r="D14" i="24"/>
  <c r="B14" i="24"/>
  <c r="H16" i="11"/>
  <c r="G14" i="24"/>
  <c r="F14" i="24"/>
  <c r="F15" i="24" s="1"/>
  <c r="E33" i="24"/>
  <c r="E34" i="24" s="1"/>
  <c r="H33" i="24"/>
  <c r="H34" i="24" s="1"/>
  <c r="F34" i="10"/>
  <c r="B37" i="10"/>
  <c r="C22" i="10"/>
  <c r="F22" i="10"/>
  <c r="E14" i="24"/>
  <c r="E27" i="23"/>
  <c r="E28" i="23" s="1"/>
  <c r="F37" i="9"/>
  <c r="G37" i="9"/>
  <c r="D36" i="8"/>
  <c r="B36" i="8"/>
  <c r="B37" i="8" s="1"/>
  <c r="D37" i="7"/>
  <c r="D38" i="7" s="1"/>
  <c r="F37" i="3"/>
  <c r="B12" i="22"/>
  <c r="H9" i="3"/>
  <c r="D15" i="3"/>
  <c r="D12" i="22"/>
  <c r="D14" i="22" s="1"/>
  <c r="D14" i="4"/>
  <c r="D15" i="4" s="1"/>
  <c r="D37" i="4"/>
  <c r="H9" i="4"/>
  <c r="H8" i="22"/>
  <c r="C37" i="4"/>
  <c r="C14" i="4"/>
  <c r="C15" i="4" s="1"/>
  <c r="B14" i="4"/>
  <c r="E28" i="6"/>
  <c r="F36" i="6"/>
  <c r="F37" i="6" s="1"/>
  <c r="D8" i="23"/>
  <c r="F8" i="23"/>
  <c r="H37" i="7"/>
  <c r="H38" i="7" s="1"/>
  <c r="D35" i="7"/>
  <c r="C22" i="7"/>
  <c r="D21" i="23"/>
  <c r="F38" i="7"/>
  <c r="B37" i="7"/>
  <c r="E35" i="7"/>
  <c r="E37" i="7"/>
  <c r="E38" i="7" s="1"/>
  <c r="C21" i="23"/>
  <c r="C22" i="23" s="1"/>
  <c r="D27" i="23"/>
  <c r="D28" i="23" s="1"/>
  <c r="C33" i="23"/>
  <c r="C34" i="23" s="1"/>
  <c r="F34" i="6"/>
  <c r="F33" i="23"/>
  <c r="F34" i="23" s="1"/>
  <c r="G36" i="6"/>
  <c r="G37" i="6" s="1"/>
  <c r="H36" i="6"/>
  <c r="H37" i="6" s="1"/>
  <c r="D28" i="6"/>
  <c r="E36" i="6"/>
  <c r="H27" i="23"/>
  <c r="H28" i="23" s="1"/>
  <c r="D36" i="6"/>
  <c r="D37" i="6" s="1"/>
  <c r="G21" i="23"/>
  <c r="G22" i="23" s="1"/>
  <c r="B21" i="23"/>
  <c r="B22" i="23" s="1"/>
  <c r="B36" i="6"/>
  <c r="E14" i="23"/>
  <c r="H15" i="29"/>
  <c r="E37" i="29"/>
  <c r="B37" i="16"/>
  <c r="E15" i="16"/>
  <c r="B15" i="17"/>
  <c r="C15" i="17"/>
  <c r="E34" i="16"/>
  <c r="H14" i="16"/>
  <c r="H15" i="16" s="1"/>
  <c r="E37" i="16"/>
  <c r="D36" i="16"/>
  <c r="D37" i="16" s="1"/>
  <c r="B14" i="16"/>
  <c r="B15" i="16" s="1"/>
  <c r="F36" i="16"/>
  <c r="F37" i="16" s="1"/>
  <c r="D14" i="16"/>
  <c r="D15" i="16" s="1"/>
  <c r="F14" i="16"/>
  <c r="F15" i="16" s="1"/>
  <c r="H36" i="16"/>
  <c r="H37" i="16" s="1"/>
  <c r="G36" i="16"/>
  <c r="G37" i="16" s="1"/>
  <c r="G14" i="16"/>
  <c r="G15" i="16" s="1"/>
  <c r="H9" i="15"/>
  <c r="C37" i="15"/>
  <c r="C15" i="13"/>
  <c r="C28" i="24"/>
  <c r="H9" i="13"/>
  <c r="E15" i="13"/>
  <c r="H9" i="12"/>
  <c r="D15" i="12"/>
  <c r="E15" i="11"/>
  <c r="F15" i="10"/>
  <c r="B15" i="10"/>
  <c r="E15" i="10"/>
  <c r="B28" i="24"/>
  <c r="H9" i="9"/>
  <c r="H17" i="9" s="1"/>
  <c r="G15" i="9"/>
  <c r="H9" i="8"/>
  <c r="H17" i="8" s="1"/>
  <c r="H8" i="23"/>
  <c r="H33" i="23"/>
  <c r="H34" i="23" s="1"/>
  <c r="B34" i="8"/>
  <c r="H34" i="8"/>
  <c r="C36" i="8"/>
  <c r="C37" i="8" s="1"/>
  <c r="F21" i="23"/>
  <c r="F22" i="23" s="1"/>
  <c r="G27" i="23"/>
  <c r="G28" i="23" s="1"/>
  <c r="F36" i="8"/>
  <c r="G36" i="8"/>
  <c r="D37" i="8"/>
  <c r="B33" i="23"/>
  <c r="B34" i="23" s="1"/>
  <c r="F14" i="23"/>
  <c r="G14" i="23"/>
  <c r="C14" i="23"/>
  <c r="C15" i="23" s="1"/>
  <c r="E37" i="8"/>
  <c r="E15" i="8"/>
  <c r="B14" i="23"/>
  <c r="H9" i="7"/>
  <c r="H15" i="7"/>
  <c r="E15" i="7"/>
  <c r="H14" i="23"/>
  <c r="D14" i="23"/>
  <c r="B8" i="23"/>
  <c r="H9" i="6"/>
  <c r="E15" i="6"/>
  <c r="H37" i="5"/>
  <c r="C37" i="5"/>
  <c r="G15" i="5"/>
  <c r="C15" i="5"/>
  <c r="G37" i="5"/>
  <c r="H15" i="5"/>
  <c r="G36" i="22"/>
  <c r="G34" i="22"/>
  <c r="G28" i="22"/>
  <c r="E15" i="4"/>
  <c r="B13" i="22"/>
  <c r="F13" i="22"/>
  <c r="H13" i="22"/>
  <c r="H14" i="22" s="1"/>
  <c r="F37" i="4"/>
  <c r="F12" i="22"/>
  <c r="C12" i="22"/>
  <c r="H34" i="22"/>
  <c r="H22" i="22"/>
  <c r="B34" i="22"/>
  <c r="H14" i="3"/>
  <c r="H15" i="3" s="1"/>
  <c r="B14" i="3"/>
  <c r="B15" i="3" s="1"/>
  <c r="G11" i="22"/>
  <c r="G14" i="22" s="1"/>
  <c r="G14" i="3"/>
  <c r="G15" i="3" s="1"/>
  <c r="F14" i="3"/>
  <c r="F15" i="3" s="1"/>
  <c r="G37" i="3"/>
  <c r="C36" i="22"/>
  <c r="D34" i="22"/>
  <c r="C22" i="22"/>
  <c r="C34" i="22"/>
  <c r="B22" i="22"/>
  <c r="F34" i="22"/>
  <c r="B8" i="22"/>
  <c r="C8" i="22"/>
  <c r="F22" i="22"/>
  <c r="B37" i="3"/>
  <c r="E15" i="3"/>
  <c r="G14" i="2"/>
  <c r="G15" i="2" s="1"/>
  <c r="F37" i="2"/>
  <c r="H9" i="1"/>
  <c r="H16" i="1"/>
  <c r="H15" i="1"/>
  <c r="F36" i="1"/>
  <c r="F37" i="1" s="1"/>
  <c r="E37" i="12"/>
  <c r="B34" i="17"/>
  <c r="B36" i="17"/>
  <c r="G21" i="22"/>
  <c r="G22" i="22" s="1"/>
  <c r="G22" i="5"/>
  <c r="E36" i="4"/>
  <c r="E34" i="4"/>
  <c r="G36" i="1"/>
  <c r="G37" i="1" s="1"/>
  <c r="G34" i="1"/>
  <c r="H16" i="5"/>
  <c r="H16" i="12"/>
  <c r="D36" i="17"/>
  <c r="D37" i="17" s="1"/>
  <c r="C27" i="22"/>
  <c r="C28" i="22" s="1"/>
  <c r="B28" i="2"/>
  <c r="E33" i="22"/>
  <c r="E34" i="22" s="1"/>
  <c r="H9" i="14"/>
  <c r="H15" i="14"/>
  <c r="H15" i="15"/>
  <c r="D34" i="3"/>
  <c r="D36" i="3"/>
  <c r="H16" i="10"/>
  <c r="H16" i="6"/>
  <c r="B36" i="5"/>
  <c r="B27" i="22"/>
  <c r="B28" i="22" s="1"/>
  <c r="B28" i="5"/>
  <c r="D27" i="22"/>
  <c r="D28" i="22" s="1"/>
  <c r="D28" i="3"/>
  <c r="H27" i="22"/>
  <c r="H28" i="22" s="1"/>
  <c r="H28" i="3"/>
  <c r="C36" i="1"/>
  <c r="C37" i="1" s="1"/>
  <c r="C34" i="1"/>
  <c r="H36" i="1"/>
  <c r="H37" i="1" s="1"/>
  <c r="H28" i="1"/>
  <c r="H16" i="7"/>
  <c r="H36" i="22"/>
  <c r="H37" i="4"/>
  <c r="E27" i="22"/>
  <c r="E28" i="22" s="1"/>
  <c r="E28" i="4"/>
  <c r="D36" i="1"/>
  <c r="D37" i="1" s="1"/>
  <c r="D34" i="1"/>
  <c r="H38" i="27"/>
  <c r="H39" i="27" s="1"/>
  <c r="B37" i="27"/>
  <c r="F36" i="5"/>
  <c r="F27" i="22"/>
  <c r="F28" i="22" s="1"/>
  <c r="F28" i="5"/>
  <c r="H9" i="16"/>
  <c r="E36" i="1"/>
  <c r="E37" i="1" s="1"/>
  <c r="E28" i="1"/>
  <c r="C11" i="22"/>
  <c r="G34" i="27"/>
  <c r="H9" i="29"/>
  <c r="H17" i="29" s="1"/>
  <c r="B34" i="27"/>
  <c r="G15" i="27"/>
  <c r="B15" i="29"/>
  <c r="F34" i="29"/>
  <c r="F15" i="27"/>
  <c r="H16" i="27"/>
  <c r="H40" i="27" s="1"/>
  <c r="E15" i="27"/>
  <c r="H17" i="30"/>
  <c r="B37" i="30"/>
  <c r="H38" i="30"/>
  <c r="A20" i="41" l="1"/>
  <c r="A26" i="41" s="1"/>
  <c r="A32" i="41" s="1"/>
  <c r="A20" i="40" s="1"/>
  <c r="A26" i="40" s="1"/>
  <c r="A32" i="40" s="1"/>
  <c r="A20" i="39" s="1"/>
  <c r="A26" i="39" s="1"/>
  <c r="A32" i="39" s="1"/>
  <c r="A20" i="38" s="1"/>
  <c r="A26" i="38" s="1"/>
  <c r="A32" i="38" s="1"/>
  <c r="A20" i="37" s="1"/>
  <c r="A26" i="37" s="1"/>
  <c r="A32" i="37" s="1"/>
  <c r="A20" i="44" s="1"/>
  <c r="A26" i="44" s="1"/>
  <c r="A32" i="44" s="1"/>
  <c r="A20" i="43" s="1"/>
  <c r="A26" i="43" s="1"/>
  <c r="A32" i="43" s="1"/>
  <c r="A20" i="45" s="1"/>
  <c r="A26" i="45" s="1"/>
  <c r="A32" i="45" s="1"/>
  <c r="A20" i="46" s="1"/>
  <c r="A26" i="46" s="1"/>
  <c r="A32" i="46" s="1"/>
  <c r="A20" i="47" s="1"/>
  <c r="A26" i="47" s="1"/>
  <c r="A32" i="47" s="1"/>
  <c r="A20" i="48" s="1"/>
  <c r="A26" i="48" s="1"/>
  <c r="A32" i="48" s="1"/>
  <c r="A20" i="49" s="1"/>
  <c r="A26" i="49" s="1"/>
  <c r="A32" i="49" s="1"/>
  <c r="A32" i="42"/>
  <c r="B3" i="31"/>
  <c r="C3" i="31" s="1"/>
  <c r="D3" i="31" s="1"/>
  <c r="E3" i="31" s="1"/>
  <c r="F3" i="31" s="1"/>
  <c r="G3" i="31" s="1"/>
  <c r="H3" i="31" s="1"/>
  <c r="H17" i="27"/>
  <c r="H38" i="29"/>
  <c r="H40" i="29" s="1"/>
  <c r="H16" i="17"/>
  <c r="H17" i="17" s="1"/>
  <c r="H17" i="12"/>
  <c r="E15" i="24"/>
  <c r="H17" i="11"/>
  <c r="H17" i="10"/>
  <c r="F15" i="23"/>
  <c r="H17" i="5"/>
  <c r="D15" i="22"/>
  <c r="H16" i="2"/>
  <c r="H17" i="2" s="1"/>
  <c r="H17" i="15"/>
  <c r="H38" i="14"/>
  <c r="H40" i="14" s="1"/>
  <c r="H17" i="14"/>
  <c r="H38" i="13"/>
  <c r="H40" i="13" s="1"/>
  <c r="H15" i="24"/>
  <c r="B36" i="24"/>
  <c r="B37" i="24" s="1"/>
  <c r="D15" i="24"/>
  <c r="H38" i="11"/>
  <c r="H39" i="11" s="1"/>
  <c r="D36" i="24"/>
  <c r="D37" i="24" s="1"/>
  <c r="H38" i="10"/>
  <c r="H39" i="10" s="1"/>
  <c r="C15" i="24"/>
  <c r="G15" i="23"/>
  <c r="E15" i="23"/>
  <c r="H38" i="9"/>
  <c r="H40" i="9" s="1"/>
  <c r="B14" i="22"/>
  <c r="B15" i="22" s="1"/>
  <c r="G15" i="22"/>
  <c r="G37" i="22"/>
  <c r="E15" i="22"/>
  <c r="H16" i="4"/>
  <c r="H17" i="4" s="1"/>
  <c r="B15" i="4"/>
  <c r="H17" i="1"/>
  <c r="H38" i="15"/>
  <c r="H40" i="15" s="1"/>
  <c r="E36" i="24"/>
  <c r="E37" i="24" s="1"/>
  <c r="E37" i="13"/>
  <c r="H16" i="24"/>
  <c r="H38" i="12"/>
  <c r="H39" i="12" s="1"/>
  <c r="C36" i="24"/>
  <c r="C37" i="24" s="1"/>
  <c r="H36" i="24"/>
  <c r="H37" i="24" s="1"/>
  <c r="G36" i="24"/>
  <c r="F36" i="24"/>
  <c r="F37" i="24" s="1"/>
  <c r="H40" i="11"/>
  <c r="F37" i="11"/>
  <c r="G15" i="24"/>
  <c r="D36" i="23"/>
  <c r="D37" i="23" s="1"/>
  <c r="H38" i="8"/>
  <c r="H39" i="8" s="1"/>
  <c r="B36" i="23"/>
  <c r="B37" i="23" s="1"/>
  <c r="H37" i="22"/>
  <c r="H15" i="22"/>
  <c r="F36" i="23"/>
  <c r="F37" i="23" s="1"/>
  <c r="H36" i="23"/>
  <c r="H37" i="23" s="1"/>
  <c r="D15" i="23"/>
  <c r="E36" i="23"/>
  <c r="E37" i="23" s="1"/>
  <c r="B38" i="7"/>
  <c r="H39" i="7"/>
  <c r="H41" i="7" s="1"/>
  <c r="B15" i="23"/>
  <c r="E37" i="6"/>
  <c r="H38" i="6"/>
  <c r="H39" i="6" s="1"/>
  <c r="B37" i="6"/>
  <c r="H16" i="16"/>
  <c r="H38" i="16"/>
  <c r="H39" i="16" s="1"/>
  <c r="H39" i="13"/>
  <c r="H17" i="13"/>
  <c r="H9" i="24"/>
  <c r="B15" i="24"/>
  <c r="H15" i="23"/>
  <c r="C36" i="23"/>
  <c r="C37" i="23" s="1"/>
  <c r="G36" i="23"/>
  <c r="G37" i="23" s="1"/>
  <c r="G37" i="8"/>
  <c r="F37" i="8"/>
  <c r="H16" i="23"/>
  <c r="H9" i="23"/>
  <c r="F14" i="22"/>
  <c r="F15" i="22" s="1"/>
  <c r="C14" i="22"/>
  <c r="C37" i="22"/>
  <c r="H9" i="22"/>
  <c r="H39" i="29"/>
  <c r="H17" i="6"/>
  <c r="F36" i="22"/>
  <c r="F37" i="22" s="1"/>
  <c r="F37" i="5"/>
  <c r="B37" i="5"/>
  <c r="H38" i="5"/>
  <c r="B36" i="22"/>
  <c r="H17" i="16"/>
  <c r="E37" i="4"/>
  <c r="E36" i="22"/>
  <c r="E37" i="22" s="1"/>
  <c r="H38" i="4"/>
  <c r="D36" i="22"/>
  <c r="D37" i="22" s="1"/>
  <c r="H38" i="3"/>
  <c r="D37" i="3"/>
  <c r="B37" i="2"/>
  <c r="H38" i="2"/>
  <c r="H38" i="1"/>
  <c r="H16" i="3"/>
  <c r="H17" i="3" s="1"/>
  <c r="C15" i="3"/>
  <c r="H17" i="7"/>
  <c r="H38" i="17"/>
  <c r="B37" i="17"/>
  <c r="H40" i="30"/>
  <c r="H39" i="30"/>
  <c r="H39" i="14" l="1"/>
  <c r="H40" i="12"/>
  <c r="H17" i="24"/>
  <c r="H40" i="10"/>
  <c r="H39" i="9"/>
  <c r="H40" i="6"/>
  <c r="H39" i="15"/>
  <c r="H38" i="24"/>
  <c r="H39" i="24" s="1"/>
  <c r="G37" i="24"/>
  <c r="H40" i="8"/>
  <c r="H40" i="7"/>
  <c r="H16" i="22"/>
  <c r="H17" i="22" s="1"/>
  <c r="H40" i="16"/>
  <c r="H38" i="23"/>
  <c r="H40" i="23" s="1"/>
  <c r="H17" i="23"/>
  <c r="C15" i="22"/>
  <c r="H40" i="1"/>
  <c r="H39" i="1"/>
  <c r="H40" i="2"/>
  <c r="H39" i="2"/>
  <c r="H39" i="5"/>
  <c r="H40" i="5"/>
  <c r="H40" i="17"/>
  <c r="H39" i="17"/>
  <c r="H40" i="4"/>
  <c r="H39" i="4"/>
  <c r="B37" i="22"/>
  <c r="H38" i="22"/>
  <c r="H39" i="3"/>
  <c r="H40" i="3"/>
  <c r="H40" i="24" l="1"/>
  <c r="H39" i="23"/>
  <c r="H39" i="22"/>
  <c r="H40" i="22"/>
  <c r="C3" i="49"/>
  <c r="D3" i="49"/>
  <c r="E3" i="49"/>
  <c r="F3" i="49" s="1"/>
  <c r="G3" i="49" s="1"/>
  <c r="H3" i="4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Jados, Teela M</author>
  </authors>
  <commentList>
    <comment ref="H12" authorId="0" shapeId="0" xr:uid="{00000000-0006-0000-0C00-000001000000}">
      <text>
        <r>
          <rPr>
            <sz val="9"/>
            <color indexed="81"/>
            <rFont val="Tahoma"/>
            <family val="2"/>
          </rPr>
          <t>Add 120 Admissions group</t>
        </r>
      </text>
    </comment>
  </commentList>
</comments>
</file>

<file path=xl/sharedStrings.xml><?xml version="1.0" encoding="utf-8"?>
<sst xmlns="http://schemas.openxmlformats.org/spreadsheetml/2006/main" count="4024" uniqueCount="137">
  <si>
    <t xml:space="preserve">Friday </t>
  </si>
  <si>
    <t>Saturday</t>
  </si>
  <si>
    <t>Sunday</t>
  </si>
  <si>
    <t>Monday</t>
  </si>
  <si>
    <t>Tuesday</t>
  </si>
  <si>
    <t>Wednesday</t>
  </si>
  <si>
    <t>Thursday</t>
  </si>
  <si>
    <t>Date</t>
  </si>
  <si>
    <t>Breakfast</t>
  </si>
  <si>
    <t>9/10-9/16</t>
  </si>
  <si>
    <t>9/17-9/23</t>
  </si>
  <si>
    <t>9/24-9/30</t>
  </si>
  <si>
    <t>10/1-10/7</t>
  </si>
  <si>
    <t>10/8-10/14</t>
  </si>
  <si>
    <t>10/15-10/21</t>
  </si>
  <si>
    <t>10/22-10/28</t>
  </si>
  <si>
    <t>10/29-11/4</t>
  </si>
  <si>
    <t>11/5-11/11</t>
  </si>
  <si>
    <t>11/12-11/18</t>
  </si>
  <si>
    <t>11/19-11/25</t>
  </si>
  <si>
    <t>11/26-12/2</t>
  </si>
  <si>
    <t>12/3-12/9</t>
  </si>
  <si>
    <t>Average</t>
  </si>
  <si>
    <t>Lunch</t>
  </si>
  <si>
    <t xml:space="preserve">Dinner </t>
  </si>
  <si>
    <t>Menu Cycle:</t>
  </si>
  <si>
    <t>Week:</t>
  </si>
  <si>
    <t>Fri</t>
  </si>
  <si>
    <t>Sat</t>
  </si>
  <si>
    <t xml:space="preserve">Sun </t>
  </si>
  <si>
    <t>Mon</t>
  </si>
  <si>
    <t>Tues</t>
  </si>
  <si>
    <t>Wed</t>
  </si>
  <si>
    <t>Thu</t>
  </si>
  <si>
    <t>Prior Year Actual - 2024</t>
  </si>
  <si>
    <t>Dinner</t>
  </si>
  <si>
    <t>Total Day</t>
  </si>
  <si>
    <t xml:space="preserve">Week Total </t>
  </si>
  <si>
    <t xml:space="preserve">                                                                Forecast - 2025</t>
  </si>
  <si>
    <t>% Forecast Adj</t>
  </si>
  <si>
    <t>% vPY Act</t>
  </si>
  <si>
    <t xml:space="preserve">                                                           Breakfast</t>
  </si>
  <si>
    <t>% vPY</t>
  </si>
  <si>
    <t>Greeter Total</t>
  </si>
  <si>
    <t xml:space="preserve">Student Meals </t>
  </si>
  <si>
    <t>Total - Breakfast</t>
  </si>
  <si>
    <t xml:space="preserve">                                                              Lunch/Brunch</t>
  </si>
  <si>
    <t>Brunch/Lunch</t>
  </si>
  <si>
    <t>Fulltime Meals</t>
  </si>
  <si>
    <t>Student Meals</t>
  </si>
  <si>
    <t>Total - Lunch</t>
  </si>
  <si>
    <t xml:space="preserve">                                                            Dinner</t>
  </si>
  <si>
    <t xml:space="preserve">Fulltime Meals </t>
  </si>
  <si>
    <t>Total - Dinner</t>
  </si>
  <si>
    <t xml:space="preserve">                                                             All Day</t>
  </si>
  <si>
    <t>Total - Day</t>
  </si>
  <si>
    <t>% vForecast</t>
  </si>
  <si>
    <t xml:space="preserve">Weather </t>
  </si>
  <si>
    <t>Notes and Specials Event/Game days and time</t>
  </si>
  <si>
    <t>Select Dropdown</t>
  </si>
  <si>
    <t>Friday</t>
  </si>
  <si>
    <t>Unseasonably cold</t>
  </si>
  <si>
    <t>Unseasonably hot</t>
  </si>
  <si>
    <t>rain</t>
  </si>
  <si>
    <t>snow</t>
  </si>
  <si>
    <t>Sun</t>
  </si>
  <si>
    <t>Tue</t>
  </si>
  <si>
    <t>Admissions</t>
  </si>
  <si>
    <t>Admissions tickets should be included in above counts and separated out below for billing. Enter counts on Admissions Billing worksheet weekly</t>
  </si>
  <si>
    <t>Special Groups</t>
  </si>
  <si>
    <t>All other meal tickets billed in main office. No action needed</t>
  </si>
  <si>
    <t>Notes:</t>
  </si>
  <si>
    <t>Non Meal Plan Meals</t>
  </si>
  <si>
    <t>Meal Plan Meals</t>
  </si>
  <si>
    <t xml:space="preserve"> </t>
  </si>
  <si>
    <t xml:space="preserve">Marching Band Meals Start </t>
  </si>
  <si>
    <t xml:space="preserve">Cross-Country Meals Start </t>
  </si>
  <si>
    <t xml:space="preserve">IMPACT Meals Start </t>
  </si>
  <si>
    <t xml:space="preserve">The Eatery Opens for Dinner (Safari) </t>
  </si>
  <si>
    <t>All Remaining Residential Dining Halls Open  (Nornmal Hours) Leadership Safari Starts</t>
  </si>
  <si>
    <t>All Student Residents Move-in Begins</t>
  </si>
  <si>
    <t>Leadership Safari Ends (Lunch 1-3)</t>
  </si>
  <si>
    <t>Classes Begin</t>
  </si>
  <si>
    <t>NO Classes-Martin Luther King Jr. Day</t>
  </si>
  <si>
    <t>Woldt, Carey, Merrill open for Breakfast and lunch only 7a-2:30p Robinson opened from 7a-7p</t>
  </si>
  <si>
    <t>Merrill, RFoC, FFCo - Breakfast &amp; Lunch Only 7am - 2:30</t>
  </si>
  <si>
    <t>Labor Day Weekend - Robinson Only 10a-7p</t>
  </si>
  <si>
    <t>Robinson Open ONLY - Normal Hours</t>
  </si>
  <si>
    <t>9/7 Labor Day Robinson Open ONLY - Normal Hours</t>
  </si>
  <si>
    <t xml:space="preserve">First Home Football Game </t>
  </si>
  <si>
    <t xml:space="preserve">Meal numbers </t>
  </si>
  <si>
    <t>Admission Groups</t>
  </si>
  <si>
    <t>Prior Year Actual-2024</t>
  </si>
  <si>
    <t xml:space="preserve">                                                                Forecast-2025</t>
  </si>
  <si>
    <t xml:space="preserve">                                                                Forecast -2025</t>
  </si>
  <si>
    <t xml:space="preserve">Home Football Game (Friends &amp; Family Weekend)  </t>
  </si>
  <si>
    <t>Isolation meals</t>
  </si>
  <si>
    <t>Aadmission Group</t>
  </si>
  <si>
    <t xml:space="preserve">Fri </t>
  </si>
  <si>
    <t>Prior Year Actual -2024</t>
  </si>
  <si>
    <t xml:space="preserve">Home Football Game (Homecoming) </t>
  </si>
  <si>
    <t>“Fire Up Wing Bar”- Homecoming  (Lunch) - Name Pending</t>
  </si>
  <si>
    <t>Home Football Game (Student Appreciation)</t>
  </si>
  <si>
    <t xml:space="preserve">“Celebrate Halloween”  (Dinner) “A” </t>
  </si>
  <si>
    <t xml:space="preserve">Admission Groups </t>
  </si>
  <si>
    <t>Home Football Game</t>
  </si>
  <si>
    <t>Celebrate Thanksgiving  (Dinner)</t>
  </si>
  <si>
    <t>% forecast</t>
  </si>
  <si>
    <t>Breakfast for Dinner  (Dinner). “A”. Finals exams</t>
  </si>
  <si>
    <t>2018-19</t>
  </si>
  <si>
    <t>Finals exams</t>
  </si>
  <si>
    <t>Woldt, Carey, Merrill - Breakfast &amp; Lunch Only 7a-2:30p</t>
  </si>
  <si>
    <t>Finals exams residence halls close at 6 for winter break</t>
  </si>
  <si>
    <t xml:space="preserve">Thanksgiving </t>
  </si>
  <si>
    <t xml:space="preserve">Admissions </t>
  </si>
  <si>
    <t xml:space="preserve">Thanksgiving Weekend - Home Football Game </t>
  </si>
  <si>
    <t>Thanksgiving Weekend</t>
  </si>
  <si>
    <t>Prior Year Actual-2023</t>
  </si>
  <si>
    <t xml:space="preserve">                                                                Forecast-2024</t>
  </si>
  <si>
    <t xml:space="preserve">MAC Championship Game - Detroit </t>
  </si>
  <si>
    <t xml:space="preserve">Exam Week </t>
  </si>
  <si>
    <t>Wold &amp; Merrill Closed  - Robinson Breakfast &amp; Lunch Only 7a-2:30p - Carey 7am-7pm</t>
  </si>
  <si>
    <t>Fall 2021 Semester Ends / Commencements</t>
  </si>
  <si>
    <t xml:space="preserve">RFOC OPEN ONLY </t>
  </si>
  <si>
    <t xml:space="preserve">Classes Online </t>
  </si>
  <si>
    <t>First Day Classes</t>
  </si>
  <si>
    <t>Classes Online - ROOT BEER FLOATS</t>
  </si>
  <si>
    <t>Root Beer Floats</t>
  </si>
  <si>
    <t>Prior Year Actual -2025</t>
  </si>
  <si>
    <t xml:space="preserve">                                                                Forecast -2026</t>
  </si>
  <si>
    <t>CLASSES ONLINE</t>
  </si>
  <si>
    <t>Martin Luther King Day - No Classes</t>
  </si>
  <si>
    <t>Martin Luther King Day</t>
  </si>
  <si>
    <t>ICE CREAM SUNDAES - HYBRID CLASSES START</t>
  </si>
  <si>
    <t xml:space="preserve">French Fries &amp; Dippers </t>
  </si>
  <si>
    <t>Prior Year Actual-2025</t>
  </si>
  <si>
    <t xml:space="preserve">                                                                Forecast-2026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</si>
</sst>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%"/>
    <numFmt numFmtId="165" formatCode="_(* #,##0_);_(* \(#,##0\);_(* &quot;-&quot;??_);_(@_)"/>
  </numFmts>
  <fonts count="26">
    <font>
      <sz val="12"/>
      <color theme="1"/>
      <name val="Calibri"/>
      <family val="2"/>
      <scheme val="minor"/>
    </font>
    <font>
      <sz val="12"/>
      <name val="Calibri"/>
      <family val="2"/>
      <charset val="204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charset val="204"/>
      <scheme val="minor"/>
    </font>
    <font>
      <sz val="14"/>
      <name val="Calibri"/>
      <family val="2"/>
      <scheme val="minor"/>
    </font>
    <font>
      <sz val="14"/>
      <name val="Calibri (Body)_x0000_"/>
    </font>
    <font>
      <i/>
      <sz val="12"/>
      <color theme="1"/>
      <name val="Calibri"/>
      <family val="2"/>
      <scheme val="minor"/>
    </font>
    <font>
      <i/>
      <sz val="12"/>
      <name val="Calibri"/>
      <family val="2"/>
      <scheme val="minor"/>
    </font>
    <font>
      <sz val="12"/>
      <color theme="1"/>
      <name val="Calibri (Body)_x0000_"/>
    </font>
    <font>
      <sz val="12"/>
      <name val="Calibri (Body)_x0000_"/>
    </font>
    <font>
      <i/>
      <sz val="12"/>
      <color indexed="8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i/>
      <sz val="10"/>
      <color rgb="FFFF0000"/>
      <name val="Calibri"/>
      <family val="2"/>
      <scheme val="minor"/>
    </font>
    <font>
      <i/>
      <sz val="9"/>
      <name val="Calibri"/>
      <family val="2"/>
      <charset val="204"/>
      <scheme val="minor"/>
    </font>
    <font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double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medium">
        <color indexed="64"/>
      </right>
      <top/>
      <bottom/>
      <diagonal/>
    </border>
  </borders>
  <cellStyleXfs count="2">
    <xf numFmtId="0" fontId="0" fillId="0" borderId="0"/>
    <xf numFmtId="43" fontId="17" fillId="0" borderId="0" applyFont="0" applyFill="0" applyBorder="0" applyAlignment="0" applyProtection="0"/>
  </cellStyleXfs>
  <cellXfs count="225">
    <xf numFmtId="0" fontId="0" fillId="0" borderId="0" xfId="0"/>
    <xf numFmtId="0" fontId="0" fillId="0" borderId="1" xfId="0" applyBorder="1" applyAlignment="1">
      <alignment horizontal="left"/>
    </xf>
    <xf numFmtId="0" fontId="1" fillId="0" borderId="1" xfId="0" applyFont="1" applyBorder="1"/>
    <xf numFmtId="3" fontId="2" fillId="0" borderId="1" xfId="0" applyNumberFormat="1" applyFont="1" applyBorder="1" applyAlignment="1">
      <alignment horizontal="center"/>
    </xf>
    <xf numFmtId="3" fontId="2" fillId="2" borderId="1" xfId="0" applyNumberFormat="1" applyFont="1" applyFill="1" applyBorder="1" applyAlignment="1">
      <alignment horizontal="center"/>
    </xf>
    <xf numFmtId="0" fontId="3" fillId="0" borderId="0" xfId="0" applyFont="1"/>
    <xf numFmtId="14" fontId="5" fillId="0" borderId="1" xfId="0" applyNumberFormat="1" applyFont="1" applyBorder="1" applyAlignment="1">
      <alignment horizontal="center"/>
    </xf>
    <xf numFmtId="1" fontId="3" fillId="0" borderId="0" xfId="0" applyNumberFormat="1" applyFont="1"/>
    <xf numFmtId="3" fontId="4" fillId="0" borderId="1" xfId="0" applyNumberFormat="1" applyFont="1" applyBorder="1"/>
    <xf numFmtId="3" fontId="3" fillId="0" borderId="1" xfId="0" applyNumberFormat="1" applyFont="1" applyBorder="1"/>
    <xf numFmtId="3" fontId="5" fillId="0" borderId="1" xfId="0" applyNumberFormat="1" applyFont="1" applyBorder="1"/>
    <xf numFmtId="3" fontId="5" fillId="0" borderId="1" xfId="0" applyNumberFormat="1" applyFont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3" fontId="5" fillId="0" borderId="1" xfId="0" applyNumberFormat="1" applyFont="1" applyBorder="1" applyAlignment="1">
      <alignment horizontal="center"/>
    </xf>
    <xf numFmtId="0" fontId="4" fillId="0" borderId="1" xfId="0" applyFont="1" applyBorder="1"/>
    <xf numFmtId="0" fontId="5" fillId="0" borderId="1" xfId="0" applyFont="1" applyBorder="1"/>
    <xf numFmtId="0" fontId="4" fillId="0" borderId="0" xfId="0" applyFont="1"/>
    <xf numFmtId="0" fontId="4" fillId="0" borderId="2" xfId="0" applyFont="1" applyBorder="1"/>
    <xf numFmtId="0" fontId="3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3" fillId="0" borderId="1" xfId="0" applyFont="1" applyBorder="1"/>
    <xf numFmtId="0" fontId="7" fillId="0" borderId="1" xfId="0" applyFont="1" applyBorder="1"/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3" fontId="3" fillId="0" borderId="3" xfId="0" applyNumberFormat="1" applyFont="1" applyBorder="1" applyAlignment="1">
      <alignment horizontal="right"/>
    </xf>
    <xf numFmtId="3" fontId="5" fillId="0" borderId="9" xfId="0" applyNumberFormat="1" applyFont="1" applyBorder="1"/>
    <xf numFmtId="164" fontId="4" fillId="0" borderId="0" xfId="0" applyNumberFormat="1" applyFont="1"/>
    <xf numFmtId="3" fontId="4" fillId="3" borderId="1" xfId="0" applyNumberFormat="1" applyFont="1" applyFill="1" applyBorder="1"/>
    <xf numFmtId="3" fontId="3" fillId="3" borderId="1" xfId="0" applyNumberFormat="1" applyFont="1" applyFill="1" applyBorder="1"/>
    <xf numFmtId="3" fontId="4" fillId="3" borderId="7" xfId="0" applyNumberFormat="1" applyFont="1" applyFill="1" applyBorder="1"/>
    <xf numFmtId="0" fontId="0" fillId="4" borderId="1" xfId="0" applyFill="1" applyBorder="1"/>
    <xf numFmtId="0" fontId="2" fillId="0" borderId="1" xfId="0" applyFont="1" applyBorder="1"/>
    <xf numFmtId="3" fontId="2" fillId="3" borderId="1" xfId="0" applyNumberFormat="1" applyFont="1" applyFill="1" applyBorder="1" applyAlignment="1">
      <alignment horizontal="center"/>
    </xf>
    <xf numFmtId="3" fontId="9" fillId="3" borderId="4" xfId="0" applyNumberFormat="1" applyFont="1" applyFill="1" applyBorder="1" applyAlignment="1">
      <alignment horizontal="right"/>
    </xf>
    <xf numFmtId="3" fontId="0" fillId="0" borderId="4" xfId="0" applyNumberFormat="1" applyBorder="1" applyAlignment="1">
      <alignment horizontal="right"/>
    </xf>
    <xf numFmtId="3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right"/>
    </xf>
    <xf numFmtId="3" fontId="0" fillId="0" borderId="8" xfId="0" applyNumberFormat="1" applyBorder="1" applyAlignment="1">
      <alignment horizontal="right"/>
    </xf>
    <xf numFmtId="0" fontId="0" fillId="0" borderId="1" xfId="0" applyBorder="1"/>
    <xf numFmtId="3" fontId="10" fillId="0" borderId="1" xfId="0" applyNumberFormat="1" applyFont="1" applyBorder="1" applyAlignment="1">
      <alignment horizontal="center"/>
    </xf>
    <xf numFmtId="0" fontId="10" fillId="4" borderId="3" xfId="0" applyFont="1" applyFill="1" applyBorder="1" applyAlignment="1">
      <alignment horizontal="left" vertical="center"/>
    </xf>
    <xf numFmtId="0" fontId="0" fillId="0" borderId="4" xfId="0" applyBorder="1"/>
    <xf numFmtId="164" fontId="2" fillId="0" borderId="7" xfId="0" applyNumberFormat="1" applyFont="1" applyBorder="1"/>
    <xf numFmtId="0" fontId="0" fillId="0" borderId="7" xfId="0" applyBorder="1"/>
    <xf numFmtId="0" fontId="2" fillId="0" borderId="5" xfId="0" applyFont="1" applyBorder="1"/>
    <xf numFmtId="0" fontId="11" fillId="0" borderId="7" xfId="0" applyFont="1" applyBorder="1" applyAlignment="1">
      <alignment horizontal="right"/>
    </xf>
    <xf numFmtId="0" fontId="5" fillId="0" borderId="0" xfId="0" applyFont="1"/>
    <xf numFmtId="0" fontId="6" fillId="4" borderId="8" xfId="0" applyFont="1" applyFill="1" applyBorder="1" applyAlignment="1">
      <alignment horizontal="center" vertical="center" wrapText="1"/>
    </xf>
    <xf numFmtId="0" fontId="12" fillId="0" borderId="1" xfId="0" applyFont="1" applyBorder="1"/>
    <xf numFmtId="0" fontId="12" fillId="0" borderId="4" xfId="0" applyFont="1" applyBorder="1"/>
    <xf numFmtId="0" fontId="8" fillId="0" borderId="5" xfId="0" applyFont="1" applyBorder="1" applyAlignment="1">
      <alignment horizontal="center"/>
    </xf>
    <xf numFmtId="0" fontId="5" fillId="0" borderId="6" xfId="0" applyFont="1" applyBorder="1"/>
    <xf numFmtId="0" fontId="3" fillId="0" borderId="6" xfId="0" applyFont="1" applyBorder="1"/>
    <xf numFmtId="0" fontId="8" fillId="0" borderId="4" xfId="0" applyFont="1" applyBorder="1"/>
    <xf numFmtId="0" fontId="7" fillId="0" borderId="7" xfId="0" applyFont="1" applyBorder="1"/>
    <xf numFmtId="0" fontId="7" fillId="0" borderId="5" xfId="0" applyFont="1" applyBorder="1"/>
    <xf numFmtId="0" fontId="14" fillId="0" borderId="0" xfId="0" applyFont="1" applyAlignment="1">
      <alignment horizontal="center"/>
    </xf>
    <xf numFmtId="0" fontId="15" fillId="0" borderId="1" xfId="0" applyFont="1" applyBorder="1" applyAlignment="1">
      <alignment horizontal="center" vertical="center"/>
    </xf>
    <xf numFmtId="3" fontId="3" fillId="6" borderId="1" xfId="0" applyNumberFormat="1" applyFont="1" applyFill="1" applyBorder="1"/>
    <xf numFmtId="3" fontId="4" fillId="6" borderId="1" xfId="0" applyNumberFormat="1" applyFont="1" applyFill="1" applyBorder="1"/>
    <xf numFmtId="3" fontId="5" fillId="8" borderId="1" xfId="0" applyNumberFormat="1" applyFont="1" applyFill="1" applyBorder="1"/>
    <xf numFmtId="0" fontId="0" fillId="0" borderId="5" xfId="0" applyBorder="1" applyAlignment="1">
      <alignment horizontal="left" vertical="center" wrapText="1"/>
    </xf>
    <xf numFmtId="3" fontId="4" fillId="2" borderId="1" xfId="0" applyNumberFormat="1" applyFont="1" applyFill="1" applyBorder="1"/>
    <xf numFmtId="0" fontId="8" fillId="0" borderId="13" xfId="0" applyFont="1" applyBorder="1" applyAlignment="1">
      <alignment horizontal="center"/>
    </xf>
    <xf numFmtId="3" fontId="4" fillId="0" borderId="14" xfId="0" applyNumberFormat="1" applyFont="1" applyBorder="1"/>
    <xf numFmtId="3" fontId="0" fillId="9" borderId="15" xfId="0" applyNumberFormat="1" applyFill="1" applyBorder="1" applyAlignment="1">
      <alignment horizontal="center" wrapText="1"/>
    </xf>
    <xf numFmtId="9" fontId="3" fillId="9" borderId="16" xfId="0" applyNumberFormat="1" applyFont="1" applyFill="1" applyBorder="1" applyAlignment="1">
      <alignment horizontal="center"/>
    </xf>
    <xf numFmtId="3" fontId="3" fillId="2" borderId="1" xfId="0" applyNumberFormat="1" applyFont="1" applyFill="1" applyBorder="1"/>
    <xf numFmtId="3" fontId="3" fillId="0" borderId="3" xfId="0" applyNumberFormat="1" applyFont="1" applyBorder="1"/>
    <xf numFmtId="3" fontId="4" fillId="0" borderId="3" xfId="0" applyNumberFormat="1" applyFont="1" applyBorder="1"/>
    <xf numFmtId="3" fontId="2" fillId="6" borderId="1" xfId="0" applyNumberFormat="1" applyFont="1" applyFill="1" applyBorder="1" applyAlignment="1">
      <alignment horizontal="center"/>
    </xf>
    <xf numFmtId="1" fontId="5" fillId="0" borderId="0" xfId="0" applyNumberFormat="1" applyFont="1"/>
    <xf numFmtId="3" fontId="3" fillId="9" borderId="15" xfId="0" applyNumberFormat="1" applyFont="1" applyFill="1" applyBorder="1" applyAlignment="1">
      <alignment horizontal="center" wrapText="1"/>
    </xf>
    <xf numFmtId="3" fontId="3" fillId="2" borderId="1" xfId="0" applyNumberFormat="1" applyFont="1" applyFill="1" applyBorder="1" applyAlignment="1">
      <alignment horizontal="right"/>
    </xf>
    <xf numFmtId="3" fontId="5" fillId="0" borderId="3" xfId="0" applyNumberFormat="1" applyFont="1" applyBorder="1" applyAlignment="1">
      <alignment horizontal="right"/>
    </xf>
    <xf numFmtId="3" fontId="5" fillId="7" borderId="1" xfId="0" applyNumberFormat="1" applyFont="1" applyFill="1" applyBorder="1"/>
    <xf numFmtId="3" fontId="5" fillId="5" borderId="1" xfId="0" applyNumberFormat="1" applyFont="1" applyFill="1" applyBorder="1"/>
    <xf numFmtId="3" fontId="5" fillId="0" borderId="6" xfId="0" applyNumberFormat="1" applyFont="1" applyBorder="1"/>
    <xf numFmtId="3" fontId="0" fillId="0" borderId="4" xfId="0" applyNumberFormat="1" applyBorder="1" applyAlignment="1">
      <alignment horizontal="center"/>
    </xf>
    <xf numFmtId="3" fontId="3" fillId="9" borderId="20" xfId="0" applyNumberFormat="1" applyFont="1" applyFill="1" applyBorder="1" applyAlignment="1">
      <alignment horizontal="center"/>
    </xf>
    <xf numFmtId="9" fontId="5" fillId="9" borderId="21" xfId="0" applyNumberFormat="1" applyFont="1" applyFill="1" applyBorder="1"/>
    <xf numFmtId="3" fontId="3" fillId="9" borderId="22" xfId="0" applyNumberFormat="1" applyFont="1" applyFill="1" applyBorder="1" applyAlignment="1">
      <alignment horizontal="center"/>
    </xf>
    <xf numFmtId="9" fontId="5" fillId="9" borderId="23" xfId="0" applyNumberFormat="1" applyFont="1" applyFill="1" applyBorder="1"/>
    <xf numFmtId="3" fontId="9" fillId="2" borderId="6" xfId="0" applyNumberFormat="1" applyFont="1" applyFill="1" applyBorder="1" applyAlignment="1">
      <alignment horizontal="right"/>
    </xf>
    <xf numFmtId="3" fontId="4" fillId="2" borderId="6" xfId="0" applyNumberFormat="1" applyFont="1" applyFill="1" applyBorder="1"/>
    <xf numFmtId="3" fontId="9" fillId="6" borderId="1" xfId="0" applyNumberFormat="1" applyFont="1" applyFill="1" applyBorder="1" applyAlignment="1">
      <alignment horizontal="right"/>
    </xf>
    <xf numFmtId="3" fontId="2" fillId="0" borderId="4" xfId="0" applyNumberFormat="1" applyFont="1" applyBorder="1" applyAlignment="1">
      <alignment horizontal="right"/>
    </xf>
    <xf numFmtId="3" fontId="4" fillId="6" borderId="6" xfId="0" applyNumberFormat="1" applyFont="1" applyFill="1" applyBorder="1"/>
    <xf numFmtId="0" fontId="5" fillId="0" borderId="3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8" fillId="0" borderId="24" xfId="0" applyFont="1" applyBorder="1" applyAlignment="1">
      <alignment horizontal="center"/>
    </xf>
    <xf numFmtId="3" fontId="3" fillId="0" borderId="25" xfId="0" applyNumberFormat="1" applyFont="1" applyBorder="1" applyAlignment="1">
      <alignment horizontal="right" vertical="center"/>
    </xf>
    <xf numFmtId="164" fontId="5" fillId="0" borderId="17" xfId="0" applyNumberFormat="1" applyFont="1" applyBorder="1"/>
    <xf numFmtId="164" fontId="5" fillId="0" borderId="18" xfId="0" applyNumberFormat="1" applyFont="1" applyBorder="1"/>
    <xf numFmtId="164" fontId="5" fillId="0" borderId="19" xfId="0" applyNumberFormat="1" applyFont="1" applyBorder="1"/>
    <xf numFmtId="3" fontId="3" fillId="7" borderId="1" xfId="0" applyNumberFormat="1" applyFont="1" applyFill="1" applyBorder="1"/>
    <xf numFmtId="3" fontId="5" fillId="2" borderId="6" xfId="0" applyNumberFormat="1" applyFont="1" applyFill="1" applyBorder="1"/>
    <xf numFmtId="3" fontId="3" fillId="5" borderId="3" xfId="0" applyNumberFormat="1" applyFont="1" applyFill="1" applyBorder="1" applyAlignment="1">
      <alignment horizontal="center" wrapText="1"/>
    </xf>
    <xf numFmtId="3" fontId="3" fillId="5" borderId="3" xfId="0" applyNumberFormat="1" applyFont="1" applyFill="1" applyBorder="1" applyAlignment="1">
      <alignment horizontal="center"/>
    </xf>
    <xf numFmtId="164" fontId="5" fillId="2" borderId="18" xfId="0" applyNumberFormat="1" applyFont="1" applyFill="1" applyBorder="1"/>
    <xf numFmtId="3" fontId="5" fillId="5" borderId="6" xfId="0" applyNumberFormat="1" applyFont="1" applyFill="1" applyBorder="1"/>
    <xf numFmtId="3" fontId="3" fillId="8" borderId="3" xfId="0" applyNumberFormat="1" applyFont="1" applyFill="1" applyBorder="1" applyAlignment="1">
      <alignment horizontal="center" wrapText="1"/>
    </xf>
    <xf numFmtId="3" fontId="3" fillId="8" borderId="3" xfId="0" applyNumberFormat="1" applyFont="1" applyFill="1" applyBorder="1" applyAlignment="1">
      <alignment horizontal="center"/>
    </xf>
    <xf numFmtId="3" fontId="5" fillId="8" borderId="6" xfId="0" applyNumberFormat="1" applyFont="1" applyFill="1" applyBorder="1"/>
    <xf numFmtId="3" fontId="3" fillId="7" borderId="12" xfId="0" applyNumberFormat="1" applyFont="1" applyFill="1" applyBorder="1" applyAlignment="1">
      <alignment horizontal="center" wrapText="1"/>
    </xf>
    <xf numFmtId="3" fontId="3" fillId="7" borderId="12" xfId="0" applyNumberFormat="1" applyFont="1" applyFill="1" applyBorder="1" applyAlignment="1">
      <alignment horizontal="center"/>
    </xf>
    <xf numFmtId="0" fontId="8" fillId="0" borderId="26" xfId="0" applyFont="1" applyBorder="1" applyAlignment="1">
      <alignment horizontal="center"/>
    </xf>
    <xf numFmtId="3" fontId="3" fillId="0" borderId="27" xfId="0" applyNumberFormat="1" applyFont="1" applyBorder="1" applyAlignment="1">
      <alignment horizontal="right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5" fillId="10" borderId="18" xfId="0" applyNumberFormat="1" applyFont="1" applyFill="1" applyBorder="1"/>
    <xf numFmtId="0" fontId="3" fillId="0" borderId="6" xfId="0" applyFont="1" applyBorder="1" applyAlignment="1">
      <alignment horizontal="center"/>
    </xf>
    <xf numFmtId="43" fontId="3" fillId="7" borderId="1" xfId="1" applyFont="1" applyFill="1" applyBorder="1"/>
    <xf numFmtId="43" fontId="3" fillId="2" borderId="1" xfId="1" applyFont="1" applyFill="1" applyBorder="1"/>
    <xf numFmtId="43" fontId="5" fillId="2" borderId="6" xfId="1" applyFont="1" applyFill="1" applyBorder="1"/>
    <xf numFmtId="43" fontId="5" fillId="0" borderId="18" xfId="1" applyFont="1" applyFill="1" applyBorder="1"/>
    <xf numFmtId="43" fontId="5" fillId="2" borderId="18" xfId="1" applyFont="1" applyFill="1" applyBorder="1"/>
    <xf numFmtId="3" fontId="5" fillId="5" borderId="1" xfId="0" applyNumberFormat="1" applyFont="1" applyFill="1" applyBorder="1" applyAlignment="1">
      <alignment horizontal="right"/>
    </xf>
    <xf numFmtId="0" fontId="18" fillId="0" borderId="5" xfId="0" applyFont="1" applyBorder="1" applyAlignment="1">
      <alignment vertical="center" wrapText="1"/>
    </xf>
    <xf numFmtId="0" fontId="0" fillId="0" borderId="7" xfId="0" applyBorder="1" applyAlignment="1">
      <alignment vertical="center"/>
    </xf>
    <xf numFmtId="0" fontId="0" fillId="0" borderId="5" xfId="0" applyBorder="1" applyAlignment="1">
      <alignment vertical="center"/>
    </xf>
    <xf numFmtId="3" fontId="3" fillId="10" borderId="1" xfId="0" applyNumberFormat="1" applyFont="1" applyFill="1" applyBorder="1"/>
    <xf numFmtId="3" fontId="5" fillId="10" borderId="1" xfId="0" applyNumberFormat="1" applyFont="1" applyFill="1" applyBorder="1"/>
    <xf numFmtId="3" fontId="5" fillId="10" borderId="6" xfId="0" applyNumberFormat="1" applyFont="1" applyFill="1" applyBorder="1"/>
    <xf numFmtId="3" fontId="3" fillId="10" borderId="1" xfId="0" applyNumberFormat="1" applyFont="1" applyFill="1" applyBorder="1" applyAlignment="1">
      <alignment horizontal="right"/>
    </xf>
    <xf numFmtId="3" fontId="5" fillId="10" borderId="1" xfId="0" applyNumberFormat="1" applyFont="1" applyFill="1" applyBorder="1" applyAlignment="1">
      <alignment horizontal="right"/>
    </xf>
    <xf numFmtId="0" fontId="0" fillId="0" borderId="1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5" fillId="0" borderId="11" xfId="0" applyFont="1" applyBorder="1"/>
    <xf numFmtId="0" fontId="3" fillId="0" borderId="11" xfId="0" applyFont="1" applyBorder="1"/>
    <xf numFmtId="0" fontId="0" fillId="0" borderId="1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3" fontId="3" fillId="2" borderId="6" xfId="0" applyNumberFormat="1" applyFont="1" applyFill="1" applyBorder="1"/>
    <xf numFmtId="3" fontId="5" fillId="0" borderId="6" xfId="0" applyNumberFormat="1" applyFont="1" applyBorder="1" applyAlignment="1">
      <alignment horizontal="right"/>
    </xf>
    <xf numFmtId="0" fontId="0" fillId="0" borderId="11" xfId="0" applyBorder="1"/>
    <xf numFmtId="0" fontId="0" fillId="0" borderId="0" xfId="0" applyAlignment="1">
      <alignment horizontal="center"/>
    </xf>
    <xf numFmtId="0" fontId="21" fillId="0" borderId="0" xfId="0" applyFont="1"/>
    <xf numFmtId="0" fontId="21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1" fontId="22" fillId="0" borderId="0" xfId="0" applyNumberFormat="1" applyFont="1" applyAlignment="1">
      <alignment horizontal="center"/>
    </xf>
    <xf numFmtId="0" fontId="23" fillId="0" borderId="0" xfId="0" applyFont="1" applyAlignment="1">
      <alignment horizontal="right"/>
    </xf>
    <xf numFmtId="0" fontId="21" fillId="0" borderId="0" xfId="0" applyFont="1" applyAlignment="1">
      <alignment horizontal="center" vertical="center" wrapText="1"/>
    </xf>
    <xf numFmtId="165" fontId="3" fillId="7" borderId="1" xfId="1" applyNumberFormat="1" applyFont="1" applyFill="1" applyBorder="1"/>
    <xf numFmtId="165" fontId="5" fillId="0" borderId="6" xfId="1" applyNumberFormat="1" applyFont="1" applyFill="1" applyBorder="1"/>
    <xf numFmtId="3" fontId="3" fillId="7" borderId="1" xfId="1" applyNumberFormat="1" applyFont="1" applyFill="1" applyBorder="1"/>
    <xf numFmtId="165" fontId="5" fillId="2" borderId="6" xfId="1" applyNumberFormat="1" applyFont="1" applyFill="1" applyBorder="1"/>
    <xf numFmtId="0" fontId="11" fillId="2" borderId="7" xfId="0" applyFont="1" applyFill="1" applyBorder="1" applyAlignment="1">
      <alignment horizontal="right"/>
    </xf>
    <xf numFmtId="14" fontId="5" fillId="2" borderId="1" xfId="0" applyNumberFormat="1" applyFont="1" applyFill="1" applyBorder="1" applyAlignment="1">
      <alignment horizontal="center"/>
    </xf>
    <xf numFmtId="3" fontId="5" fillId="2" borderId="1" xfId="0" applyNumberFormat="1" applyFont="1" applyFill="1" applyBorder="1"/>
    <xf numFmtId="0" fontId="20" fillId="0" borderId="1" xfId="0" applyFont="1" applyBorder="1" applyAlignment="1">
      <alignment vertical="center"/>
    </xf>
    <xf numFmtId="0" fontId="0" fillId="0" borderId="4" xfId="0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3" fontId="25" fillId="3" borderId="1" xfId="0" applyNumberFormat="1" applyFont="1" applyFill="1" applyBorder="1"/>
    <xf numFmtId="3" fontId="25" fillId="2" borderId="1" xfId="0" applyNumberFormat="1" applyFont="1" applyFill="1" applyBorder="1"/>
    <xf numFmtId="3" fontId="25" fillId="11" borderId="6" xfId="0" applyNumberFormat="1" applyFont="1" applyFill="1" applyBorder="1"/>
    <xf numFmtId="0" fontId="0" fillId="8" borderId="9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3" fontId="3" fillId="7" borderId="1" xfId="0" applyNumberFormat="1" applyFont="1" applyFill="1" applyBorder="1" applyAlignment="1">
      <alignment horizontal="right"/>
    </xf>
    <xf numFmtId="3" fontId="3" fillId="7" borderId="3" xfId="0" applyNumberFormat="1" applyFont="1" applyFill="1" applyBorder="1" applyAlignment="1">
      <alignment horizontal="right"/>
    </xf>
    <xf numFmtId="3" fontId="5" fillId="7" borderId="3" xfId="0" applyNumberFormat="1" applyFont="1" applyFill="1" applyBorder="1" applyAlignment="1">
      <alignment horizontal="right"/>
    </xf>
    <xf numFmtId="3" fontId="0" fillId="8" borderId="1" xfId="0" applyNumberFormat="1" applyFill="1" applyBorder="1" applyAlignment="1">
      <alignment horizontal="center"/>
    </xf>
    <xf numFmtId="1" fontId="3" fillId="12" borderId="0" xfId="0" applyNumberFormat="1" applyFont="1" applyFill="1"/>
    <xf numFmtId="3" fontId="3" fillId="13" borderId="1" xfId="0" applyNumberFormat="1" applyFont="1" applyFill="1" applyBorder="1" applyAlignment="1">
      <alignment horizontal="right"/>
    </xf>
    <xf numFmtId="1" fontId="3" fillId="0" borderId="29" xfId="0" applyNumberFormat="1" applyFont="1" applyBorder="1"/>
    <xf numFmtId="3" fontId="5" fillId="0" borderId="8" xfId="0" applyNumberFormat="1" applyFont="1" applyBorder="1" applyAlignment="1">
      <alignment horizontal="right"/>
    </xf>
    <xf numFmtId="9" fontId="3" fillId="9" borderId="30" xfId="0" applyNumberFormat="1" applyFont="1" applyFill="1" applyBorder="1" applyAlignment="1">
      <alignment horizontal="center"/>
    </xf>
    <xf numFmtId="3" fontId="5" fillId="0" borderId="4" xfId="0" applyNumberFormat="1" applyFont="1" applyBorder="1" applyAlignment="1">
      <alignment horizontal="right"/>
    </xf>
    <xf numFmtId="3" fontId="3" fillId="5" borderId="12" xfId="0" applyNumberFormat="1" applyFont="1" applyFill="1" applyBorder="1" applyAlignment="1">
      <alignment horizontal="center"/>
    </xf>
    <xf numFmtId="3" fontId="5" fillId="5" borderId="3" xfId="0" applyNumberFormat="1" applyFont="1" applyFill="1" applyBorder="1" applyAlignment="1">
      <alignment horizontal="right"/>
    </xf>
    <xf numFmtId="3" fontId="3" fillId="0" borderId="4" xfId="0" applyNumberFormat="1" applyFont="1" applyBorder="1"/>
    <xf numFmtId="3" fontId="3" fillId="8" borderId="12" xfId="0" applyNumberFormat="1" applyFont="1" applyFill="1" applyBorder="1" applyAlignment="1">
      <alignment horizontal="center" wrapText="1"/>
    </xf>
    <xf numFmtId="3" fontId="5" fillId="8" borderId="3" xfId="0" applyNumberFormat="1" applyFont="1" applyFill="1" applyBorder="1"/>
    <xf numFmtId="0" fontId="21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3" fontId="3" fillId="4" borderId="1" xfId="0" applyNumberFormat="1" applyFont="1" applyFill="1" applyBorder="1" applyAlignment="1">
      <alignment horizontal="center"/>
    </xf>
    <xf numFmtId="3" fontId="3" fillId="6" borderId="8" xfId="0" applyNumberFormat="1" applyFont="1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3" fontId="5" fillId="7" borderId="4" xfId="0" applyNumberFormat="1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3" fontId="3" fillId="5" borderId="4" xfId="0" applyNumberFormat="1" applyFont="1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3" fontId="3" fillId="8" borderId="4" xfId="0" applyNumberFormat="1" applyFont="1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3" fontId="3" fillId="7" borderId="4" xfId="0" applyNumberFormat="1" applyFont="1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2" xfId="0" applyFill="1" applyBorder="1" applyAlignment="1">
      <alignment horizontal="center"/>
    </xf>
    <xf numFmtId="3" fontId="3" fillId="0" borderId="1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3" fillId="4" borderId="3" xfId="0" applyFont="1" applyFill="1" applyBorder="1" applyAlignment="1">
      <alignment horizontal="center" vertical="center" wrapText="1"/>
    </xf>
    <xf numFmtId="0" fontId="13" fillId="4" borderId="8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18" fillId="0" borderId="1" xfId="0" applyFont="1" applyBorder="1" applyAlignment="1">
      <alignment horizontal="left" vertical="center" wrapText="1"/>
    </xf>
    <xf numFmtId="0" fontId="18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0" fontId="0" fillId="0" borderId="9" xfId="0" applyBorder="1" applyAlignment="1">
      <alignment horizontal="center"/>
    </xf>
    <xf numFmtId="3" fontId="3" fillId="6" borderId="4" xfId="0" applyNumberFormat="1" applyFont="1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3" fontId="5" fillId="7" borderId="7" xfId="0" applyNumberFormat="1" applyFont="1" applyFill="1" applyBorder="1" applyAlignment="1">
      <alignment horizontal="center"/>
    </xf>
    <xf numFmtId="3" fontId="5" fillId="7" borderId="28" xfId="0" applyNumberFormat="1" applyFont="1" applyFill="1" applyBorder="1" applyAlignment="1">
      <alignment horizontal="center"/>
    </xf>
    <xf numFmtId="0" fontId="19" fillId="0" borderId="4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3" fontId="25" fillId="4" borderId="1" xfId="0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</sheetPr>
  <dimension ref="B2:J47"/>
  <sheetViews>
    <sheetView zoomScaleNormal="100" workbookViewId="0">
      <selection activeCell="J3" sqref="J3"/>
    </sheetView>
  </sheetViews>
  <sheetFormatPr defaultColWidth="8.875" defaultRowHeight="15.95"/>
  <cols>
    <col min="1" max="1" width="2.625" customWidth="1"/>
    <col min="3" max="3" width="9.875" style="136" customWidth="1"/>
    <col min="4" max="4" width="9" style="136"/>
    <col min="5" max="5" width="10.5" style="136" customWidth="1"/>
    <col min="6" max="6" width="9.625" style="136" customWidth="1"/>
    <col min="7" max="7" width="9.875" style="136" customWidth="1"/>
    <col min="8" max="8" width="10.375" style="136" customWidth="1"/>
    <col min="9" max="9" width="11.875" style="136" customWidth="1"/>
    <col min="10" max="10" width="11.125" style="152" customWidth="1"/>
  </cols>
  <sheetData>
    <row r="2" spans="2:10" s="137" customFormat="1">
      <c r="C2" s="138" t="s">
        <v>0</v>
      </c>
      <c r="D2" s="138" t="s">
        <v>1</v>
      </c>
      <c r="E2" s="138" t="s">
        <v>2</v>
      </c>
      <c r="F2" s="138" t="s">
        <v>3</v>
      </c>
      <c r="G2" s="138" t="s">
        <v>4</v>
      </c>
      <c r="H2" s="138" t="s">
        <v>5</v>
      </c>
      <c r="I2" s="138" t="s">
        <v>6</v>
      </c>
      <c r="J2" s="138" t="s">
        <v>7</v>
      </c>
    </row>
    <row r="3" spans="2:10">
      <c r="B3" s="173" t="s">
        <v>8</v>
      </c>
      <c r="C3" s="139"/>
      <c r="D3" s="139"/>
      <c r="E3" s="139"/>
      <c r="F3" s="139"/>
      <c r="G3" s="139"/>
      <c r="H3" s="139"/>
      <c r="I3" s="139"/>
      <c r="J3" s="152" t="s">
        <v>9</v>
      </c>
    </row>
    <row r="4" spans="2:10">
      <c r="B4" s="173"/>
      <c r="C4" s="139"/>
      <c r="D4" s="139"/>
      <c r="E4" s="139"/>
      <c r="F4" s="139"/>
      <c r="G4" s="139"/>
      <c r="H4" s="139"/>
      <c r="I4" s="139"/>
      <c r="J4" s="152" t="s">
        <v>10</v>
      </c>
    </row>
    <row r="5" spans="2:10">
      <c r="B5" s="173"/>
      <c r="C5" s="139"/>
      <c r="D5" s="139"/>
      <c r="E5" s="139"/>
      <c r="F5" s="139"/>
      <c r="G5" s="139"/>
      <c r="H5" s="139"/>
      <c r="I5" s="139"/>
      <c r="J5" s="152" t="s">
        <v>11</v>
      </c>
    </row>
    <row r="6" spans="2:10">
      <c r="B6" s="173"/>
      <c r="C6" s="139"/>
      <c r="D6" s="139"/>
      <c r="E6" s="139"/>
      <c r="F6" s="139"/>
      <c r="G6" s="139"/>
      <c r="H6" s="139"/>
      <c r="I6" s="139"/>
      <c r="J6" s="152" t="s">
        <v>12</v>
      </c>
    </row>
    <row r="7" spans="2:10">
      <c r="B7" s="173"/>
      <c r="C7" s="139"/>
      <c r="D7" s="139"/>
      <c r="E7" s="139"/>
      <c r="F7" s="139"/>
      <c r="G7" s="139"/>
      <c r="H7" s="139"/>
      <c r="I7" s="139"/>
      <c r="J7" s="152" t="s">
        <v>13</v>
      </c>
    </row>
    <row r="8" spans="2:10">
      <c r="B8" s="173"/>
      <c r="C8" s="139"/>
      <c r="D8" s="139"/>
      <c r="E8" s="139"/>
      <c r="F8" s="139"/>
      <c r="G8" s="139"/>
      <c r="H8" s="139"/>
      <c r="I8" s="139"/>
      <c r="J8" s="152" t="s">
        <v>14</v>
      </c>
    </row>
    <row r="9" spans="2:10">
      <c r="B9" s="173"/>
      <c r="C9" s="139"/>
      <c r="D9" s="139"/>
      <c r="E9" s="139"/>
      <c r="F9" s="139"/>
      <c r="G9" s="139"/>
      <c r="H9" s="139"/>
      <c r="I9" s="139"/>
      <c r="J9" s="152" t="s">
        <v>15</v>
      </c>
    </row>
    <row r="10" spans="2:10">
      <c r="B10" s="173"/>
      <c r="C10" s="139"/>
      <c r="D10" s="139"/>
      <c r="E10" s="139"/>
      <c r="F10" s="139"/>
      <c r="G10" s="139"/>
      <c r="H10" s="139"/>
      <c r="I10" s="139"/>
      <c r="J10" s="152" t="s">
        <v>16</v>
      </c>
    </row>
    <row r="11" spans="2:10">
      <c r="B11" s="142"/>
      <c r="C11" s="139"/>
      <c r="D11" s="139"/>
      <c r="E11" s="139"/>
      <c r="F11" s="139"/>
      <c r="G11" s="139"/>
      <c r="H11" s="139"/>
      <c r="I11" s="139"/>
      <c r="J11" s="152" t="s">
        <v>17</v>
      </c>
    </row>
    <row r="12" spans="2:10">
      <c r="B12" s="142"/>
      <c r="C12" s="139"/>
      <c r="D12" s="139"/>
      <c r="E12" s="139"/>
      <c r="F12" s="139"/>
      <c r="G12" s="139"/>
      <c r="H12" s="139"/>
      <c r="I12" s="139"/>
      <c r="J12" s="152" t="s">
        <v>18</v>
      </c>
    </row>
    <row r="13" spans="2:10">
      <c r="B13" s="142"/>
      <c r="C13" s="139"/>
      <c r="D13" s="139"/>
      <c r="E13" s="139"/>
      <c r="F13" s="139"/>
      <c r="G13" s="139"/>
      <c r="H13" s="139"/>
      <c r="I13" s="139"/>
      <c r="J13" s="152" t="s">
        <v>19</v>
      </c>
    </row>
    <row r="14" spans="2:10">
      <c r="B14" s="142"/>
      <c r="C14" s="139"/>
      <c r="D14" s="139"/>
      <c r="E14" s="139"/>
      <c r="F14" s="139"/>
      <c r="G14" s="139"/>
      <c r="H14" s="139"/>
      <c r="I14" s="139"/>
      <c r="J14" s="152" t="s">
        <v>20</v>
      </c>
    </row>
    <row r="15" spans="2:10">
      <c r="B15" s="142"/>
      <c r="C15" s="139"/>
      <c r="D15" s="139"/>
      <c r="E15" s="139"/>
      <c r="F15" s="139"/>
      <c r="G15" s="139"/>
      <c r="H15" s="139"/>
      <c r="I15" s="139"/>
      <c r="J15" s="152" t="s">
        <v>21</v>
      </c>
    </row>
    <row r="16" spans="2:10">
      <c r="B16" s="141" t="s">
        <v>22</v>
      </c>
      <c r="C16" s="140" t="e">
        <f>AVERAGE(C3:C15)</f>
        <v>#DIV/0!</v>
      </c>
      <c r="D16" s="140" t="e">
        <f t="shared" ref="D16:I16" si="0">AVERAGE(D3:D15)</f>
        <v>#DIV/0!</v>
      </c>
      <c r="E16" s="140"/>
      <c r="F16" s="140"/>
      <c r="G16" s="140" t="e">
        <f t="shared" si="0"/>
        <v>#DIV/0!</v>
      </c>
      <c r="H16" s="140" t="e">
        <f t="shared" si="0"/>
        <v>#DIV/0!</v>
      </c>
      <c r="I16" s="140" t="e">
        <f t="shared" si="0"/>
        <v>#DIV/0!</v>
      </c>
    </row>
    <row r="17" spans="2:10">
      <c r="C17" s="140"/>
      <c r="D17" s="140"/>
      <c r="E17" s="140"/>
      <c r="F17" s="140"/>
      <c r="G17" s="140"/>
      <c r="H17" s="140"/>
      <c r="I17" s="140"/>
    </row>
    <row r="18" spans="2:10">
      <c r="C18" s="140"/>
      <c r="D18" s="140"/>
      <c r="E18" s="140"/>
      <c r="F18" s="140"/>
      <c r="G18" s="140"/>
      <c r="H18" s="140"/>
      <c r="I18" s="140"/>
    </row>
    <row r="19" spans="2:10">
      <c r="B19" s="174" t="s">
        <v>23</v>
      </c>
      <c r="C19" s="139"/>
      <c r="D19" s="139"/>
      <c r="E19" s="139"/>
      <c r="F19" s="139"/>
      <c r="G19" s="139"/>
      <c r="H19" s="139"/>
      <c r="I19" s="139"/>
      <c r="J19" s="152" t="s">
        <v>9</v>
      </c>
    </row>
    <row r="20" spans="2:10">
      <c r="B20" s="174"/>
      <c r="C20" s="139"/>
      <c r="D20" s="139"/>
      <c r="E20" s="139"/>
      <c r="F20" s="139"/>
      <c r="G20" s="139"/>
      <c r="H20" s="139"/>
      <c r="I20" s="139"/>
      <c r="J20" s="152" t="s">
        <v>10</v>
      </c>
    </row>
    <row r="21" spans="2:10">
      <c r="B21" s="174"/>
      <c r="C21" s="139"/>
      <c r="D21" s="139"/>
      <c r="E21" s="139"/>
      <c r="F21" s="139"/>
      <c r="G21" s="139"/>
      <c r="H21" s="139"/>
      <c r="I21" s="139"/>
      <c r="J21" s="152" t="s">
        <v>11</v>
      </c>
    </row>
    <row r="22" spans="2:10">
      <c r="B22" s="174"/>
      <c r="C22" s="139"/>
      <c r="D22" s="139"/>
      <c r="E22" s="139"/>
      <c r="F22" s="139"/>
      <c r="G22" s="139"/>
      <c r="H22" s="139"/>
      <c r="I22" s="139"/>
      <c r="J22" s="152" t="s">
        <v>12</v>
      </c>
    </row>
    <row r="23" spans="2:10">
      <c r="B23" s="174"/>
      <c r="C23" s="139"/>
      <c r="D23" s="139"/>
      <c r="E23" s="139"/>
      <c r="F23" s="139"/>
      <c r="G23" s="139"/>
      <c r="H23" s="139"/>
      <c r="I23" s="139"/>
      <c r="J23" s="152" t="s">
        <v>13</v>
      </c>
    </row>
    <row r="24" spans="2:10">
      <c r="B24" s="174"/>
      <c r="C24" s="139"/>
      <c r="D24" s="139"/>
      <c r="E24" s="139"/>
      <c r="F24" s="139"/>
      <c r="G24" s="139"/>
      <c r="H24" s="139"/>
      <c r="I24" s="139"/>
      <c r="J24" s="152" t="s">
        <v>14</v>
      </c>
    </row>
    <row r="25" spans="2:10">
      <c r="B25" s="174"/>
      <c r="C25" s="139"/>
      <c r="D25" s="139"/>
      <c r="E25" s="139"/>
      <c r="F25" s="139"/>
      <c r="G25" s="139"/>
      <c r="H25" s="139"/>
      <c r="I25" s="139"/>
      <c r="J25" s="152" t="s">
        <v>15</v>
      </c>
    </row>
    <row r="26" spans="2:10">
      <c r="B26" s="174"/>
      <c r="C26" s="139"/>
      <c r="D26" s="139"/>
      <c r="E26" s="139"/>
      <c r="F26" s="139"/>
      <c r="G26" s="139"/>
      <c r="H26" s="139"/>
      <c r="I26" s="139"/>
      <c r="J26" s="152" t="s">
        <v>16</v>
      </c>
    </row>
    <row r="27" spans="2:10">
      <c r="B27" s="174"/>
      <c r="C27" s="139"/>
      <c r="D27" s="139"/>
      <c r="E27" s="139"/>
      <c r="F27" s="139"/>
      <c r="G27" s="139"/>
      <c r="H27" s="139"/>
      <c r="I27" s="139"/>
      <c r="J27" s="152" t="s">
        <v>17</v>
      </c>
    </row>
    <row r="28" spans="2:10">
      <c r="B28" s="174"/>
      <c r="C28" s="139"/>
      <c r="D28" s="139"/>
      <c r="E28" s="139"/>
      <c r="F28" s="139"/>
      <c r="G28" s="139"/>
      <c r="H28" s="139"/>
      <c r="I28" s="139"/>
      <c r="J28" s="152" t="s">
        <v>18</v>
      </c>
    </row>
    <row r="29" spans="2:10">
      <c r="B29" s="174"/>
      <c r="C29" s="139"/>
      <c r="D29" s="139"/>
      <c r="E29" s="139"/>
      <c r="F29" s="139"/>
      <c r="G29" s="139"/>
      <c r="H29" s="139"/>
      <c r="I29" s="139"/>
      <c r="J29" s="152" t="s">
        <v>19</v>
      </c>
    </row>
    <row r="30" spans="2:10">
      <c r="B30" s="174"/>
      <c r="C30" s="139"/>
      <c r="D30" s="139"/>
      <c r="E30" s="139"/>
      <c r="F30" s="139"/>
      <c r="G30" s="139"/>
      <c r="H30" s="139"/>
      <c r="I30" s="139"/>
      <c r="J30" s="152" t="s">
        <v>20</v>
      </c>
    </row>
    <row r="31" spans="2:10">
      <c r="B31" s="138"/>
      <c r="C31" s="139"/>
      <c r="D31" s="139"/>
      <c r="E31" s="139"/>
      <c r="F31" s="139"/>
      <c r="G31" s="139"/>
      <c r="H31" s="139"/>
      <c r="I31" s="139"/>
      <c r="J31" s="152" t="s">
        <v>21</v>
      </c>
    </row>
    <row r="32" spans="2:10">
      <c r="B32" s="141" t="s">
        <v>22</v>
      </c>
      <c r="C32" s="140" t="e">
        <f>AVERAGE(C19:C31)</f>
        <v>#DIV/0!</v>
      </c>
      <c r="D32" s="140" t="e">
        <f t="shared" ref="D32:I32" si="1">AVERAGE(D19:D31)</f>
        <v>#DIV/0!</v>
      </c>
      <c r="E32" s="140" t="e">
        <f t="shared" si="1"/>
        <v>#DIV/0!</v>
      </c>
      <c r="F32" s="140" t="e">
        <f t="shared" si="1"/>
        <v>#DIV/0!</v>
      </c>
      <c r="G32" s="140" t="e">
        <f t="shared" si="1"/>
        <v>#DIV/0!</v>
      </c>
      <c r="H32" s="140" t="e">
        <f t="shared" si="1"/>
        <v>#DIV/0!</v>
      </c>
      <c r="I32" s="140" t="e">
        <f t="shared" si="1"/>
        <v>#DIV/0!</v>
      </c>
    </row>
    <row r="33" spans="2:10">
      <c r="C33" s="140"/>
      <c r="D33" s="140"/>
      <c r="E33" s="140"/>
      <c r="F33" s="140"/>
      <c r="G33" s="140"/>
      <c r="H33" s="140"/>
      <c r="I33" s="140"/>
    </row>
    <row r="34" spans="2:10">
      <c r="C34" s="140"/>
      <c r="D34" s="140"/>
      <c r="E34" s="140"/>
      <c r="F34" s="140"/>
      <c r="G34" s="140"/>
      <c r="H34" s="140"/>
      <c r="I34" s="140"/>
    </row>
    <row r="35" spans="2:10">
      <c r="B35" s="174" t="s">
        <v>24</v>
      </c>
      <c r="C35" s="139"/>
      <c r="D35" s="139"/>
      <c r="E35" s="139"/>
      <c r="F35" s="139"/>
      <c r="G35" s="139"/>
      <c r="H35" s="139"/>
      <c r="I35" s="139"/>
      <c r="J35" s="152" t="s">
        <v>9</v>
      </c>
    </row>
    <row r="36" spans="2:10">
      <c r="B36" s="174"/>
      <c r="C36" s="139"/>
      <c r="D36" s="139"/>
      <c r="E36" s="139"/>
      <c r="F36" s="139"/>
      <c r="G36" s="139"/>
      <c r="H36" s="139"/>
      <c r="I36" s="139"/>
      <c r="J36" s="152" t="s">
        <v>10</v>
      </c>
    </row>
    <row r="37" spans="2:10">
      <c r="B37" s="174"/>
      <c r="C37" s="139"/>
      <c r="D37" s="139"/>
      <c r="E37" s="139"/>
      <c r="F37" s="139"/>
      <c r="G37" s="139"/>
      <c r="H37" s="139"/>
      <c r="I37" s="139"/>
      <c r="J37" s="152" t="s">
        <v>11</v>
      </c>
    </row>
    <row r="38" spans="2:10">
      <c r="B38" s="174"/>
      <c r="C38" s="139"/>
      <c r="D38" s="139"/>
      <c r="E38" s="139"/>
      <c r="F38" s="139"/>
      <c r="G38" s="139"/>
      <c r="H38" s="139"/>
      <c r="I38" s="139"/>
      <c r="J38" s="152" t="s">
        <v>12</v>
      </c>
    </row>
    <row r="39" spans="2:10">
      <c r="B39" s="174"/>
      <c r="C39" s="139"/>
      <c r="D39" s="139"/>
      <c r="E39" s="139"/>
      <c r="F39" s="139"/>
      <c r="G39" s="139"/>
      <c r="H39" s="139"/>
      <c r="I39" s="139"/>
      <c r="J39" s="152" t="s">
        <v>13</v>
      </c>
    </row>
    <row r="40" spans="2:10">
      <c r="B40" s="174"/>
      <c r="C40" s="139"/>
      <c r="D40" s="139"/>
      <c r="E40" s="139"/>
      <c r="F40" s="139"/>
      <c r="G40" s="139"/>
      <c r="H40" s="139"/>
      <c r="I40" s="139"/>
      <c r="J40" s="152" t="s">
        <v>14</v>
      </c>
    </row>
    <row r="41" spans="2:10">
      <c r="B41" s="174"/>
      <c r="C41" s="139"/>
      <c r="D41" s="139"/>
      <c r="E41" s="139"/>
      <c r="F41" s="139"/>
      <c r="G41" s="139"/>
      <c r="H41" s="139"/>
      <c r="I41" s="139"/>
      <c r="J41" s="152" t="s">
        <v>15</v>
      </c>
    </row>
    <row r="42" spans="2:10">
      <c r="B42" s="174"/>
      <c r="C42" s="139"/>
      <c r="D42" s="139"/>
      <c r="E42" s="139"/>
      <c r="F42" s="139"/>
      <c r="G42" s="139"/>
      <c r="H42" s="139"/>
      <c r="I42" s="139"/>
      <c r="J42" s="152" t="s">
        <v>16</v>
      </c>
    </row>
    <row r="43" spans="2:10">
      <c r="B43" s="174"/>
      <c r="C43" s="139"/>
      <c r="D43" s="139"/>
      <c r="E43" s="139"/>
      <c r="F43" s="139"/>
      <c r="G43" s="139"/>
      <c r="H43" s="139"/>
      <c r="I43" s="139"/>
      <c r="J43" s="152" t="s">
        <v>17</v>
      </c>
    </row>
    <row r="44" spans="2:10">
      <c r="B44" s="174"/>
      <c r="C44" s="139"/>
      <c r="D44" s="139"/>
      <c r="E44" s="139"/>
      <c r="F44" s="139"/>
      <c r="G44" s="139"/>
      <c r="H44" s="139"/>
      <c r="I44" s="139"/>
      <c r="J44" s="152" t="s">
        <v>18</v>
      </c>
    </row>
    <row r="45" spans="2:10">
      <c r="B45" s="174"/>
      <c r="C45" s="139"/>
      <c r="D45" s="139"/>
      <c r="E45" s="139"/>
      <c r="F45" s="139"/>
      <c r="G45" s="139"/>
      <c r="H45" s="139"/>
      <c r="I45" s="139"/>
      <c r="J45" s="152" t="s">
        <v>19</v>
      </c>
    </row>
    <row r="46" spans="2:10">
      <c r="B46" s="138"/>
      <c r="C46" s="139"/>
      <c r="D46" s="139"/>
      <c r="E46" s="139"/>
      <c r="F46" s="139"/>
      <c r="G46" s="139"/>
      <c r="H46" s="139"/>
      <c r="I46" s="139"/>
      <c r="J46" s="152" t="s">
        <v>20</v>
      </c>
    </row>
    <row r="47" spans="2:10">
      <c r="B47" s="141" t="s">
        <v>22</v>
      </c>
      <c r="C47" s="140" t="e">
        <f>AVERAGE(C35:C46)</f>
        <v>#DIV/0!</v>
      </c>
      <c r="D47" s="140" t="e">
        <f t="shared" ref="D47:I47" si="2">AVERAGE(D35:D46)</f>
        <v>#DIV/0!</v>
      </c>
      <c r="E47" s="140" t="e">
        <f t="shared" si="2"/>
        <v>#DIV/0!</v>
      </c>
      <c r="F47" s="140" t="e">
        <f t="shared" si="2"/>
        <v>#DIV/0!</v>
      </c>
      <c r="G47" s="140" t="e">
        <f t="shared" si="2"/>
        <v>#DIV/0!</v>
      </c>
      <c r="H47" s="140" t="e">
        <f t="shared" si="2"/>
        <v>#DIV/0!</v>
      </c>
      <c r="I47" s="140" t="e">
        <f t="shared" si="2"/>
        <v>#DIV/0!</v>
      </c>
      <c r="J47" s="152" t="s">
        <v>21</v>
      </c>
    </row>
  </sheetData>
  <mergeCells count="3">
    <mergeCell ref="B3:B10"/>
    <mergeCell ref="B19:B30"/>
    <mergeCell ref="B35:B45"/>
  </mergeCells>
  <phoneticPr fontId="2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11FA0-F2DC-42AF-9BAC-26FA8ABBB033}">
  <sheetPr>
    <pageSetUpPr fitToPage="1"/>
  </sheetPr>
  <dimension ref="A1:L892"/>
  <sheetViews>
    <sheetView showZeros="0" zoomScale="80" zoomScaleNormal="80" workbookViewId="0">
      <selection activeCell="E14" sqref="E14"/>
    </sheetView>
  </sheetViews>
  <sheetFormatPr defaultColWidth="10.875" defaultRowHeight="18.75"/>
  <cols>
    <col min="1" max="1" width="35.625" customWidth="1"/>
    <col min="2" max="2" width="14.625" style="16" customWidth="1"/>
    <col min="3" max="7" width="15.875" style="5" customWidth="1"/>
    <col min="8" max="8" width="15.875" style="17" customWidth="1"/>
    <col min="9" max="9" width="9" style="5"/>
    <col min="10" max="10" width="10.875" style="5" customWidth="1"/>
    <col min="11" max="12" width="10.875" style="5" hidden="1" customWidth="1"/>
    <col min="13" max="13" width="0" style="5" hidden="1" customWidth="1"/>
    <col min="14" max="16384" width="10.875" style="5"/>
  </cols>
  <sheetData>
    <row r="1" spans="1:10" customFormat="1" ht="15.75">
      <c r="A1" s="41"/>
      <c r="B1" s="42"/>
      <c r="C1" s="43"/>
      <c r="D1" s="43"/>
      <c r="E1" s="45" t="s">
        <v>25</v>
      </c>
      <c r="F1" s="43"/>
      <c r="G1" s="45" t="s">
        <v>26</v>
      </c>
      <c r="H1" s="44"/>
    </row>
    <row r="2" spans="1:10">
      <c r="A2" s="30"/>
      <c r="B2" s="18" t="s">
        <v>27</v>
      </c>
      <c r="C2" s="19" t="s">
        <v>28</v>
      </c>
      <c r="D2" s="19" t="s">
        <v>29</v>
      </c>
      <c r="E2" s="18" t="s">
        <v>30</v>
      </c>
      <c r="F2" s="18" t="s">
        <v>31</v>
      </c>
      <c r="G2" s="18" t="s">
        <v>32</v>
      </c>
      <c r="H2" s="18" t="s">
        <v>33</v>
      </c>
    </row>
    <row r="3" spans="1:10" ht="21" customHeight="1">
      <c r="A3" s="31" t="s">
        <v>7</v>
      </c>
      <c r="B3" s="6">
        <v>45865</v>
      </c>
      <c r="C3" s="6">
        <f>B3+1</f>
        <v>45866</v>
      </c>
      <c r="D3" s="6">
        <f t="shared" ref="D3:H3" si="0">C3+1</f>
        <v>45867</v>
      </c>
      <c r="E3" s="6">
        <f t="shared" si="0"/>
        <v>45868</v>
      </c>
      <c r="F3" s="6">
        <f t="shared" si="0"/>
        <v>45869</v>
      </c>
      <c r="G3" s="6">
        <f t="shared" si="0"/>
        <v>45870</v>
      </c>
      <c r="H3" s="6">
        <f t="shared" si="0"/>
        <v>45871</v>
      </c>
    </row>
    <row r="4" spans="1:10" s="7" customFormat="1">
      <c r="A4" s="181" t="s">
        <v>34</v>
      </c>
      <c r="B4" s="181"/>
      <c r="C4" s="181"/>
      <c r="D4" s="181"/>
      <c r="E4" s="181"/>
      <c r="F4" s="181"/>
      <c r="G4" s="181"/>
      <c r="H4" s="181"/>
    </row>
    <row r="5" spans="1:10" s="7" customFormat="1" ht="26.1" customHeight="1">
      <c r="A5" s="32" t="s">
        <v>8</v>
      </c>
      <c r="B5" s="27"/>
      <c r="C5" s="27"/>
      <c r="D5" s="27"/>
      <c r="E5" s="153"/>
      <c r="F5" s="153"/>
      <c r="G5" s="153"/>
      <c r="H5" s="153"/>
    </row>
    <row r="6" spans="1:10" s="7" customFormat="1" ht="26.1" customHeight="1">
      <c r="A6" s="4" t="s">
        <v>23</v>
      </c>
      <c r="B6" s="62"/>
      <c r="C6" s="62"/>
      <c r="D6" s="62"/>
      <c r="E6" s="154"/>
      <c r="F6" s="154"/>
      <c r="G6" s="154"/>
      <c r="H6" s="154"/>
    </row>
    <row r="7" spans="1:10" s="7" customFormat="1" ht="21.95" customHeight="1">
      <c r="A7" s="32" t="s">
        <v>35</v>
      </c>
      <c r="B7" s="27"/>
      <c r="C7" s="28"/>
      <c r="D7" s="28"/>
      <c r="E7" s="153"/>
      <c r="F7" s="153"/>
      <c r="G7" s="153"/>
      <c r="H7" s="153"/>
    </row>
    <row r="8" spans="1:10" s="7" customFormat="1" ht="24.95" customHeight="1">
      <c r="A8" s="83" t="s">
        <v>36</v>
      </c>
      <c r="B8" s="84">
        <f t="shared" ref="B8:H8" si="1">B5+B6+B7</f>
        <v>0</v>
      </c>
      <c r="C8" s="84">
        <f t="shared" si="1"/>
        <v>0</v>
      </c>
      <c r="D8" s="84">
        <f t="shared" si="1"/>
        <v>0</v>
      </c>
      <c r="E8" s="155">
        <f t="shared" si="1"/>
        <v>0</v>
      </c>
      <c r="F8" s="155">
        <f t="shared" si="1"/>
        <v>0</v>
      </c>
      <c r="G8" s="155">
        <f t="shared" si="1"/>
        <v>0</v>
      </c>
      <c r="H8" s="155">
        <f t="shared" si="1"/>
        <v>0</v>
      </c>
    </row>
    <row r="9" spans="1:10" s="7" customFormat="1" ht="24.95" customHeight="1">
      <c r="A9" s="33"/>
      <c r="B9" s="29"/>
      <c r="C9" s="29"/>
      <c r="D9" s="29"/>
      <c r="E9" s="29"/>
      <c r="F9" s="29"/>
      <c r="G9" s="63" t="s">
        <v>37</v>
      </c>
      <c r="H9" s="64">
        <f>SUM(B8:H8)</f>
        <v>0</v>
      </c>
    </row>
    <row r="10" spans="1:10" s="7" customFormat="1">
      <c r="A10" s="182" t="s">
        <v>38</v>
      </c>
      <c r="B10" s="183"/>
      <c r="C10" s="183"/>
      <c r="D10" s="183"/>
      <c r="E10" s="183"/>
      <c r="F10" s="183"/>
      <c r="G10" s="65" t="s">
        <v>39</v>
      </c>
      <c r="H10" s="66">
        <v>-0.08</v>
      </c>
      <c r="I10" s="5"/>
      <c r="J10" s="26"/>
    </row>
    <row r="11" spans="1:10" s="7" customFormat="1" ht="30" customHeight="1">
      <c r="A11" s="39" t="s">
        <v>8</v>
      </c>
      <c r="B11" s="9"/>
      <c r="C11" s="9"/>
      <c r="D11" s="67"/>
      <c r="E11" s="153"/>
      <c r="F11" s="153"/>
      <c r="G11" s="153"/>
      <c r="H11" s="153"/>
    </row>
    <row r="12" spans="1:10" s="7" customFormat="1" ht="30" customHeight="1">
      <c r="A12" s="70" t="s">
        <v>23</v>
      </c>
      <c r="B12" s="59"/>
      <c r="C12" s="58"/>
      <c r="D12" s="58"/>
      <c r="E12" s="154"/>
      <c r="F12" s="154"/>
      <c r="G12" s="154"/>
      <c r="H12" s="154"/>
    </row>
    <row r="13" spans="1:10" s="7" customFormat="1" ht="30" customHeight="1">
      <c r="A13" s="3" t="s">
        <v>35</v>
      </c>
      <c r="B13" s="8"/>
      <c r="C13" s="8"/>
      <c r="D13" s="8"/>
      <c r="E13" s="153"/>
      <c r="F13" s="153"/>
      <c r="G13" s="153"/>
      <c r="H13" s="153"/>
    </row>
    <row r="14" spans="1:10" s="7" customFormat="1" ht="27" customHeight="1">
      <c r="A14" s="85" t="s">
        <v>36</v>
      </c>
      <c r="B14" s="87">
        <f t="shared" ref="B14:H14" si="2">SUM(B11:B13)</f>
        <v>0</v>
      </c>
      <c r="C14" s="87">
        <f t="shared" si="2"/>
        <v>0</v>
      </c>
      <c r="D14" s="87">
        <f t="shared" si="2"/>
        <v>0</v>
      </c>
      <c r="E14" s="87">
        <f t="shared" si="2"/>
        <v>0</v>
      </c>
      <c r="F14" s="87">
        <f t="shared" si="2"/>
        <v>0</v>
      </c>
      <c r="G14" s="87">
        <f t="shared" si="2"/>
        <v>0</v>
      </c>
      <c r="H14" s="87">
        <f t="shared" si="2"/>
        <v>0</v>
      </c>
    </row>
    <row r="15" spans="1:10" s="7" customFormat="1" ht="24.95" customHeight="1">
      <c r="A15" s="86" t="s">
        <v>40</v>
      </c>
      <c r="B15" s="92" t="e">
        <f t="shared" ref="B15:H15" si="3">(B14-B8)/B8</f>
        <v>#DIV/0!</v>
      </c>
      <c r="C15" s="93" t="e">
        <f t="shared" si="3"/>
        <v>#DIV/0!</v>
      </c>
      <c r="D15" s="93" t="e">
        <f t="shared" si="3"/>
        <v>#DIV/0!</v>
      </c>
      <c r="E15" s="93" t="e">
        <f t="shared" si="3"/>
        <v>#DIV/0!</v>
      </c>
      <c r="F15" s="93" t="e">
        <f t="shared" si="3"/>
        <v>#DIV/0!</v>
      </c>
      <c r="G15" s="93" t="e">
        <f t="shared" si="3"/>
        <v>#DIV/0!</v>
      </c>
      <c r="H15" s="94" t="e">
        <f t="shared" si="3"/>
        <v>#DIV/0!</v>
      </c>
      <c r="I15" s="71"/>
    </row>
    <row r="16" spans="1:10" ht="24" customHeight="1">
      <c r="B16" s="88"/>
      <c r="C16" s="88"/>
      <c r="D16" s="88"/>
      <c r="E16" s="88"/>
      <c r="F16" s="89"/>
      <c r="G16" s="90" t="s">
        <v>37</v>
      </c>
      <c r="H16" s="91">
        <f>SUM(B14:H14)</f>
        <v>0</v>
      </c>
    </row>
    <row r="17" spans="1:8" s="7" customFormat="1">
      <c r="A17" s="184" t="s">
        <v>41</v>
      </c>
      <c r="B17" s="185"/>
      <c r="C17" s="185"/>
      <c r="D17" s="185"/>
      <c r="E17" s="185"/>
      <c r="F17" s="185"/>
      <c r="G17" s="72" t="s">
        <v>42</v>
      </c>
      <c r="H17" s="66" t="e">
        <f>(H16-H9)/H9</f>
        <v>#DIV/0!</v>
      </c>
    </row>
    <row r="18" spans="1:8" s="7" customFormat="1" ht="30" customHeight="1">
      <c r="A18" s="35" t="s">
        <v>43</v>
      </c>
      <c r="B18" s="12"/>
      <c r="C18" s="12"/>
      <c r="D18" s="73"/>
      <c r="E18" s="73"/>
      <c r="F18" s="12"/>
      <c r="G18" s="24"/>
      <c r="H18" s="74"/>
    </row>
    <row r="19" spans="1:8" s="7" customFormat="1" ht="30" customHeight="1">
      <c r="A19" s="35" t="str">
        <f>'OPENING WEEK 1'!A19</f>
        <v>Non Meal Plan Meals</v>
      </c>
      <c r="B19" s="12"/>
      <c r="C19" s="12"/>
      <c r="D19" s="73"/>
      <c r="E19" s="73"/>
      <c r="F19" s="12"/>
      <c r="G19" s="24"/>
      <c r="H19" s="74"/>
    </row>
    <row r="20" spans="1:8" s="7" customFormat="1" ht="30" customHeight="1">
      <c r="A20" s="35" t="s">
        <v>44</v>
      </c>
      <c r="B20" s="95"/>
      <c r="C20" s="95"/>
      <c r="D20" s="67"/>
      <c r="E20" s="67"/>
      <c r="F20" s="95"/>
      <c r="G20" s="95"/>
      <c r="H20" s="75"/>
    </row>
    <row r="21" spans="1:8" s="7" customFormat="1" ht="24.95" customHeight="1">
      <c r="A21" s="36" t="s">
        <v>45</v>
      </c>
      <c r="B21" s="77">
        <f t="shared" ref="B21:H21" si="4">SUM(B18:B20)</f>
        <v>0</v>
      </c>
      <c r="C21" s="77">
        <f t="shared" si="4"/>
        <v>0</v>
      </c>
      <c r="D21" s="133">
        <f t="shared" si="4"/>
        <v>0</v>
      </c>
      <c r="E21" s="133">
        <f t="shared" si="4"/>
        <v>0</v>
      </c>
      <c r="F21" s="77">
        <f t="shared" si="4"/>
        <v>0</v>
      </c>
      <c r="G21" s="77">
        <f t="shared" si="4"/>
        <v>0</v>
      </c>
      <c r="H21" s="77">
        <f t="shared" si="4"/>
        <v>0</v>
      </c>
    </row>
    <row r="22" spans="1:8" s="7" customFormat="1" ht="24.95" customHeight="1">
      <c r="A22" s="34" t="s">
        <v>40</v>
      </c>
      <c r="B22" s="92" t="e">
        <f>(B21-B5)/B5</f>
        <v>#DIV/0!</v>
      </c>
      <c r="C22" s="93" t="e">
        <f>(C21-C5)/C5</f>
        <v>#DIV/0!</v>
      </c>
      <c r="D22" s="99"/>
      <c r="E22" s="99"/>
      <c r="F22" s="93" t="e">
        <f>(F21-F5)/F5</f>
        <v>#DIV/0!</v>
      </c>
      <c r="G22" s="93" t="e">
        <f>(G21-G5)/G5</f>
        <v>#DIV/0!</v>
      </c>
      <c r="H22" s="94" t="e">
        <f>(H21-H5)/H5</f>
        <v>#DIV/0!</v>
      </c>
    </row>
    <row r="23" spans="1:8" s="7" customFormat="1">
      <c r="A23" s="186" t="s">
        <v>46</v>
      </c>
      <c r="B23" s="187"/>
      <c r="C23" s="187"/>
      <c r="D23" s="187"/>
      <c r="E23" s="187"/>
      <c r="F23" s="188" t="s">
        <v>47</v>
      </c>
      <c r="G23" s="97"/>
      <c r="H23" s="98"/>
    </row>
    <row r="24" spans="1:8" s="7" customFormat="1" ht="30" customHeight="1">
      <c r="A24" s="35" t="s">
        <v>43</v>
      </c>
      <c r="B24" s="11"/>
      <c r="C24" s="12"/>
      <c r="D24" s="12"/>
      <c r="E24" s="12"/>
      <c r="F24" s="12"/>
      <c r="G24" s="12"/>
      <c r="H24" s="11"/>
    </row>
    <row r="25" spans="1:8" s="7" customFormat="1" ht="30" customHeight="1">
      <c r="A25" s="35" t="s">
        <v>48</v>
      </c>
      <c r="B25" s="117"/>
      <c r="C25" s="117"/>
      <c r="D25" s="117"/>
      <c r="E25" s="117"/>
      <c r="F25" s="117"/>
      <c r="G25" s="117"/>
      <c r="H25" s="117"/>
    </row>
    <row r="26" spans="1:8" s="7" customFormat="1" ht="30" customHeight="1">
      <c r="A26" s="35" t="s">
        <v>49</v>
      </c>
      <c r="B26" s="11"/>
      <c r="C26" s="11"/>
      <c r="D26" s="11"/>
      <c r="E26" s="11"/>
      <c r="F26" s="11"/>
      <c r="G26" s="11"/>
      <c r="H26" s="11"/>
    </row>
    <row r="27" spans="1:8" s="7" customFormat="1" ht="27.95" customHeight="1">
      <c r="A27" s="36" t="s">
        <v>50</v>
      </c>
      <c r="B27" s="100">
        <f>SUM(B24:B26)</f>
        <v>0</v>
      </c>
      <c r="C27" s="100">
        <f t="shared" ref="C27:H27" si="5">C24+C25+C26</f>
        <v>0</v>
      </c>
      <c r="D27" s="100">
        <f t="shared" si="5"/>
        <v>0</v>
      </c>
      <c r="E27" s="100">
        <f t="shared" si="5"/>
        <v>0</v>
      </c>
      <c r="F27" s="100">
        <f t="shared" si="5"/>
        <v>0</v>
      </c>
      <c r="G27" s="100">
        <f t="shared" si="5"/>
        <v>0</v>
      </c>
      <c r="H27" s="100">
        <f t="shared" si="5"/>
        <v>0</v>
      </c>
    </row>
    <row r="28" spans="1:8" s="7" customFormat="1" ht="24.95" customHeight="1">
      <c r="A28" s="34" t="s">
        <v>40</v>
      </c>
      <c r="B28" s="92" t="e">
        <f t="shared" ref="B28:H28" si="6">(B27-B6)/B6</f>
        <v>#DIV/0!</v>
      </c>
      <c r="C28" s="93" t="e">
        <f t="shared" si="6"/>
        <v>#DIV/0!</v>
      </c>
      <c r="D28" s="93" t="e">
        <f t="shared" si="6"/>
        <v>#DIV/0!</v>
      </c>
      <c r="E28" s="93" t="e">
        <f t="shared" si="6"/>
        <v>#DIV/0!</v>
      </c>
      <c r="F28" s="93" t="e">
        <f t="shared" si="6"/>
        <v>#DIV/0!</v>
      </c>
      <c r="G28" s="93" t="e">
        <f t="shared" si="6"/>
        <v>#DIV/0!</v>
      </c>
      <c r="H28" s="94" t="e">
        <f t="shared" si="6"/>
        <v>#DIV/0!</v>
      </c>
    </row>
    <row r="29" spans="1:8" s="7" customFormat="1">
      <c r="A29" s="189" t="s">
        <v>51</v>
      </c>
      <c r="B29" s="190"/>
      <c r="C29" s="190"/>
      <c r="D29" s="190"/>
      <c r="E29" s="190"/>
      <c r="F29" s="191" t="s">
        <v>35</v>
      </c>
      <c r="G29" s="101"/>
      <c r="H29" s="102"/>
    </row>
    <row r="30" spans="1:8" s="7" customFormat="1" ht="30" customHeight="1">
      <c r="A30" s="35" t="s">
        <v>43</v>
      </c>
      <c r="B30" s="10"/>
      <c r="C30" s="9"/>
      <c r="D30" s="9"/>
      <c r="E30" s="9"/>
      <c r="F30" s="9"/>
      <c r="G30" s="9"/>
      <c r="H30" s="10"/>
    </row>
    <row r="31" spans="1:8" s="7" customFormat="1" ht="30" customHeight="1">
      <c r="A31" s="35" t="s">
        <v>52</v>
      </c>
      <c r="B31" s="60"/>
      <c r="C31" s="60"/>
      <c r="D31" s="60"/>
      <c r="E31" s="60"/>
      <c r="F31" s="60"/>
      <c r="G31" s="60"/>
      <c r="H31" s="60"/>
    </row>
    <row r="32" spans="1:8" s="7" customFormat="1" ht="30" customHeight="1">
      <c r="A32" s="35" t="s">
        <v>44</v>
      </c>
      <c r="B32" s="10"/>
      <c r="C32" s="10"/>
      <c r="D32" s="10"/>
      <c r="E32" s="10"/>
      <c r="F32" s="10"/>
      <c r="G32" s="10"/>
      <c r="H32" s="10"/>
    </row>
    <row r="33" spans="1:12" s="7" customFormat="1" ht="30.95" customHeight="1">
      <c r="A33" s="36" t="s">
        <v>53</v>
      </c>
      <c r="B33" s="103">
        <f t="shared" ref="B33:H33" si="7">SUM(B30:B32)</f>
        <v>0</v>
      </c>
      <c r="C33" s="103">
        <f t="shared" si="7"/>
        <v>0</v>
      </c>
      <c r="D33" s="103">
        <f t="shared" si="7"/>
        <v>0</v>
      </c>
      <c r="E33" s="103">
        <f t="shared" si="7"/>
        <v>0</v>
      </c>
      <c r="F33" s="103">
        <f t="shared" si="7"/>
        <v>0</v>
      </c>
      <c r="G33" s="103">
        <f t="shared" si="7"/>
        <v>0</v>
      </c>
      <c r="H33" s="103">
        <f t="shared" si="7"/>
        <v>0</v>
      </c>
    </row>
    <row r="34" spans="1:12" s="7" customFormat="1" ht="24.95" customHeight="1">
      <c r="A34" s="34" t="s">
        <v>40</v>
      </c>
      <c r="B34" s="92" t="e">
        <f t="shared" ref="B34:H34" si="8">(B33-B7)/B7</f>
        <v>#DIV/0!</v>
      </c>
      <c r="C34" s="93" t="e">
        <f t="shared" si="8"/>
        <v>#DIV/0!</v>
      </c>
      <c r="D34" s="93" t="e">
        <f t="shared" si="8"/>
        <v>#DIV/0!</v>
      </c>
      <c r="E34" s="93" t="e">
        <f t="shared" si="8"/>
        <v>#DIV/0!</v>
      </c>
      <c r="F34" s="93" t="e">
        <f t="shared" si="8"/>
        <v>#DIV/0!</v>
      </c>
      <c r="G34" s="93" t="e">
        <f t="shared" si="8"/>
        <v>#DIV/0!</v>
      </c>
      <c r="H34" s="94" t="e">
        <f t="shared" si="8"/>
        <v>#DIV/0!</v>
      </c>
    </row>
    <row r="35" spans="1:12" s="7" customFormat="1">
      <c r="A35" s="192" t="s">
        <v>54</v>
      </c>
      <c r="B35" s="193"/>
      <c r="C35" s="193"/>
      <c r="D35" s="193"/>
      <c r="E35" s="193"/>
      <c r="F35" s="194" t="s">
        <v>35</v>
      </c>
      <c r="G35" s="104"/>
      <c r="H35" s="105"/>
    </row>
    <row r="36" spans="1:12" s="7" customFormat="1" ht="30.95" customHeight="1">
      <c r="A36" s="78" t="s">
        <v>55</v>
      </c>
      <c r="B36" s="77">
        <f t="shared" ref="B36:H36" si="9">B33+B27+B21</f>
        <v>0</v>
      </c>
      <c r="C36" s="77">
        <f t="shared" si="9"/>
        <v>0</v>
      </c>
      <c r="D36" s="77">
        <f t="shared" si="9"/>
        <v>0</v>
      </c>
      <c r="E36" s="77">
        <f t="shared" si="9"/>
        <v>0</v>
      </c>
      <c r="F36" s="77">
        <f t="shared" si="9"/>
        <v>0</v>
      </c>
      <c r="G36" s="77">
        <f t="shared" si="9"/>
        <v>0</v>
      </c>
      <c r="H36" s="77">
        <f t="shared" si="9"/>
        <v>0</v>
      </c>
    </row>
    <row r="37" spans="1:12" s="7" customFormat="1" ht="24.95" customHeight="1">
      <c r="A37" s="34" t="s">
        <v>40</v>
      </c>
      <c r="B37" s="92" t="e">
        <f t="shared" ref="B37:H37" si="10">(B36-B8)/B8</f>
        <v>#DIV/0!</v>
      </c>
      <c r="C37" s="93" t="e">
        <f t="shared" si="10"/>
        <v>#DIV/0!</v>
      </c>
      <c r="D37" s="93" t="e">
        <f t="shared" si="10"/>
        <v>#DIV/0!</v>
      </c>
      <c r="E37" s="93" t="e">
        <f t="shared" si="10"/>
        <v>#DIV/0!</v>
      </c>
      <c r="F37" s="93" t="e">
        <f t="shared" si="10"/>
        <v>#DIV/0!</v>
      </c>
      <c r="G37" s="93" t="e">
        <f t="shared" si="10"/>
        <v>#DIV/0!</v>
      </c>
      <c r="H37" s="94" t="e">
        <f t="shared" si="10"/>
        <v>#DIV/0!</v>
      </c>
    </row>
    <row r="38" spans="1:12" ht="24" customHeight="1">
      <c r="A38" s="195"/>
      <c r="B38" s="196"/>
      <c r="C38" s="196"/>
      <c r="D38" s="196"/>
      <c r="E38" s="196"/>
      <c r="F38" s="196"/>
      <c r="G38" s="106" t="s">
        <v>37</v>
      </c>
      <c r="H38" s="107">
        <f>SUM(B36:H36)</f>
        <v>0</v>
      </c>
    </row>
    <row r="39" spans="1:12" s="7" customFormat="1" ht="24.95" customHeight="1">
      <c r="A39" s="37"/>
      <c r="B39" s="25"/>
      <c r="C39" s="25"/>
      <c r="D39" s="25"/>
      <c r="E39" s="25"/>
      <c r="F39" s="25"/>
      <c r="G39" s="79" t="s">
        <v>40</v>
      </c>
      <c r="H39" s="80" t="e">
        <f>(H38-H9)/H9</f>
        <v>#DIV/0!</v>
      </c>
    </row>
    <row r="40" spans="1:12" s="7" customFormat="1" ht="24.95" customHeight="1">
      <c r="A40" s="37"/>
      <c r="B40" s="25"/>
      <c r="C40" s="25"/>
      <c r="D40" s="25"/>
      <c r="E40" s="25"/>
      <c r="F40" s="25"/>
      <c r="G40" s="81" t="s">
        <v>56</v>
      </c>
      <c r="H40" s="82" t="e">
        <f>(H38-H16)/H16</f>
        <v>#DIV/0!</v>
      </c>
    </row>
    <row r="41" spans="1:12" s="46" customFormat="1" ht="23.1" customHeight="1">
      <c r="A41" s="40"/>
      <c r="B41" s="47" t="s">
        <v>57</v>
      </c>
      <c r="C41" s="197" t="s">
        <v>58</v>
      </c>
      <c r="D41" s="197"/>
      <c r="E41" s="197"/>
      <c r="F41" s="197"/>
      <c r="G41" s="198">
        <v>2020</v>
      </c>
      <c r="H41" s="199"/>
      <c r="L41" s="56" t="s">
        <v>59</v>
      </c>
    </row>
    <row r="42" spans="1:12" ht="40.5" customHeight="1">
      <c r="A42" s="1" t="s">
        <v>60</v>
      </c>
      <c r="B42" s="57" t="s">
        <v>59</v>
      </c>
      <c r="C42" s="180"/>
      <c r="D42" s="180"/>
      <c r="E42" s="180"/>
      <c r="F42" s="180"/>
      <c r="G42" s="178"/>
      <c r="H42" s="179"/>
      <c r="L42" s="7" t="s">
        <v>61</v>
      </c>
    </row>
    <row r="43" spans="1:12" ht="33" customHeight="1">
      <c r="A43" s="1" t="s">
        <v>1</v>
      </c>
      <c r="B43" s="57" t="s">
        <v>59</v>
      </c>
      <c r="C43" s="180"/>
      <c r="D43" s="180"/>
      <c r="E43" s="180"/>
      <c r="F43" s="180"/>
      <c r="G43" s="178"/>
      <c r="H43" s="179"/>
      <c r="L43" s="5" t="s">
        <v>62</v>
      </c>
    </row>
    <row r="44" spans="1:12" ht="30" customHeight="1">
      <c r="A44" s="1" t="s">
        <v>2</v>
      </c>
      <c r="B44" s="57" t="s">
        <v>59</v>
      </c>
      <c r="C44" s="175"/>
      <c r="D44" s="175"/>
      <c r="E44" s="175"/>
      <c r="F44" s="175"/>
      <c r="G44" s="178"/>
      <c r="H44" s="179"/>
      <c r="L44" s="5" t="s">
        <v>63</v>
      </c>
    </row>
    <row r="45" spans="1:12" ht="23.25" customHeight="1">
      <c r="A45" s="1" t="s">
        <v>3</v>
      </c>
      <c r="B45" s="57" t="s">
        <v>59</v>
      </c>
      <c r="C45" s="175"/>
      <c r="D45" s="175"/>
      <c r="E45" s="175"/>
      <c r="F45" s="175"/>
      <c r="G45" s="176"/>
      <c r="H45" s="177"/>
      <c r="L45" s="5" t="s">
        <v>64</v>
      </c>
    </row>
    <row r="46" spans="1:12" ht="24.75" customHeight="1">
      <c r="A46" s="1" t="s">
        <v>4</v>
      </c>
      <c r="B46" s="57" t="s">
        <v>59</v>
      </c>
      <c r="C46" s="175"/>
      <c r="D46" s="175"/>
      <c r="E46" s="175"/>
      <c r="F46" s="175"/>
      <c r="G46" s="178"/>
      <c r="H46" s="179"/>
    </row>
    <row r="47" spans="1:12" ht="30" customHeight="1">
      <c r="A47" s="1" t="s">
        <v>5</v>
      </c>
      <c r="B47" s="57" t="s">
        <v>59</v>
      </c>
      <c r="C47" s="175"/>
      <c r="D47" s="175"/>
      <c r="E47" s="175"/>
      <c r="F47" s="175"/>
      <c r="G47" s="176"/>
      <c r="H47" s="177"/>
    </row>
    <row r="48" spans="1:12" ht="36.75" customHeight="1">
      <c r="A48" s="1" t="s">
        <v>6</v>
      </c>
      <c r="B48" s="57" t="s">
        <v>59</v>
      </c>
      <c r="C48" s="175"/>
      <c r="D48" s="175"/>
      <c r="E48" s="175"/>
      <c r="F48" s="175"/>
      <c r="G48" s="176"/>
      <c r="H48" s="177"/>
    </row>
    <row r="49" spans="1:8" ht="20.25" customHeight="1">
      <c r="A49" s="1"/>
      <c r="B49" s="14"/>
      <c r="C49" s="175"/>
      <c r="D49" s="175"/>
      <c r="E49" s="175"/>
      <c r="F49" s="175"/>
      <c r="G49" s="176"/>
      <c r="H49" s="177"/>
    </row>
    <row r="50" spans="1:8" ht="19.5" customHeight="1">
      <c r="A50" s="2"/>
      <c r="B50" s="14"/>
      <c r="C50" s="175"/>
      <c r="D50" s="175"/>
      <c r="E50" s="175"/>
      <c r="F50" s="175"/>
      <c r="G50" s="176"/>
      <c r="H50" s="177"/>
    </row>
    <row r="51" spans="1:8">
      <c r="A51" s="30"/>
      <c r="B51" s="18" t="s">
        <v>27</v>
      </c>
      <c r="C51" s="18" t="s">
        <v>28</v>
      </c>
      <c r="D51" s="18" t="s">
        <v>65</v>
      </c>
      <c r="E51" s="18" t="s">
        <v>30</v>
      </c>
      <c r="F51" s="18" t="s">
        <v>66</v>
      </c>
      <c r="G51" s="18" t="s">
        <v>32</v>
      </c>
      <c r="H51" s="18" t="s">
        <v>33</v>
      </c>
    </row>
    <row r="52" spans="1:8">
      <c r="A52" s="38" t="s">
        <v>67</v>
      </c>
      <c r="B52" s="108"/>
      <c r="C52" s="109"/>
      <c r="D52" s="20"/>
      <c r="E52" s="20"/>
      <c r="F52" s="20"/>
      <c r="G52" s="20"/>
      <c r="H52" s="15"/>
    </row>
    <row r="53" spans="1:8" customFormat="1" ht="15.75">
      <c r="A53" s="48" t="s">
        <v>68</v>
      </c>
      <c r="B53" s="22"/>
      <c r="C53" s="21"/>
      <c r="D53" s="21"/>
      <c r="E53" s="21"/>
      <c r="F53" s="21"/>
      <c r="G53" s="23" t="s">
        <v>37</v>
      </c>
      <c r="H53" s="23">
        <f>SUM(B52:H52)</f>
        <v>0</v>
      </c>
    </row>
    <row r="54" spans="1:8">
      <c r="A54" s="30"/>
      <c r="B54" s="18" t="s">
        <v>27</v>
      </c>
      <c r="C54" s="18" t="s">
        <v>28</v>
      </c>
      <c r="D54" s="18" t="s">
        <v>65</v>
      </c>
      <c r="E54" s="18" t="s">
        <v>30</v>
      </c>
      <c r="F54" s="18" t="s">
        <v>66</v>
      </c>
      <c r="G54" s="18" t="s">
        <v>32</v>
      </c>
      <c r="H54" s="18" t="s">
        <v>33</v>
      </c>
    </row>
    <row r="55" spans="1:8">
      <c r="A55" s="38" t="s">
        <v>69</v>
      </c>
      <c r="B55" s="51"/>
      <c r="C55" s="52"/>
      <c r="D55" s="52"/>
      <c r="E55" s="52"/>
      <c r="F55" s="52"/>
      <c r="G55" s="20"/>
      <c r="H55" s="15"/>
    </row>
    <row r="56" spans="1:8" customFormat="1" ht="15.75">
      <c r="A56" s="49" t="s">
        <v>70</v>
      </c>
      <c r="B56" s="53"/>
      <c r="C56" s="53" t="s">
        <v>71</v>
      </c>
      <c r="D56" s="54"/>
      <c r="E56" s="54"/>
      <c r="F56" s="55"/>
      <c r="G56" s="50" t="s">
        <v>37</v>
      </c>
      <c r="H56" s="23"/>
    </row>
    <row r="57" spans="1:8">
      <c r="H57" s="16"/>
    </row>
    <row r="58" spans="1:8">
      <c r="H58" s="16"/>
    </row>
    <row r="59" spans="1:8">
      <c r="H59" s="16"/>
    </row>
    <row r="60" spans="1:8">
      <c r="H60" s="16"/>
    </row>
    <row r="61" spans="1:8">
      <c r="H61" s="16"/>
    </row>
    <row r="62" spans="1:8">
      <c r="H62" s="16"/>
    </row>
    <row r="63" spans="1:8">
      <c r="H63" s="16"/>
    </row>
    <row r="64" spans="1:8">
      <c r="B64" s="5"/>
      <c r="H64" s="16"/>
    </row>
    <row r="65" spans="2:8">
      <c r="B65" s="5"/>
      <c r="H65" s="16"/>
    </row>
    <row r="66" spans="2:8">
      <c r="B66" s="5"/>
      <c r="H66" s="16"/>
    </row>
    <row r="67" spans="2:8">
      <c r="B67" s="5"/>
      <c r="H67" s="16"/>
    </row>
    <row r="68" spans="2:8">
      <c r="B68" s="5"/>
      <c r="H68" s="16"/>
    </row>
    <row r="69" spans="2:8">
      <c r="B69" s="5"/>
      <c r="H69" s="16"/>
    </row>
    <row r="70" spans="2:8">
      <c r="B70" s="5"/>
      <c r="H70" s="16"/>
    </row>
    <row r="71" spans="2:8">
      <c r="B71" s="5"/>
      <c r="H71" s="16"/>
    </row>
    <row r="72" spans="2:8">
      <c r="B72" s="5"/>
      <c r="H72" s="16"/>
    </row>
    <row r="73" spans="2:8">
      <c r="B73" s="5"/>
      <c r="H73" s="16"/>
    </row>
    <row r="74" spans="2:8">
      <c r="B74" s="5"/>
      <c r="H74" s="16"/>
    </row>
    <row r="75" spans="2:8">
      <c r="B75" s="5"/>
      <c r="H75" s="16"/>
    </row>
    <row r="76" spans="2:8">
      <c r="B76" s="5"/>
      <c r="H76" s="16"/>
    </row>
    <row r="77" spans="2:8">
      <c r="B77" s="5"/>
      <c r="H77" s="16"/>
    </row>
    <row r="78" spans="2:8">
      <c r="B78" s="5"/>
      <c r="H78" s="16"/>
    </row>
    <row r="79" spans="2:8">
      <c r="B79" s="5"/>
      <c r="H79" s="16"/>
    </row>
    <row r="80" spans="2:8">
      <c r="B80" s="5"/>
      <c r="H80" s="16"/>
    </row>
    <row r="81" spans="2:8">
      <c r="B81" s="5"/>
      <c r="H81" s="16"/>
    </row>
    <row r="82" spans="2:8">
      <c r="B82" s="5"/>
      <c r="H82" s="16"/>
    </row>
    <row r="83" spans="2:8">
      <c r="B83" s="5"/>
      <c r="H83" s="16"/>
    </row>
    <row r="84" spans="2:8">
      <c r="B84" s="5"/>
      <c r="H84" s="16"/>
    </row>
    <row r="85" spans="2:8">
      <c r="B85" s="5"/>
      <c r="H85" s="16"/>
    </row>
    <row r="86" spans="2:8">
      <c r="B86" s="5"/>
      <c r="H86" s="16"/>
    </row>
    <row r="87" spans="2:8">
      <c r="B87" s="5"/>
      <c r="H87" s="16"/>
    </row>
    <row r="88" spans="2:8">
      <c r="B88" s="5"/>
      <c r="H88" s="16"/>
    </row>
    <row r="89" spans="2:8">
      <c r="B89" s="5"/>
      <c r="H89" s="16"/>
    </row>
    <row r="90" spans="2:8">
      <c r="B90" s="5"/>
      <c r="H90" s="16"/>
    </row>
    <row r="91" spans="2:8">
      <c r="B91" s="5"/>
      <c r="H91" s="16"/>
    </row>
    <row r="92" spans="2:8">
      <c r="B92" s="5"/>
      <c r="H92" s="16"/>
    </row>
    <row r="93" spans="2:8">
      <c r="B93" s="5"/>
      <c r="H93" s="16"/>
    </row>
    <row r="94" spans="2:8">
      <c r="B94" s="5"/>
      <c r="H94" s="16"/>
    </row>
    <row r="95" spans="2:8">
      <c r="B95" s="5"/>
      <c r="H95" s="16"/>
    </row>
    <row r="96" spans="2:8">
      <c r="B96" s="5"/>
      <c r="H96" s="16"/>
    </row>
    <row r="97" spans="2:8">
      <c r="B97" s="5"/>
      <c r="H97" s="16"/>
    </row>
    <row r="98" spans="2:8">
      <c r="B98" s="5"/>
      <c r="H98" s="16"/>
    </row>
    <row r="99" spans="2:8">
      <c r="B99" s="5"/>
      <c r="H99" s="16"/>
    </row>
    <row r="100" spans="2:8">
      <c r="B100" s="5"/>
      <c r="H100" s="16"/>
    </row>
    <row r="101" spans="2:8">
      <c r="B101" s="5"/>
      <c r="H101" s="16"/>
    </row>
    <row r="102" spans="2:8">
      <c r="B102" s="5"/>
      <c r="H102" s="16"/>
    </row>
    <row r="103" spans="2:8">
      <c r="B103" s="5"/>
      <c r="H103" s="16"/>
    </row>
    <row r="104" spans="2:8">
      <c r="B104" s="5"/>
      <c r="H104" s="16"/>
    </row>
    <row r="105" spans="2:8">
      <c r="B105" s="5"/>
      <c r="H105" s="16"/>
    </row>
    <row r="106" spans="2:8">
      <c r="B106" s="5"/>
      <c r="H106" s="16"/>
    </row>
    <row r="107" spans="2:8">
      <c r="B107" s="5"/>
      <c r="H107" s="16"/>
    </row>
    <row r="108" spans="2:8">
      <c r="B108" s="5"/>
      <c r="H108" s="16"/>
    </row>
    <row r="109" spans="2:8">
      <c r="B109" s="5"/>
      <c r="H109" s="16"/>
    </row>
    <row r="110" spans="2:8">
      <c r="B110" s="5"/>
      <c r="H110" s="16"/>
    </row>
    <row r="111" spans="2:8">
      <c r="B111" s="5"/>
      <c r="H111" s="16"/>
    </row>
    <row r="112" spans="2:8">
      <c r="B112" s="5"/>
      <c r="H112" s="16"/>
    </row>
    <row r="113" spans="2:8">
      <c r="B113" s="5"/>
      <c r="H113" s="16"/>
    </row>
    <row r="114" spans="2:8">
      <c r="B114" s="5"/>
      <c r="H114" s="16"/>
    </row>
    <row r="115" spans="2:8">
      <c r="B115" s="5"/>
      <c r="H115" s="16"/>
    </row>
    <row r="116" spans="2:8">
      <c r="B116" s="5"/>
      <c r="H116" s="16"/>
    </row>
    <row r="117" spans="2:8">
      <c r="B117" s="5"/>
      <c r="H117" s="16"/>
    </row>
    <row r="118" spans="2:8">
      <c r="B118" s="5"/>
      <c r="H118" s="16"/>
    </row>
    <row r="119" spans="2:8">
      <c r="B119" s="5"/>
      <c r="H119" s="16"/>
    </row>
    <row r="120" spans="2:8">
      <c r="B120" s="5"/>
      <c r="H120" s="16"/>
    </row>
    <row r="121" spans="2:8">
      <c r="B121" s="5"/>
      <c r="H121" s="16"/>
    </row>
    <row r="122" spans="2:8">
      <c r="B122" s="5"/>
      <c r="H122" s="16"/>
    </row>
    <row r="123" spans="2:8">
      <c r="B123" s="5"/>
      <c r="H123" s="16"/>
    </row>
    <row r="124" spans="2:8">
      <c r="B124" s="5"/>
      <c r="H124" s="16"/>
    </row>
    <row r="125" spans="2:8">
      <c r="B125" s="5"/>
      <c r="H125" s="16"/>
    </row>
    <row r="126" spans="2:8">
      <c r="B126" s="5"/>
      <c r="H126" s="16"/>
    </row>
    <row r="127" spans="2:8">
      <c r="B127" s="5"/>
      <c r="H127" s="16"/>
    </row>
    <row r="128" spans="2:8">
      <c r="B128" s="5"/>
      <c r="H128" s="16"/>
    </row>
    <row r="129" spans="2:8">
      <c r="B129" s="5"/>
      <c r="H129" s="16"/>
    </row>
    <row r="130" spans="2:8">
      <c r="B130" s="5"/>
      <c r="H130" s="16"/>
    </row>
    <row r="131" spans="2:8">
      <c r="B131" s="5"/>
      <c r="H131" s="16"/>
    </row>
    <row r="132" spans="2:8">
      <c r="B132" s="5"/>
      <c r="H132" s="16"/>
    </row>
    <row r="133" spans="2:8">
      <c r="B133" s="5"/>
      <c r="H133" s="16"/>
    </row>
    <row r="134" spans="2:8">
      <c r="B134" s="5"/>
      <c r="H134" s="16"/>
    </row>
    <row r="135" spans="2:8">
      <c r="B135" s="5"/>
      <c r="H135" s="16"/>
    </row>
    <row r="136" spans="2:8">
      <c r="B136" s="5"/>
      <c r="H136" s="16"/>
    </row>
    <row r="137" spans="2:8">
      <c r="B137" s="5"/>
      <c r="H137" s="16"/>
    </row>
    <row r="138" spans="2:8">
      <c r="B138" s="5"/>
      <c r="H138" s="16"/>
    </row>
    <row r="139" spans="2:8">
      <c r="B139" s="5"/>
      <c r="H139" s="16"/>
    </row>
    <row r="140" spans="2:8">
      <c r="B140" s="5"/>
      <c r="H140" s="16"/>
    </row>
    <row r="141" spans="2:8">
      <c r="B141" s="5"/>
      <c r="H141" s="16"/>
    </row>
    <row r="142" spans="2:8">
      <c r="B142" s="5"/>
      <c r="H142" s="16"/>
    </row>
    <row r="143" spans="2:8">
      <c r="B143" s="5"/>
      <c r="H143" s="16"/>
    </row>
    <row r="144" spans="2:8">
      <c r="B144" s="5"/>
      <c r="H144" s="16"/>
    </row>
    <row r="145" spans="2:8">
      <c r="B145" s="5"/>
      <c r="H145" s="16"/>
    </row>
    <row r="146" spans="2:8">
      <c r="B146" s="5"/>
      <c r="H146" s="16"/>
    </row>
    <row r="147" spans="2:8">
      <c r="B147" s="5"/>
      <c r="H147" s="16"/>
    </row>
    <row r="148" spans="2:8">
      <c r="B148" s="5"/>
      <c r="H148" s="16"/>
    </row>
    <row r="149" spans="2:8">
      <c r="B149" s="5"/>
      <c r="H149" s="16"/>
    </row>
    <row r="150" spans="2:8">
      <c r="B150" s="5"/>
      <c r="H150" s="16"/>
    </row>
    <row r="151" spans="2:8">
      <c r="B151" s="5"/>
      <c r="H151" s="16"/>
    </row>
    <row r="152" spans="2:8">
      <c r="B152" s="5"/>
      <c r="H152" s="16"/>
    </row>
    <row r="153" spans="2:8">
      <c r="B153" s="5"/>
      <c r="H153" s="16"/>
    </row>
    <row r="154" spans="2:8">
      <c r="B154" s="5"/>
      <c r="H154" s="16"/>
    </row>
    <row r="155" spans="2:8">
      <c r="B155" s="5"/>
      <c r="H155" s="16"/>
    </row>
    <row r="156" spans="2:8">
      <c r="B156" s="5"/>
      <c r="H156" s="16"/>
    </row>
    <row r="157" spans="2:8">
      <c r="B157" s="5"/>
      <c r="H157" s="16"/>
    </row>
    <row r="158" spans="2:8">
      <c r="B158" s="5"/>
      <c r="H158" s="16"/>
    </row>
    <row r="159" spans="2:8">
      <c r="B159" s="5"/>
      <c r="H159" s="16"/>
    </row>
    <row r="160" spans="2:8">
      <c r="B160" s="5"/>
      <c r="H160" s="16"/>
    </row>
    <row r="161" spans="2:8">
      <c r="B161" s="5"/>
      <c r="H161" s="16"/>
    </row>
    <row r="162" spans="2:8">
      <c r="B162" s="5"/>
      <c r="H162" s="16"/>
    </row>
    <row r="163" spans="2:8">
      <c r="B163" s="5"/>
      <c r="H163" s="16"/>
    </row>
    <row r="164" spans="2:8">
      <c r="B164" s="5"/>
      <c r="H164" s="16"/>
    </row>
    <row r="165" spans="2:8">
      <c r="B165" s="5"/>
      <c r="H165" s="16"/>
    </row>
    <row r="166" spans="2:8">
      <c r="B166" s="5"/>
      <c r="H166" s="16"/>
    </row>
    <row r="167" spans="2:8">
      <c r="B167" s="5"/>
      <c r="H167" s="16"/>
    </row>
    <row r="168" spans="2:8">
      <c r="B168" s="5"/>
      <c r="H168" s="16"/>
    </row>
    <row r="169" spans="2:8">
      <c r="B169" s="5"/>
      <c r="H169" s="16"/>
    </row>
    <row r="170" spans="2:8">
      <c r="B170" s="5"/>
      <c r="H170" s="16"/>
    </row>
    <row r="171" spans="2:8">
      <c r="B171" s="5"/>
      <c r="H171" s="16"/>
    </row>
    <row r="172" spans="2:8">
      <c r="B172" s="5"/>
      <c r="H172" s="16"/>
    </row>
    <row r="173" spans="2:8">
      <c r="B173" s="5"/>
      <c r="H173" s="16"/>
    </row>
    <row r="174" spans="2:8">
      <c r="B174" s="5"/>
      <c r="H174" s="16"/>
    </row>
    <row r="175" spans="2:8">
      <c r="B175" s="5"/>
      <c r="H175" s="16"/>
    </row>
    <row r="176" spans="2:8">
      <c r="B176" s="5"/>
      <c r="H176" s="16"/>
    </row>
    <row r="177" spans="2:8">
      <c r="B177" s="5"/>
      <c r="H177" s="16"/>
    </row>
    <row r="178" spans="2:8">
      <c r="B178" s="5"/>
      <c r="H178" s="16"/>
    </row>
    <row r="179" spans="2:8">
      <c r="B179" s="5"/>
      <c r="H179" s="16"/>
    </row>
    <row r="180" spans="2:8">
      <c r="B180" s="5"/>
      <c r="H180" s="16"/>
    </row>
    <row r="181" spans="2:8">
      <c r="B181" s="5"/>
      <c r="H181" s="16"/>
    </row>
    <row r="182" spans="2:8">
      <c r="B182" s="5"/>
      <c r="H182" s="16"/>
    </row>
    <row r="183" spans="2:8">
      <c r="B183" s="5"/>
      <c r="H183" s="16"/>
    </row>
    <row r="184" spans="2:8">
      <c r="B184" s="5"/>
      <c r="H184" s="16"/>
    </row>
    <row r="185" spans="2:8">
      <c r="B185" s="5"/>
      <c r="H185" s="16"/>
    </row>
    <row r="186" spans="2:8">
      <c r="B186" s="5"/>
      <c r="H186" s="16"/>
    </row>
    <row r="187" spans="2:8">
      <c r="B187" s="5"/>
      <c r="H187" s="16"/>
    </row>
    <row r="188" spans="2:8">
      <c r="B188" s="5"/>
      <c r="H188" s="16"/>
    </row>
    <row r="189" spans="2:8">
      <c r="B189" s="5"/>
      <c r="H189" s="16"/>
    </row>
    <row r="190" spans="2:8">
      <c r="B190" s="5"/>
      <c r="H190" s="16"/>
    </row>
    <row r="191" spans="2:8">
      <c r="B191" s="5"/>
      <c r="H191" s="16"/>
    </row>
    <row r="192" spans="2:8">
      <c r="B192" s="5"/>
      <c r="H192" s="16"/>
    </row>
    <row r="193" spans="2:8">
      <c r="B193" s="5"/>
      <c r="H193" s="16"/>
    </row>
    <row r="194" spans="2:8">
      <c r="B194" s="5"/>
      <c r="H194" s="16"/>
    </row>
    <row r="195" spans="2:8">
      <c r="B195" s="5"/>
      <c r="H195" s="16"/>
    </row>
    <row r="196" spans="2:8">
      <c r="B196" s="5"/>
      <c r="H196" s="16"/>
    </row>
    <row r="197" spans="2:8">
      <c r="B197" s="5"/>
      <c r="H197" s="16"/>
    </row>
    <row r="198" spans="2:8">
      <c r="B198" s="5"/>
      <c r="H198" s="16"/>
    </row>
    <row r="199" spans="2:8">
      <c r="B199" s="5"/>
      <c r="H199" s="16"/>
    </row>
    <row r="200" spans="2:8">
      <c r="B200" s="5"/>
      <c r="H200" s="16"/>
    </row>
    <row r="201" spans="2:8">
      <c r="B201" s="5"/>
      <c r="H201" s="16"/>
    </row>
    <row r="202" spans="2:8">
      <c r="B202" s="5"/>
      <c r="H202" s="16"/>
    </row>
    <row r="203" spans="2:8">
      <c r="B203" s="5"/>
      <c r="H203" s="16"/>
    </row>
    <row r="204" spans="2:8">
      <c r="B204" s="5"/>
      <c r="H204" s="16"/>
    </row>
    <row r="205" spans="2:8">
      <c r="B205" s="5"/>
      <c r="H205" s="16"/>
    </row>
    <row r="206" spans="2:8">
      <c r="B206" s="5"/>
      <c r="H206" s="16"/>
    </row>
    <row r="207" spans="2:8">
      <c r="B207" s="5"/>
      <c r="H207" s="16"/>
    </row>
    <row r="208" spans="2:8">
      <c r="B208" s="5"/>
      <c r="H208" s="16"/>
    </row>
    <row r="209" spans="2:8">
      <c r="B209" s="5"/>
      <c r="H209" s="16"/>
    </row>
    <row r="210" spans="2:8">
      <c r="B210" s="5"/>
      <c r="H210" s="16"/>
    </row>
    <row r="211" spans="2:8">
      <c r="B211" s="5"/>
      <c r="H211" s="16"/>
    </row>
    <row r="212" spans="2:8">
      <c r="B212" s="5"/>
      <c r="H212" s="16"/>
    </row>
    <row r="213" spans="2:8">
      <c r="B213" s="5"/>
      <c r="H213" s="16"/>
    </row>
    <row r="214" spans="2:8">
      <c r="B214" s="5"/>
      <c r="H214" s="16"/>
    </row>
    <row r="215" spans="2:8">
      <c r="B215" s="5"/>
      <c r="H215" s="16"/>
    </row>
    <row r="216" spans="2:8">
      <c r="B216" s="5"/>
      <c r="H216" s="16"/>
    </row>
    <row r="217" spans="2:8">
      <c r="B217" s="5"/>
      <c r="H217" s="16"/>
    </row>
    <row r="218" spans="2:8">
      <c r="B218" s="5"/>
      <c r="H218" s="16"/>
    </row>
    <row r="219" spans="2:8">
      <c r="B219" s="5"/>
      <c r="H219" s="16"/>
    </row>
    <row r="220" spans="2:8">
      <c r="B220" s="5"/>
      <c r="H220" s="16"/>
    </row>
    <row r="221" spans="2:8">
      <c r="B221" s="5"/>
      <c r="H221" s="16"/>
    </row>
    <row r="222" spans="2:8">
      <c r="B222" s="5"/>
      <c r="H222" s="16"/>
    </row>
    <row r="223" spans="2:8">
      <c r="B223" s="5"/>
      <c r="H223" s="16"/>
    </row>
    <row r="224" spans="2:8">
      <c r="B224" s="5"/>
      <c r="H224" s="16"/>
    </row>
    <row r="225" spans="2:8">
      <c r="B225" s="5"/>
      <c r="H225" s="16"/>
    </row>
    <row r="226" spans="2:8">
      <c r="B226" s="5"/>
      <c r="H226" s="16"/>
    </row>
    <row r="227" spans="2:8">
      <c r="B227" s="5"/>
      <c r="H227" s="16"/>
    </row>
    <row r="228" spans="2:8">
      <c r="B228" s="5"/>
      <c r="H228" s="16"/>
    </row>
    <row r="229" spans="2:8">
      <c r="B229" s="5"/>
      <c r="H229" s="16"/>
    </row>
    <row r="230" spans="2:8">
      <c r="B230" s="5"/>
      <c r="H230" s="16"/>
    </row>
    <row r="231" spans="2:8">
      <c r="B231" s="5"/>
      <c r="H231" s="16"/>
    </row>
    <row r="232" spans="2:8">
      <c r="B232" s="5"/>
      <c r="H232" s="16"/>
    </row>
    <row r="233" spans="2:8">
      <c r="B233" s="5"/>
      <c r="H233" s="16"/>
    </row>
    <row r="234" spans="2:8">
      <c r="B234" s="5"/>
      <c r="H234" s="16"/>
    </row>
    <row r="235" spans="2:8">
      <c r="B235" s="5"/>
      <c r="H235" s="16"/>
    </row>
    <row r="236" spans="2:8">
      <c r="B236" s="5"/>
      <c r="H236" s="16"/>
    </row>
    <row r="237" spans="2:8">
      <c r="B237" s="5"/>
      <c r="H237" s="16"/>
    </row>
    <row r="238" spans="2:8">
      <c r="B238" s="5"/>
      <c r="H238" s="16"/>
    </row>
    <row r="239" spans="2:8">
      <c r="B239" s="5"/>
      <c r="H239" s="16"/>
    </row>
    <row r="240" spans="2:8">
      <c r="B240" s="5"/>
      <c r="H240" s="16"/>
    </row>
    <row r="241" spans="2:8">
      <c r="B241" s="5"/>
      <c r="H241" s="16"/>
    </row>
    <row r="242" spans="2:8">
      <c r="B242" s="5"/>
      <c r="H242" s="16"/>
    </row>
    <row r="243" spans="2:8">
      <c r="B243" s="5"/>
      <c r="H243" s="16"/>
    </row>
    <row r="244" spans="2:8">
      <c r="B244" s="5"/>
      <c r="H244" s="16"/>
    </row>
    <row r="245" spans="2:8">
      <c r="B245" s="5"/>
      <c r="H245" s="16"/>
    </row>
    <row r="246" spans="2:8">
      <c r="B246" s="5"/>
      <c r="H246" s="16"/>
    </row>
    <row r="247" spans="2:8">
      <c r="B247" s="5"/>
      <c r="H247" s="16"/>
    </row>
    <row r="248" spans="2:8">
      <c r="B248" s="5"/>
      <c r="H248" s="16"/>
    </row>
    <row r="249" spans="2:8">
      <c r="B249" s="5"/>
      <c r="H249" s="16"/>
    </row>
    <row r="250" spans="2:8">
      <c r="B250" s="5"/>
      <c r="H250" s="16"/>
    </row>
    <row r="251" spans="2:8">
      <c r="B251" s="5"/>
      <c r="H251" s="16"/>
    </row>
    <row r="252" spans="2:8">
      <c r="B252" s="5"/>
      <c r="H252" s="16"/>
    </row>
    <row r="253" spans="2:8">
      <c r="B253" s="5"/>
      <c r="H253" s="16"/>
    </row>
    <row r="254" spans="2:8">
      <c r="B254" s="5"/>
      <c r="H254" s="16"/>
    </row>
    <row r="255" spans="2:8">
      <c r="B255" s="5"/>
      <c r="H255" s="16"/>
    </row>
    <row r="256" spans="2:8">
      <c r="B256" s="5"/>
      <c r="H256" s="16"/>
    </row>
    <row r="257" spans="2:8">
      <c r="B257" s="5"/>
      <c r="H257" s="16"/>
    </row>
    <row r="258" spans="2:8">
      <c r="B258" s="5"/>
      <c r="H258" s="16"/>
    </row>
    <row r="259" spans="2:8">
      <c r="B259" s="5"/>
      <c r="H259" s="16"/>
    </row>
    <row r="260" spans="2:8">
      <c r="B260" s="5"/>
      <c r="H260" s="16"/>
    </row>
    <row r="261" spans="2:8">
      <c r="B261" s="5"/>
      <c r="H261" s="16"/>
    </row>
    <row r="262" spans="2:8">
      <c r="B262" s="5"/>
      <c r="H262" s="16"/>
    </row>
    <row r="263" spans="2:8">
      <c r="B263" s="5"/>
      <c r="H263" s="16"/>
    </row>
    <row r="264" spans="2:8">
      <c r="B264" s="5"/>
      <c r="H264" s="16"/>
    </row>
    <row r="265" spans="2:8">
      <c r="B265" s="5"/>
      <c r="H265" s="16"/>
    </row>
    <row r="266" spans="2:8">
      <c r="B266" s="5"/>
      <c r="H266" s="16"/>
    </row>
    <row r="267" spans="2:8">
      <c r="B267" s="5"/>
      <c r="H267" s="16"/>
    </row>
    <row r="268" spans="2:8">
      <c r="B268" s="5"/>
      <c r="H268" s="16"/>
    </row>
    <row r="269" spans="2:8">
      <c r="B269" s="5"/>
      <c r="H269" s="16"/>
    </row>
    <row r="270" spans="2:8">
      <c r="B270" s="5"/>
      <c r="H270" s="16"/>
    </row>
    <row r="271" spans="2:8">
      <c r="B271" s="5"/>
      <c r="H271" s="16"/>
    </row>
    <row r="272" spans="2:8">
      <c r="B272" s="5"/>
      <c r="H272" s="16"/>
    </row>
    <row r="273" spans="2:8">
      <c r="B273" s="5"/>
      <c r="H273" s="16"/>
    </row>
    <row r="274" spans="2:8">
      <c r="B274" s="5"/>
      <c r="H274" s="16"/>
    </row>
    <row r="275" spans="2:8">
      <c r="B275" s="5"/>
      <c r="H275" s="16"/>
    </row>
    <row r="276" spans="2:8">
      <c r="B276" s="5"/>
      <c r="H276" s="16"/>
    </row>
    <row r="277" spans="2:8">
      <c r="B277" s="5"/>
      <c r="H277" s="16"/>
    </row>
    <row r="278" spans="2:8">
      <c r="B278" s="5"/>
      <c r="H278" s="16"/>
    </row>
    <row r="279" spans="2:8">
      <c r="B279" s="5"/>
      <c r="H279" s="16"/>
    </row>
    <row r="280" spans="2:8">
      <c r="B280" s="5"/>
      <c r="H280" s="16"/>
    </row>
    <row r="281" spans="2:8">
      <c r="B281" s="5"/>
      <c r="H281" s="16"/>
    </row>
    <row r="282" spans="2:8">
      <c r="B282" s="5"/>
      <c r="H282" s="16"/>
    </row>
    <row r="283" spans="2:8">
      <c r="B283" s="5"/>
      <c r="H283" s="16"/>
    </row>
    <row r="284" spans="2:8">
      <c r="B284" s="5"/>
      <c r="H284" s="16"/>
    </row>
    <row r="285" spans="2:8">
      <c r="B285" s="5"/>
      <c r="H285" s="16"/>
    </row>
    <row r="286" spans="2:8">
      <c r="B286" s="5"/>
      <c r="H286" s="16"/>
    </row>
    <row r="287" spans="2:8">
      <c r="B287" s="5"/>
      <c r="H287" s="16"/>
    </row>
    <row r="288" spans="2:8">
      <c r="B288" s="5"/>
      <c r="H288" s="16"/>
    </row>
    <row r="289" spans="2:8">
      <c r="B289" s="5"/>
      <c r="H289" s="16"/>
    </row>
    <row r="290" spans="2:8">
      <c r="B290" s="5"/>
      <c r="H290" s="16"/>
    </row>
    <row r="291" spans="2:8">
      <c r="B291" s="5"/>
      <c r="H291" s="16"/>
    </row>
    <row r="292" spans="2:8">
      <c r="B292" s="5"/>
      <c r="H292" s="16"/>
    </row>
    <row r="293" spans="2:8">
      <c r="B293" s="5"/>
      <c r="H293" s="16"/>
    </row>
    <row r="294" spans="2:8">
      <c r="B294" s="5"/>
      <c r="H294" s="16"/>
    </row>
    <row r="295" spans="2:8">
      <c r="B295" s="5"/>
      <c r="H295" s="16"/>
    </row>
    <row r="296" spans="2:8">
      <c r="B296" s="5"/>
      <c r="H296" s="16"/>
    </row>
    <row r="297" spans="2:8">
      <c r="B297" s="5"/>
      <c r="H297" s="16"/>
    </row>
    <row r="298" spans="2:8">
      <c r="B298" s="5"/>
      <c r="H298" s="16"/>
    </row>
    <row r="299" spans="2:8">
      <c r="B299" s="5"/>
      <c r="H299" s="16"/>
    </row>
    <row r="300" spans="2:8">
      <c r="B300" s="5"/>
      <c r="H300" s="16"/>
    </row>
    <row r="301" spans="2:8">
      <c r="B301" s="5"/>
      <c r="H301" s="16"/>
    </row>
    <row r="302" spans="2:8">
      <c r="B302" s="5"/>
      <c r="H302" s="16"/>
    </row>
    <row r="303" spans="2:8">
      <c r="B303" s="5"/>
      <c r="H303" s="16"/>
    </row>
    <row r="304" spans="2:8">
      <c r="B304" s="5"/>
      <c r="H304" s="16"/>
    </row>
    <row r="305" spans="2:8">
      <c r="B305" s="5"/>
      <c r="H305" s="16"/>
    </row>
    <row r="306" spans="2:8">
      <c r="B306" s="5"/>
      <c r="H306" s="16"/>
    </row>
    <row r="307" spans="2:8">
      <c r="B307" s="5"/>
      <c r="H307" s="16"/>
    </row>
    <row r="308" spans="2:8">
      <c r="B308" s="5"/>
      <c r="H308" s="16"/>
    </row>
    <row r="309" spans="2:8">
      <c r="B309" s="5"/>
      <c r="H309" s="16"/>
    </row>
    <row r="310" spans="2:8">
      <c r="B310" s="5"/>
      <c r="H310" s="16"/>
    </row>
    <row r="311" spans="2:8">
      <c r="B311" s="5"/>
      <c r="H311" s="16"/>
    </row>
    <row r="312" spans="2:8">
      <c r="B312" s="5"/>
      <c r="H312" s="16"/>
    </row>
    <row r="313" spans="2:8">
      <c r="B313" s="5"/>
      <c r="H313" s="16"/>
    </row>
    <row r="314" spans="2:8">
      <c r="B314" s="5"/>
      <c r="H314" s="16"/>
    </row>
    <row r="315" spans="2:8">
      <c r="B315" s="5"/>
      <c r="H315" s="16"/>
    </row>
    <row r="316" spans="2:8">
      <c r="B316" s="5"/>
      <c r="H316" s="16"/>
    </row>
    <row r="317" spans="2:8">
      <c r="B317" s="5"/>
      <c r="H317" s="16"/>
    </row>
    <row r="318" spans="2:8">
      <c r="B318" s="5"/>
      <c r="H318" s="16"/>
    </row>
    <row r="319" spans="2:8">
      <c r="B319" s="5"/>
      <c r="H319" s="16"/>
    </row>
    <row r="320" spans="2:8">
      <c r="B320" s="5"/>
      <c r="H320" s="16"/>
    </row>
    <row r="321" spans="2:8">
      <c r="B321" s="5"/>
      <c r="H321" s="16"/>
    </row>
    <row r="322" spans="2:8">
      <c r="B322" s="5"/>
      <c r="H322" s="16"/>
    </row>
    <row r="323" spans="2:8">
      <c r="B323" s="5"/>
      <c r="H323" s="16"/>
    </row>
    <row r="324" spans="2:8">
      <c r="B324" s="5"/>
      <c r="H324" s="16"/>
    </row>
    <row r="325" spans="2:8">
      <c r="B325" s="5"/>
      <c r="H325" s="16"/>
    </row>
    <row r="326" spans="2:8">
      <c r="B326" s="5"/>
      <c r="H326" s="16"/>
    </row>
    <row r="327" spans="2:8">
      <c r="B327" s="5"/>
      <c r="H327" s="16"/>
    </row>
    <row r="328" spans="2:8">
      <c r="B328" s="5"/>
      <c r="H328" s="16"/>
    </row>
    <row r="329" spans="2:8">
      <c r="B329" s="5"/>
      <c r="H329" s="16"/>
    </row>
    <row r="330" spans="2:8">
      <c r="B330" s="5"/>
      <c r="H330" s="16"/>
    </row>
    <row r="331" spans="2:8">
      <c r="B331" s="5"/>
      <c r="H331" s="16"/>
    </row>
    <row r="332" spans="2:8">
      <c r="B332" s="5"/>
      <c r="H332" s="16"/>
    </row>
    <row r="333" spans="2:8">
      <c r="B333" s="5"/>
      <c r="H333" s="16"/>
    </row>
    <row r="334" spans="2:8">
      <c r="B334" s="5"/>
      <c r="H334" s="16"/>
    </row>
    <row r="335" spans="2:8">
      <c r="B335" s="5"/>
      <c r="H335" s="16"/>
    </row>
    <row r="336" spans="2:8">
      <c r="B336" s="5"/>
      <c r="H336" s="16"/>
    </row>
    <row r="337" spans="2:8">
      <c r="B337" s="5"/>
      <c r="H337" s="16"/>
    </row>
    <row r="338" spans="2:8">
      <c r="B338" s="5"/>
      <c r="H338" s="16"/>
    </row>
    <row r="339" spans="2:8">
      <c r="B339" s="5"/>
      <c r="H339" s="16"/>
    </row>
    <row r="340" spans="2:8">
      <c r="B340" s="5"/>
      <c r="H340" s="16"/>
    </row>
    <row r="341" spans="2:8">
      <c r="B341" s="5"/>
      <c r="H341" s="16"/>
    </row>
    <row r="342" spans="2:8">
      <c r="B342" s="5"/>
      <c r="H342" s="16"/>
    </row>
    <row r="343" spans="2:8">
      <c r="B343" s="5"/>
      <c r="H343" s="16"/>
    </row>
    <row r="344" spans="2:8">
      <c r="B344" s="5"/>
      <c r="H344" s="16"/>
    </row>
    <row r="345" spans="2:8">
      <c r="B345" s="5"/>
      <c r="H345" s="16"/>
    </row>
    <row r="346" spans="2:8">
      <c r="B346" s="5"/>
      <c r="H346" s="16"/>
    </row>
    <row r="347" spans="2:8">
      <c r="B347" s="5"/>
      <c r="H347" s="16"/>
    </row>
    <row r="348" spans="2:8">
      <c r="B348" s="5"/>
      <c r="H348" s="16"/>
    </row>
    <row r="349" spans="2:8">
      <c r="B349" s="5"/>
      <c r="H349" s="16"/>
    </row>
    <row r="350" spans="2:8">
      <c r="B350" s="5"/>
      <c r="H350" s="16"/>
    </row>
    <row r="351" spans="2:8">
      <c r="B351" s="5"/>
      <c r="H351" s="16"/>
    </row>
    <row r="352" spans="2:8">
      <c r="B352" s="5"/>
      <c r="H352" s="16"/>
    </row>
    <row r="353" spans="2:8">
      <c r="B353" s="5"/>
      <c r="H353" s="16"/>
    </row>
    <row r="354" spans="2:8">
      <c r="B354" s="5"/>
      <c r="H354" s="16"/>
    </row>
    <row r="355" spans="2:8">
      <c r="B355" s="5"/>
      <c r="H355" s="16"/>
    </row>
    <row r="356" spans="2:8">
      <c r="B356" s="5"/>
      <c r="H356" s="16"/>
    </row>
    <row r="357" spans="2:8">
      <c r="B357" s="5"/>
      <c r="H357" s="16"/>
    </row>
    <row r="358" spans="2:8">
      <c r="B358" s="5"/>
      <c r="H358" s="16"/>
    </row>
    <row r="359" spans="2:8">
      <c r="B359" s="5"/>
      <c r="H359" s="16"/>
    </row>
    <row r="360" spans="2:8">
      <c r="B360" s="5"/>
      <c r="H360" s="16"/>
    </row>
    <row r="361" spans="2:8">
      <c r="B361" s="5"/>
      <c r="H361" s="16"/>
    </row>
    <row r="362" spans="2:8">
      <c r="B362" s="5"/>
      <c r="H362" s="16"/>
    </row>
    <row r="363" spans="2:8">
      <c r="B363" s="5"/>
      <c r="H363" s="16"/>
    </row>
    <row r="364" spans="2:8">
      <c r="B364" s="5"/>
      <c r="H364" s="16"/>
    </row>
    <row r="365" spans="2:8">
      <c r="B365" s="5"/>
      <c r="H365" s="16"/>
    </row>
    <row r="366" spans="2:8">
      <c r="B366" s="5"/>
      <c r="H366" s="16"/>
    </row>
    <row r="367" spans="2:8">
      <c r="B367" s="5"/>
      <c r="H367" s="16"/>
    </row>
    <row r="368" spans="2:8">
      <c r="B368" s="5"/>
      <c r="H368" s="16"/>
    </row>
    <row r="369" spans="2:8">
      <c r="B369" s="5"/>
      <c r="H369" s="16"/>
    </row>
    <row r="370" spans="2:8">
      <c r="B370" s="5"/>
      <c r="H370" s="16"/>
    </row>
    <row r="371" spans="2:8">
      <c r="B371" s="5"/>
      <c r="H371" s="16"/>
    </row>
    <row r="372" spans="2:8">
      <c r="B372" s="5"/>
      <c r="H372" s="16"/>
    </row>
    <row r="373" spans="2:8">
      <c r="B373" s="5"/>
      <c r="H373" s="16"/>
    </row>
    <row r="374" spans="2:8">
      <c r="B374" s="5"/>
      <c r="H374" s="16"/>
    </row>
    <row r="375" spans="2:8">
      <c r="B375" s="5"/>
      <c r="H375" s="16"/>
    </row>
    <row r="376" spans="2:8">
      <c r="B376" s="5"/>
      <c r="H376" s="16"/>
    </row>
    <row r="377" spans="2:8">
      <c r="B377" s="5"/>
      <c r="H377" s="16"/>
    </row>
    <row r="378" spans="2:8">
      <c r="B378" s="5"/>
      <c r="H378" s="16"/>
    </row>
    <row r="379" spans="2:8">
      <c r="B379" s="5"/>
      <c r="H379" s="16"/>
    </row>
    <row r="380" spans="2:8">
      <c r="B380" s="5"/>
      <c r="H380" s="16"/>
    </row>
    <row r="381" spans="2:8">
      <c r="B381" s="5"/>
      <c r="H381" s="16"/>
    </row>
    <row r="382" spans="2:8">
      <c r="B382" s="5"/>
      <c r="H382" s="16"/>
    </row>
    <row r="383" spans="2:8">
      <c r="B383" s="5"/>
      <c r="H383" s="16"/>
    </row>
    <row r="384" spans="2:8">
      <c r="B384" s="5"/>
      <c r="H384" s="16"/>
    </row>
    <row r="385" spans="2:8">
      <c r="B385" s="5"/>
      <c r="H385" s="16"/>
    </row>
    <row r="386" spans="2:8">
      <c r="B386" s="5"/>
      <c r="H386" s="16"/>
    </row>
    <row r="387" spans="2:8">
      <c r="B387" s="5"/>
      <c r="H387" s="16"/>
    </row>
    <row r="388" spans="2:8">
      <c r="B388" s="5"/>
      <c r="H388" s="16"/>
    </row>
    <row r="389" spans="2:8">
      <c r="B389" s="5"/>
      <c r="H389" s="16"/>
    </row>
    <row r="390" spans="2:8">
      <c r="B390" s="5"/>
      <c r="H390" s="16"/>
    </row>
    <row r="391" spans="2:8">
      <c r="B391" s="5"/>
      <c r="H391" s="16"/>
    </row>
    <row r="392" spans="2:8">
      <c r="B392" s="5"/>
      <c r="H392" s="16"/>
    </row>
    <row r="393" spans="2:8">
      <c r="B393" s="5"/>
      <c r="H393" s="16"/>
    </row>
    <row r="394" spans="2:8">
      <c r="B394" s="5"/>
      <c r="H394" s="16"/>
    </row>
    <row r="395" spans="2:8">
      <c r="B395" s="5"/>
      <c r="H395" s="16"/>
    </row>
    <row r="396" spans="2:8">
      <c r="B396" s="5"/>
      <c r="H396" s="16"/>
    </row>
    <row r="397" spans="2:8">
      <c r="B397" s="5"/>
      <c r="H397" s="16"/>
    </row>
    <row r="398" spans="2:8">
      <c r="B398" s="5"/>
      <c r="H398" s="16"/>
    </row>
    <row r="399" spans="2:8">
      <c r="B399" s="5"/>
      <c r="H399" s="16"/>
    </row>
    <row r="400" spans="2:8">
      <c r="B400" s="5"/>
      <c r="H400" s="16"/>
    </row>
    <row r="401" spans="2:8">
      <c r="B401" s="5"/>
      <c r="H401" s="16"/>
    </row>
    <row r="402" spans="2:8">
      <c r="B402" s="5"/>
      <c r="H402" s="16"/>
    </row>
    <row r="403" spans="2:8">
      <c r="B403" s="5"/>
      <c r="H403" s="16"/>
    </row>
    <row r="404" spans="2:8">
      <c r="B404" s="5"/>
      <c r="H404" s="16"/>
    </row>
    <row r="405" spans="2:8">
      <c r="B405" s="5"/>
      <c r="H405" s="16"/>
    </row>
    <row r="406" spans="2:8">
      <c r="B406" s="5"/>
      <c r="H406" s="16"/>
    </row>
    <row r="407" spans="2:8">
      <c r="B407" s="5"/>
      <c r="H407" s="16"/>
    </row>
    <row r="408" spans="2:8">
      <c r="B408" s="5"/>
      <c r="H408" s="16"/>
    </row>
    <row r="409" spans="2:8">
      <c r="B409" s="5"/>
      <c r="H409" s="16"/>
    </row>
    <row r="410" spans="2:8">
      <c r="B410" s="5"/>
      <c r="H410" s="16"/>
    </row>
    <row r="411" spans="2:8">
      <c r="B411" s="5"/>
      <c r="H411" s="16"/>
    </row>
    <row r="412" spans="2:8">
      <c r="B412" s="5"/>
      <c r="H412" s="16"/>
    </row>
    <row r="413" spans="2:8">
      <c r="B413" s="5"/>
      <c r="H413" s="16"/>
    </row>
    <row r="414" spans="2:8">
      <c r="B414" s="5"/>
      <c r="H414" s="16"/>
    </row>
    <row r="415" spans="2:8">
      <c r="B415" s="5"/>
      <c r="H415" s="16"/>
    </row>
    <row r="416" spans="2:8">
      <c r="B416" s="5"/>
      <c r="H416" s="16"/>
    </row>
    <row r="417" spans="2:8">
      <c r="B417" s="5"/>
      <c r="H417" s="16"/>
    </row>
    <row r="418" spans="2:8">
      <c r="B418" s="5"/>
      <c r="H418" s="16"/>
    </row>
    <row r="419" spans="2:8">
      <c r="B419" s="5"/>
      <c r="H419" s="16"/>
    </row>
    <row r="420" spans="2:8">
      <c r="B420" s="5"/>
      <c r="H420" s="16"/>
    </row>
    <row r="421" spans="2:8">
      <c r="B421" s="5"/>
      <c r="H421" s="16"/>
    </row>
    <row r="422" spans="2:8">
      <c r="B422" s="5"/>
      <c r="H422" s="16"/>
    </row>
    <row r="423" spans="2:8">
      <c r="B423" s="5"/>
      <c r="H423" s="16"/>
    </row>
    <row r="424" spans="2:8">
      <c r="B424" s="5"/>
      <c r="H424" s="16"/>
    </row>
    <row r="425" spans="2:8">
      <c r="B425" s="5"/>
      <c r="H425" s="16"/>
    </row>
    <row r="426" spans="2:8">
      <c r="B426" s="5"/>
      <c r="H426" s="16"/>
    </row>
    <row r="427" spans="2:8">
      <c r="B427" s="5"/>
      <c r="H427" s="16"/>
    </row>
    <row r="428" spans="2:8">
      <c r="B428" s="5"/>
      <c r="H428" s="16"/>
    </row>
    <row r="429" spans="2:8">
      <c r="B429" s="5"/>
      <c r="H429" s="16"/>
    </row>
    <row r="430" spans="2:8">
      <c r="B430" s="5"/>
      <c r="H430" s="16"/>
    </row>
    <row r="431" spans="2:8">
      <c r="B431" s="5"/>
      <c r="H431" s="16"/>
    </row>
    <row r="432" spans="2:8">
      <c r="B432" s="5"/>
      <c r="H432" s="16"/>
    </row>
    <row r="433" spans="2:8">
      <c r="B433" s="5"/>
      <c r="H433" s="16"/>
    </row>
    <row r="434" spans="2:8">
      <c r="B434" s="5"/>
      <c r="H434" s="16"/>
    </row>
    <row r="435" spans="2:8">
      <c r="B435" s="5"/>
      <c r="H435" s="16"/>
    </row>
    <row r="436" spans="2:8">
      <c r="B436" s="5"/>
      <c r="H436" s="16"/>
    </row>
    <row r="437" spans="2:8">
      <c r="B437" s="5"/>
      <c r="H437" s="16"/>
    </row>
    <row r="438" spans="2:8">
      <c r="B438" s="5"/>
      <c r="H438" s="16"/>
    </row>
    <row r="439" spans="2:8">
      <c r="B439" s="5"/>
      <c r="H439" s="16"/>
    </row>
    <row r="440" spans="2:8">
      <c r="B440" s="5"/>
      <c r="H440" s="16"/>
    </row>
    <row r="441" spans="2:8">
      <c r="B441" s="5"/>
      <c r="H441" s="16"/>
    </row>
    <row r="442" spans="2:8">
      <c r="B442" s="5"/>
      <c r="H442" s="16"/>
    </row>
    <row r="443" spans="2:8">
      <c r="B443" s="5"/>
      <c r="H443" s="16"/>
    </row>
    <row r="444" spans="2:8">
      <c r="B444" s="5"/>
      <c r="H444" s="16"/>
    </row>
    <row r="445" spans="2:8">
      <c r="B445" s="5"/>
      <c r="H445" s="16"/>
    </row>
    <row r="446" spans="2:8">
      <c r="B446" s="5"/>
      <c r="H446" s="16"/>
    </row>
    <row r="447" spans="2:8">
      <c r="B447" s="5"/>
      <c r="H447" s="16"/>
    </row>
    <row r="448" spans="2:8">
      <c r="B448" s="5"/>
      <c r="H448" s="16"/>
    </row>
    <row r="449" spans="2:8">
      <c r="B449" s="5"/>
      <c r="H449" s="16"/>
    </row>
    <row r="450" spans="2:8">
      <c r="B450" s="5"/>
      <c r="H450" s="16"/>
    </row>
    <row r="451" spans="2:8">
      <c r="B451" s="5"/>
      <c r="H451" s="16"/>
    </row>
    <row r="452" spans="2:8">
      <c r="B452" s="5"/>
      <c r="H452" s="16"/>
    </row>
    <row r="453" spans="2:8">
      <c r="B453" s="5"/>
      <c r="H453" s="16"/>
    </row>
    <row r="454" spans="2:8">
      <c r="B454" s="5"/>
      <c r="H454" s="16"/>
    </row>
    <row r="455" spans="2:8">
      <c r="B455" s="5"/>
      <c r="H455" s="16"/>
    </row>
    <row r="456" spans="2:8">
      <c r="B456" s="5"/>
      <c r="H456" s="16"/>
    </row>
    <row r="457" spans="2:8">
      <c r="B457" s="5"/>
      <c r="H457" s="16"/>
    </row>
    <row r="458" spans="2:8">
      <c r="B458" s="5"/>
      <c r="H458" s="16"/>
    </row>
    <row r="459" spans="2:8">
      <c r="B459" s="5"/>
      <c r="H459" s="16"/>
    </row>
    <row r="460" spans="2:8">
      <c r="B460" s="5"/>
      <c r="H460" s="16"/>
    </row>
    <row r="461" spans="2:8">
      <c r="B461" s="5"/>
      <c r="H461" s="16"/>
    </row>
    <row r="462" spans="2:8">
      <c r="B462" s="5"/>
      <c r="H462" s="16"/>
    </row>
    <row r="463" spans="2:8">
      <c r="B463" s="5"/>
      <c r="H463" s="16"/>
    </row>
    <row r="464" spans="2:8">
      <c r="B464" s="5"/>
      <c r="H464" s="16"/>
    </row>
    <row r="465" spans="2:8">
      <c r="B465" s="5"/>
      <c r="H465" s="16"/>
    </row>
    <row r="466" spans="2:8">
      <c r="B466" s="5"/>
      <c r="H466" s="16"/>
    </row>
    <row r="467" spans="2:8">
      <c r="B467" s="5"/>
      <c r="H467" s="16"/>
    </row>
    <row r="468" spans="2:8">
      <c r="B468" s="5"/>
      <c r="H468" s="16"/>
    </row>
    <row r="469" spans="2:8">
      <c r="B469" s="5"/>
      <c r="H469" s="16"/>
    </row>
    <row r="470" spans="2:8">
      <c r="B470" s="5"/>
      <c r="H470" s="16"/>
    </row>
    <row r="471" spans="2:8">
      <c r="B471" s="5"/>
      <c r="H471" s="16"/>
    </row>
    <row r="472" spans="2:8">
      <c r="B472" s="5"/>
      <c r="H472" s="16"/>
    </row>
    <row r="473" spans="2:8">
      <c r="B473" s="5"/>
      <c r="H473" s="16"/>
    </row>
    <row r="474" spans="2:8">
      <c r="B474" s="5"/>
      <c r="H474" s="16"/>
    </row>
    <row r="475" spans="2:8">
      <c r="B475" s="5"/>
      <c r="H475" s="16"/>
    </row>
    <row r="476" spans="2:8">
      <c r="B476" s="5"/>
      <c r="H476" s="16"/>
    </row>
    <row r="477" spans="2:8">
      <c r="B477" s="5"/>
      <c r="H477" s="16"/>
    </row>
    <row r="478" spans="2:8">
      <c r="B478" s="5"/>
      <c r="H478" s="16"/>
    </row>
    <row r="479" spans="2:8">
      <c r="B479" s="5"/>
      <c r="H479" s="16"/>
    </row>
    <row r="480" spans="2:8">
      <c r="B480" s="5"/>
      <c r="H480" s="16"/>
    </row>
    <row r="481" spans="2:8">
      <c r="B481" s="5"/>
      <c r="H481" s="16"/>
    </row>
    <row r="482" spans="2:8">
      <c r="B482" s="5"/>
      <c r="H482" s="16"/>
    </row>
    <row r="483" spans="2:8">
      <c r="B483" s="5"/>
      <c r="H483" s="16"/>
    </row>
    <row r="484" spans="2:8">
      <c r="B484" s="5"/>
      <c r="H484" s="16"/>
    </row>
    <row r="485" spans="2:8">
      <c r="B485" s="5"/>
      <c r="H485" s="16"/>
    </row>
    <row r="486" spans="2:8">
      <c r="B486" s="5"/>
      <c r="H486" s="16"/>
    </row>
    <row r="487" spans="2:8">
      <c r="B487" s="5"/>
      <c r="H487" s="16"/>
    </row>
    <row r="488" spans="2:8">
      <c r="B488" s="5"/>
      <c r="H488" s="16"/>
    </row>
    <row r="489" spans="2:8">
      <c r="B489" s="5"/>
      <c r="H489" s="16"/>
    </row>
    <row r="490" spans="2:8">
      <c r="B490" s="5"/>
      <c r="H490" s="16"/>
    </row>
    <row r="491" spans="2:8">
      <c r="B491" s="5"/>
      <c r="H491" s="16"/>
    </row>
    <row r="492" spans="2:8">
      <c r="B492" s="5"/>
      <c r="H492" s="16"/>
    </row>
    <row r="493" spans="2:8">
      <c r="B493" s="5"/>
      <c r="H493" s="16"/>
    </row>
    <row r="494" spans="2:8">
      <c r="B494" s="5"/>
      <c r="H494" s="16"/>
    </row>
    <row r="495" spans="2:8">
      <c r="B495" s="5"/>
      <c r="H495" s="16"/>
    </row>
    <row r="496" spans="2:8">
      <c r="B496" s="5"/>
      <c r="H496" s="16"/>
    </row>
    <row r="497" spans="2:8">
      <c r="B497" s="5"/>
      <c r="H497" s="16"/>
    </row>
    <row r="498" spans="2:8">
      <c r="B498" s="5"/>
      <c r="H498" s="16"/>
    </row>
    <row r="499" spans="2:8">
      <c r="B499" s="5"/>
      <c r="H499" s="16"/>
    </row>
    <row r="500" spans="2:8">
      <c r="B500" s="5"/>
      <c r="H500" s="16"/>
    </row>
    <row r="501" spans="2:8">
      <c r="B501" s="5"/>
      <c r="H501" s="16"/>
    </row>
    <row r="502" spans="2:8">
      <c r="B502" s="5"/>
      <c r="H502" s="16"/>
    </row>
    <row r="503" spans="2:8">
      <c r="B503" s="5"/>
      <c r="H503" s="16"/>
    </row>
    <row r="504" spans="2:8">
      <c r="B504" s="5"/>
      <c r="H504" s="16"/>
    </row>
    <row r="505" spans="2:8">
      <c r="B505" s="5"/>
      <c r="H505" s="16"/>
    </row>
    <row r="506" spans="2:8">
      <c r="B506" s="5"/>
      <c r="H506" s="16"/>
    </row>
    <row r="507" spans="2:8">
      <c r="B507" s="5"/>
      <c r="H507" s="16"/>
    </row>
    <row r="508" spans="2:8">
      <c r="B508" s="5"/>
      <c r="H508" s="16"/>
    </row>
    <row r="509" spans="2:8">
      <c r="B509" s="5"/>
      <c r="H509" s="16"/>
    </row>
    <row r="510" spans="2:8">
      <c r="B510" s="5"/>
      <c r="H510" s="16"/>
    </row>
    <row r="511" spans="2:8">
      <c r="B511" s="5"/>
      <c r="H511" s="16"/>
    </row>
    <row r="512" spans="2:8">
      <c r="B512" s="5"/>
      <c r="H512" s="16"/>
    </row>
    <row r="513" spans="2:8">
      <c r="B513" s="5"/>
      <c r="H513" s="16"/>
    </row>
    <row r="514" spans="2:8">
      <c r="B514" s="5"/>
      <c r="H514" s="16"/>
    </row>
    <row r="515" spans="2:8">
      <c r="B515" s="5"/>
      <c r="H515" s="16"/>
    </row>
    <row r="516" spans="2:8">
      <c r="B516" s="5"/>
      <c r="H516" s="16"/>
    </row>
    <row r="517" spans="2:8">
      <c r="B517" s="5"/>
      <c r="H517" s="16"/>
    </row>
    <row r="518" spans="2:8">
      <c r="B518" s="5"/>
      <c r="H518" s="16"/>
    </row>
    <row r="519" spans="2:8">
      <c r="B519" s="5"/>
      <c r="H519" s="16"/>
    </row>
    <row r="520" spans="2:8">
      <c r="B520" s="5"/>
      <c r="H520" s="16"/>
    </row>
    <row r="521" spans="2:8">
      <c r="B521" s="5"/>
      <c r="H521" s="16"/>
    </row>
    <row r="522" spans="2:8">
      <c r="B522" s="5"/>
      <c r="H522" s="16"/>
    </row>
    <row r="523" spans="2:8">
      <c r="B523" s="5"/>
      <c r="H523" s="16"/>
    </row>
    <row r="524" spans="2:8">
      <c r="B524" s="5"/>
      <c r="H524" s="16"/>
    </row>
    <row r="525" spans="2:8">
      <c r="B525" s="5"/>
      <c r="H525" s="16"/>
    </row>
    <row r="526" spans="2:8">
      <c r="B526" s="5"/>
      <c r="H526" s="16"/>
    </row>
    <row r="527" spans="2:8">
      <c r="B527" s="5"/>
      <c r="H527" s="16"/>
    </row>
    <row r="528" spans="2:8">
      <c r="B528" s="5"/>
      <c r="H528" s="16"/>
    </row>
    <row r="529" spans="2:8">
      <c r="B529" s="5"/>
      <c r="H529" s="16"/>
    </row>
    <row r="530" spans="2:8">
      <c r="B530" s="5"/>
      <c r="H530" s="16"/>
    </row>
    <row r="531" spans="2:8">
      <c r="B531" s="5"/>
      <c r="H531" s="16"/>
    </row>
    <row r="532" spans="2:8">
      <c r="B532" s="5"/>
      <c r="H532" s="16"/>
    </row>
    <row r="533" spans="2:8">
      <c r="B533" s="5"/>
      <c r="H533" s="16"/>
    </row>
    <row r="534" spans="2:8">
      <c r="B534" s="5"/>
      <c r="H534" s="16"/>
    </row>
    <row r="535" spans="2:8">
      <c r="B535" s="5"/>
      <c r="H535" s="16"/>
    </row>
    <row r="536" spans="2:8">
      <c r="B536" s="5"/>
      <c r="H536" s="16"/>
    </row>
    <row r="537" spans="2:8">
      <c r="B537" s="5"/>
      <c r="H537" s="16"/>
    </row>
    <row r="538" spans="2:8">
      <c r="B538" s="5"/>
      <c r="H538" s="16"/>
    </row>
    <row r="539" spans="2:8">
      <c r="B539" s="5"/>
      <c r="H539" s="16"/>
    </row>
    <row r="540" spans="2:8">
      <c r="B540" s="5"/>
      <c r="H540" s="16"/>
    </row>
    <row r="541" spans="2:8">
      <c r="B541" s="5"/>
      <c r="H541" s="16"/>
    </row>
    <row r="542" spans="2:8">
      <c r="B542" s="5"/>
      <c r="H542" s="16"/>
    </row>
    <row r="543" spans="2:8">
      <c r="B543" s="5"/>
      <c r="H543" s="16"/>
    </row>
    <row r="544" spans="2:8">
      <c r="B544" s="5"/>
      <c r="H544" s="16"/>
    </row>
    <row r="545" spans="2:8">
      <c r="B545" s="5"/>
      <c r="H545" s="16"/>
    </row>
    <row r="546" spans="2:8">
      <c r="B546" s="5"/>
      <c r="H546" s="16"/>
    </row>
    <row r="547" spans="2:8">
      <c r="B547" s="5"/>
      <c r="H547" s="16"/>
    </row>
    <row r="548" spans="2:8">
      <c r="B548" s="5"/>
      <c r="H548" s="16"/>
    </row>
    <row r="549" spans="2:8">
      <c r="B549" s="5"/>
      <c r="H549" s="16"/>
    </row>
    <row r="550" spans="2:8">
      <c r="B550" s="5"/>
      <c r="H550" s="16"/>
    </row>
    <row r="551" spans="2:8">
      <c r="B551" s="5"/>
      <c r="H551" s="16"/>
    </row>
    <row r="552" spans="2:8">
      <c r="B552" s="5"/>
      <c r="H552" s="16"/>
    </row>
    <row r="553" spans="2:8">
      <c r="B553" s="5"/>
      <c r="H553" s="16"/>
    </row>
    <row r="554" spans="2:8">
      <c r="B554" s="5"/>
      <c r="H554" s="16"/>
    </row>
    <row r="555" spans="2:8">
      <c r="B555" s="5"/>
      <c r="H555" s="16"/>
    </row>
    <row r="556" spans="2:8">
      <c r="B556" s="5"/>
      <c r="H556" s="16"/>
    </row>
    <row r="557" spans="2:8">
      <c r="B557" s="5"/>
      <c r="H557" s="16"/>
    </row>
    <row r="558" spans="2:8">
      <c r="B558" s="5"/>
      <c r="H558" s="16"/>
    </row>
    <row r="559" spans="2:8">
      <c r="B559" s="5"/>
      <c r="H559" s="16"/>
    </row>
    <row r="560" spans="2:8">
      <c r="B560" s="5"/>
      <c r="H560" s="16"/>
    </row>
    <row r="561" spans="2:8">
      <c r="B561" s="5"/>
      <c r="H561" s="16"/>
    </row>
    <row r="562" spans="2:8">
      <c r="B562" s="5"/>
      <c r="H562" s="16"/>
    </row>
    <row r="563" spans="2:8">
      <c r="B563" s="5"/>
      <c r="H563" s="16"/>
    </row>
    <row r="564" spans="2:8">
      <c r="B564" s="5"/>
      <c r="H564" s="16"/>
    </row>
    <row r="565" spans="2:8">
      <c r="B565" s="5"/>
      <c r="H565" s="16"/>
    </row>
    <row r="566" spans="2:8">
      <c r="B566" s="5"/>
      <c r="H566" s="16"/>
    </row>
    <row r="567" spans="2:8">
      <c r="B567" s="5"/>
      <c r="H567" s="16"/>
    </row>
    <row r="568" spans="2:8">
      <c r="B568" s="5"/>
      <c r="H568" s="16"/>
    </row>
    <row r="569" spans="2:8">
      <c r="B569" s="5"/>
      <c r="H569" s="16"/>
    </row>
    <row r="570" spans="2:8">
      <c r="B570" s="5"/>
      <c r="H570" s="16"/>
    </row>
    <row r="571" spans="2:8">
      <c r="B571" s="5"/>
      <c r="H571" s="16"/>
    </row>
    <row r="572" spans="2:8">
      <c r="B572" s="5"/>
      <c r="H572" s="16"/>
    </row>
    <row r="573" spans="2:8">
      <c r="B573" s="5"/>
      <c r="H573" s="16"/>
    </row>
    <row r="574" spans="2:8">
      <c r="B574" s="5"/>
      <c r="H574" s="16"/>
    </row>
    <row r="575" spans="2:8">
      <c r="B575" s="5"/>
      <c r="H575" s="16"/>
    </row>
    <row r="576" spans="2:8">
      <c r="B576" s="5"/>
      <c r="H576" s="16"/>
    </row>
    <row r="577" spans="2:8">
      <c r="B577" s="5"/>
      <c r="H577" s="16"/>
    </row>
    <row r="578" spans="2:8">
      <c r="B578" s="5"/>
      <c r="H578" s="16"/>
    </row>
    <row r="579" spans="2:8">
      <c r="B579" s="5"/>
      <c r="H579" s="16"/>
    </row>
    <row r="580" spans="2:8">
      <c r="B580" s="5"/>
      <c r="H580" s="16"/>
    </row>
    <row r="581" spans="2:8">
      <c r="B581" s="5"/>
      <c r="H581" s="16"/>
    </row>
    <row r="582" spans="2:8">
      <c r="B582" s="5"/>
      <c r="H582" s="16"/>
    </row>
    <row r="583" spans="2:8">
      <c r="B583" s="5"/>
      <c r="H583" s="16"/>
    </row>
    <row r="584" spans="2:8">
      <c r="B584" s="5"/>
      <c r="H584" s="16"/>
    </row>
    <row r="585" spans="2:8">
      <c r="B585" s="5"/>
      <c r="H585" s="16"/>
    </row>
    <row r="586" spans="2:8">
      <c r="B586" s="5"/>
      <c r="H586" s="16"/>
    </row>
    <row r="587" spans="2:8">
      <c r="B587" s="5"/>
      <c r="H587" s="16"/>
    </row>
    <row r="588" spans="2:8">
      <c r="B588" s="5"/>
      <c r="H588" s="16"/>
    </row>
    <row r="589" spans="2:8">
      <c r="B589" s="5"/>
      <c r="H589" s="16"/>
    </row>
    <row r="590" spans="2:8">
      <c r="B590" s="5"/>
      <c r="H590" s="16"/>
    </row>
    <row r="591" spans="2:8">
      <c r="B591" s="5"/>
      <c r="H591" s="16"/>
    </row>
    <row r="592" spans="2:8">
      <c r="B592" s="5"/>
      <c r="H592" s="16"/>
    </row>
    <row r="593" spans="2:8">
      <c r="B593" s="5"/>
      <c r="H593" s="16"/>
    </row>
    <row r="594" spans="2:8">
      <c r="B594" s="5"/>
      <c r="H594" s="16"/>
    </row>
    <row r="595" spans="2:8">
      <c r="B595" s="5"/>
      <c r="H595" s="16"/>
    </row>
    <row r="596" spans="2:8">
      <c r="B596" s="5"/>
      <c r="H596" s="16"/>
    </row>
    <row r="597" spans="2:8">
      <c r="B597" s="5"/>
      <c r="H597" s="16"/>
    </row>
    <row r="598" spans="2:8">
      <c r="B598" s="5"/>
      <c r="H598" s="16"/>
    </row>
    <row r="599" spans="2:8">
      <c r="B599" s="5"/>
      <c r="H599" s="16"/>
    </row>
    <row r="600" spans="2:8">
      <c r="B600" s="5"/>
      <c r="H600" s="16"/>
    </row>
    <row r="601" spans="2:8">
      <c r="B601" s="5"/>
      <c r="H601" s="16"/>
    </row>
    <row r="602" spans="2:8">
      <c r="B602" s="5"/>
      <c r="H602" s="16"/>
    </row>
    <row r="603" spans="2:8">
      <c r="B603" s="5"/>
      <c r="H603" s="16"/>
    </row>
    <row r="604" spans="2:8">
      <c r="B604" s="5"/>
      <c r="H604" s="16"/>
    </row>
    <row r="605" spans="2:8">
      <c r="B605" s="5"/>
      <c r="H605" s="16"/>
    </row>
    <row r="606" spans="2:8">
      <c r="B606" s="5"/>
      <c r="H606" s="16"/>
    </row>
    <row r="607" spans="2:8">
      <c r="B607" s="5"/>
      <c r="H607" s="16"/>
    </row>
    <row r="608" spans="2:8">
      <c r="B608" s="5"/>
      <c r="H608" s="16"/>
    </row>
    <row r="609" spans="2:8">
      <c r="B609" s="5"/>
      <c r="H609" s="16"/>
    </row>
    <row r="610" spans="2:8">
      <c r="B610" s="5"/>
      <c r="H610" s="16"/>
    </row>
    <row r="611" spans="2:8">
      <c r="B611" s="5"/>
      <c r="H611" s="16"/>
    </row>
    <row r="612" spans="2:8">
      <c r="B612" s="5"/>
      <c r="H612" s="16"/>
    </row>
    <row r="613" spans="2:8">
      <c r="B613" s="5"/>
      <c r="H613" s="16"/>
    </row>
    <row r="614" spans="2:8">
      <c r="B614" s="5"/>
      <c r="H614" s="16"/>
    </row>
    <row r="615" spans="2:8">
      <c r="B615" s="5"/>
      <c r="H615" s="16"/>
    </row>
    <row r="616" spans="2:8">
      <c r="B616" s="5"/>
      <c r="H616" s="16"/>
    </row>
    <row r="617" spans="2:8">
      <c r="B617" s="5"/>
      <c r="H617" s="16"/>
    </row>
    <row r="618" spans="2:8">
      <c r="B618" s="5"/>
      <c r="H618" s="16"/>
    </row>
    <row r="619" spans="2:8">
      <c r="B619" s="5"/>
      <c r="H619" s="16"/>
    </row>
    <row r="620" spans="2:8">
      <c r="B620" s="5"/>
      <c r="H620" s="16"/>
    </row>
    <row r="621" spans="2:8">
      <c r="B621" s="5"/>
      <c r="H621" s="16"/>
    </row>
    <row r="622" spans="2:8">
      <c r="B622" s="5"/>
      <c r="H622" s="16"/>
    </row>
    <row r="623" spans="2:8">
      <c r="B623" s="5"/>
      <c r="H623" s="16"/>
    </row>
    <row r="624" spans="2:8">
      <c r="B624" s="5"/>
      <c r="H624" s="16"/>
    </row>
    <row r="625" spans="2:8">
      <c r="B625" s="5"/>
      <c r="H625" s="16"/>
    </row>
    <row r="626" spans="2:8">
      <c r="B626" s="5"/>
      <c r="H626" s="16"/>
    </row>
    <row r="627" spans="2:8">
      <c r="B627" s="5"/>
      <c r="H627" s="16"/>
    </row>
    <row r="628" spans="2:8">
      <c r="B628" s="5"/>
      <c r="H628" s="16"/>
    </row>
    <row r="629" spans="2:8">
      <c r="B629" s="5"/>
      <c r="H629" s="16"/>
    </row>
    <row r="630" spans="2:8">
      <c r="B630" s="5"/>
      <c r="H630" s="16"/>
    </row>
    <row r="631" spans="2:8">
      <c r="B631" s="5"/>
      <c r="H631" s="16"/>
    </row>
    <row r="632" spans="2:8">
      <c r="B632" s="5"/>
      <c r="H632" s="16"/>
    </row>
    <row r="633" spans="2:8">
      <c r="B633" s="5"/>
      <c r="H633" s="16"/>
    </row>
    <row r="634" spans="2:8">
      <c r="B634" s="5"/>
      <c r="H634" s="16"/>
    </row>
    <row r="635" spans="2:8">
      <c r="B635" s="5"/>
      <c r="H635" s="16"/>
    </row>
    <row r="636" spans="2:8">
      <c r="B636" s="5"/>
      <c r="H636" s="16"/>
    </row>
    <row r="637" spans="2:8">
      <c r="B637" s="5"/>
      <c r="H637" s="16"/>
    </row>
    <row r="638" spans="2:8">
      <c r="B638" s="5"/>
      <c r="H638" s="16"/>
    </row>
    <row r="639" spans="2:8">
      <c r="B639" s="5"/>
      <c r="H639" s="16"/>
    </row>
    <row r="640" spans="2:8">
      <c r="B640" s="5"/>
      <c r="H640" s="16"/>
    </row>
    <row r="641" spans="2:8">
      <c r="B641" s="5"/>
      <c r="H641" s="16"/>
    </row>
    <row r="642" spans="2:8">
      <c r="B642" s="5"/>
      <c r="H642" s="16"/>
    </row>
    <row r="643" spans="2:8">
      <c r="B643" s="5"/>
      <c r="H643" s="16"/>
    </row>
    <row r="644" spans="2:8">
      <c r="B644" s="5"/>
      <c r="H644" s="16"/>
    </row>
    <row r="645" spans="2:8">
      <c r="B645" s="5"/>
      <c r="H645" s="16"/>
    </row>
    <row r="646" spans="2:8">
      <c r="B646" s="5"/>
      <c r="H646" s="16"/>
    </row>
    <row r="647" spans="2:8">
      <c r="B647" s="5"/>
      <c r="H647" s="16"/>
    </row>
    <row r="648" spans="2:8">
      <c r="B648" s="5"/>
      <c r="H648" s="16"/>
    </row>
    <row r="649" spans="2:8">
      <c r="B649" s="5"/>
      <c r="H649" s="16"/>
    </row>
    <row r="650" spans="2:8">
      <c r="B650" s="5"/>
      <c r="H650" s="16"/>
    </row>
    <row r="651" spans="2:8">
      <c r="B651" s="5"/>
      <c r="H651" s="16"/>
    </row>
    <row r="652" spans="2:8">
      <c r="B652" s="5"/>
      <c r="H652" s="16"/>
    </row>
    <row r="653" spans="2:8">
      <c r="B653" s="5"/>
      <c r="H653" s="16"/>
    </row>
    <row r="654" spans="2:8">
      <c r="B654" s="5"/>
      <c r="H654" s="16"/>
    </row>
    <row r="655" spans="2:8">
      <c r="B655" s="5"/>
      <c r="H655" s="16"/>
    </row>
    <row r="656" spans="2:8">
      <c r="B656" s="5"/>
      <c r="H656" s="16"/>
    </row>
    <row r="657" spans="2:8">
      <c r="B657" s="5"/>
      <c r="H657" s="16"/>
    </row>
    <row r="658" spans="2:8">
      <c r="B658" s="5"/>
      <c r="H658" s="16"/>
    </row>
    <row r="659" spans="2:8">
      <c r="B659" s="5"/>
      <c r="H659" s="16"/>
    </row>
    <row r="660" spans="2:8">
      <c r="B660" s="5"/>
      <c r="H660" s="16"/>
    </row>
    <row r="661" spans="2:8">
      <c r="B661" s="5"/>
      <c r="H661" s="16"/>
    </row>
    <row r="662" spans="2:8">
      <c r="B662" s="5"/>
      <c r="H662" s="16"/>
    </row>
    <row r="663" spans="2:8">
      <c r="B663" s="5"/>
      <c r="H663" s="16"/>
    </row>
    <row r="664" spans="2:8">
      <c r="B664" s="5"/>
      <c r="H664" s="16"/>
    </row>
    <row r="665" spans="2:8">
      <c r="B665" s="5"/>
      <c r="H665" s="16"/>
    </row>
    <row r="666" spans="2:8">
      <c r="B666" s="5"/>
      <c r="H666" s="16"/>
    </row>
    <row r="667" spans="2:8">
      <c r="B667" s="5"/>
      <c r="H667" s="16"/>
    </row>
    <row r="668" spans="2:8">
      <c r="B668" s="5"/>
      <c r="H668" s="16"/>
    </row>
    <row r="669" spans="2:8">
      <c r="B669" s="5"/>
      <c r="H669" s="16"/>
    </row>
    <row r="670" spans="2:8">
      <c r="B670" s="5"/>
      <c r="H670" s="16"/>
    </row>
    <row r="671" spans="2:8">
      <c r="B671" s="5"/>
      <c r="H671" s="16"/>
    </row>
    <row r="672" spans="2:8">
      <c r="B672" s="5"/>
      <c r="H672" s="16"/>
    </row>
    <row r="673" spans="2:8">
      <c r="B673" s="5"/>
      <c r="H673" s="16"/>
    </row>
    <row r="674" spans="2:8">
      <c r="B674" s="5"/>
      <c r="H674" s="16"/>
    </row>
    <row r="675" spans="2:8">
      <c r="B675" s="5"/>
      <c r="H675" s="16"/>
    </row>
    <row r="676" spans="2:8">
      <c r="B676" s="5"/>
      <c r="H676" s="16"/>
    </row>
    <row r="677" spans="2:8">
      <c r="B677" s="5"/>
      <c r="H677" s="16"/>
    </row>
    <row r="678" spans="2:8">
      <c r="B678" s="5"/>
      <c r="H678" s="16"/>
    </row>
    <row r="679" spans="2:8">
      <c r="B679" s="5"/>
      <c r="H679" s="16"/>
    </row>
    <row r="680" spans="2:8">
      <c r="B680" s="5"/>
      <c r="H680" s="16"/>
    </row>
    <row r="681" spans="2:8">
      <c r="B681" s="5"/>
      <c r="H681" s="16"/>
    </row>
    <row r="682" spans="2:8">
      <c r="B682" s="5"/>
      <c r="H682" s="16"/>
    </row>
    <row r="683" spans="2:8">
      <c r="B683" s="5"/>
      <c r="H683" s="16"/>
    </row>
    <row r="684" spans="2:8">
      <c r="B684" s="5"/>
      <c r="H684" s="16"/>
    </row>
    <row r="685" spans="2:8">
      <c r="B685" s="5"/>
      <c r="H685" s="16"/>
    </row>
    <row r="686" spans="2:8">
      <c r="B686" s="5"/>
      <c r="H686" s="16"/>
    </row>
    <row r="687" spans="2:8">
      <c r="B687" s="5"/>
      <c r="H687" s="16"/>
    </row>
    <row r="688" spans="2:8">
      <c r="B688" s="5"/>
      <c r="H688" s="16"/>
    </row>
    <row r="689" spans="2:8">
      <c r="B689" s="5"/>
      <c r="H689" s="16"/>
    </row>
    <row r="690" spans="2:8">
      <c r="B690" s="5"/>
      <c r="H690" s="16"/>
    </row>
    <row r="691" spans="2:8">
      <c r="B691" s="5"/>
      <c r="H691" s="16"/>
    </row>
    <row r="692" spans="2:8">
      <c r="B692" s="5"/>
      <c r="H692" s="16"/>
    </row>
    <row r="693" spans="2:8">
      <c r="B693" s="5"/>
      <c r="H693" s="16"/>
    </row>
    <row r="694" spans="2:8">
      <c r="B694" s="5"/>
      <c r="H694" s="16"/>
    </row>
    <row r="695" spans="2:8">
      <c r="B695" s="5"/>
      <c r="H695" s="16"/>
    </row>
    <row r="696" spans="2:8">
      <c r="B696" s="5"/>
      <c r="H696" s="16"/>
    </row>
    <row r="697" spans="2:8">
      <c r="B697" s="5"/>
      <c r="H697" s="16"/>
    </row>
    <row r="698" spans="2:8">
      <c r="B698" s="5"/>
      <c r="H698" s="16"/>
    </row>
    <row r="699" spans="2:8">
      <c r="B699" s="5"/>
      <c r="H699" s="16"/>
    </row>
    <row r="700" spans="2:8">
      <c r="B700" s="5"/>
      <c r="H700" s="16"/>
    </row>
    <row r="701" spans="2:8">
      <c r="B701" s="5"/>
      <c r="H701" s="16"/>
    </row>
    <row r="702" spans="2:8">
      <c r="B702" s="5"/>
      <c r="H702" s="16"/>
    </row>
    <row r="703" spans="2:8">
      <c r="B703" s="5"/>
      <c r="H703" s="16"/>
    </row>
    <row r="704" spans="2:8">
      <c r="B704" s="5"/>
      <c r="H704" s="16"/>
    </row>
    <row r="705" spans="2:8">
      <c r="B705" s="5"/>
      <c r="H705" s="16"/>
    </row>
    <row r="706" spans="2:8">
      <c r="B706" s="5"/>
      <c r="H706" s="16"/>
    </row>
    <row r="707" spans="2:8">
      <c r="B707" s="5"/>
      <c r="H707" s="16"/>
    </row>
    <row r="708" spans="2:8">
      <c r="B708" s="5"/>
      <c r="H708" s="16"/>
    </row>
    <row r="709" spans="2:8">
      <c r="B709" s="5"/>
      <c r="H709" s="16"/>
    </row>
    <row r="710" spans="2:8">
      <c r="B710" s="5"/>
      <c r="H710" s="16"/>
    </row>
    <row r="711" spans="2:8">
      <c r="B711" s="5"/>
      <c r="H711" s="16"/>
    </row>
    <row r="712" spans="2:8">
      <c r="B712" s="5"/>
      <c r="H712" s="16"/>
    </row>
    <row r="713" spans="2:8">
      <c r="B713" s="5"/>
      <c r="H713" s="16"/>
    </row>
    <row r="714" spans="2:8">
      <c r="B714" s="5"/>
      <c r="H714" s="16"/>
    </row>
    <row r="715" spans="2:8">
      <c r="B715" s="5"/>
      <c r="H715" s="16"/>
    </row>
    <row r="716" spans="2:8">
      <c r="B716" s="5"/>
      <c r="H716" s="16"/>
    </row>
    <row r="717" spans="2:8">
      <c r="B717" s="5"/>
      <c r="H717" s="16"/>
    </row>
    <row r="718" spans="2:8">
      <c r="B718" s="5"/>
      <c r="H718" s="16"/>
    </row>
    <row r="719" spans="2:8">
      <c r="B719" s="5"/>
      <c r="H719" s="16"/>
    </row>
    <row r="720" spans="2:8">
      <c r="B720" s="5"/>
      <c r="H720" s="16"/>
    </row>
    <row r="721" spans="2:8">
      <c r="B721" s="5"/>
      <c r="H721" s="16"/>
    </row>
    <row r="722" spans="2:8">
      <c r="B722" s="5"/>
      <c r="H722" s="16"/>
    </row>
    <row r="723" spans="2:8">
      <c r="B723" s="5"/>
      <c r="H723" s="16"/>
    </row>
    <row r="724" spans="2:8">
      <c r="B724" s="5"/>
      <c r="H724" s="16"/>
    </row>
    <row r="725" spans="2:8">
      <c r="B725" s="5"/>
      <c r="H725" s="16"/>
    </row>
    <row r="726" spans="2:8">
      <c r="B726" s="5"/>
      <c r="H726" s="16"/>
    </row>
    <row r="727" spans="2:8">
      <c r="B727" s="5"/>
      <c r="H727" s="16"/>
    </row>
    <row r="728" spans="2:8">
      <c r="B728" s="5"/>
      <c r="H728" s="16"/>
    </row>
    <row r="729" spans="2:8">
      <c r="B729" s="5"/>
      <c r="H729" s="16"/>
    </row>
    <row r="730" spans="2:8">
      <c r="B730" s="5"/>
      <c r="H730" s="16"/>
    </row>
    <row r="731" spans="2:8">
      <c r="B731" s="5"/>
      <c r="H731" s="16"/>
    </row>
    <row r="732" spans="2:8">
      <c r="B732" s="5"/>
      <c r="H732" s="16"/>
    </row>
    <row r="733" spans="2:8">
      <c r="B733" s="5"/>
      <c r="H733" s="16"/>
    </row>
    <row r="734" spans="2:8">
      <c r="B734" s="5"/>
      <c r="H734" s="16"/>
    </row>
    <row r="735" spans="2:8">
      <c r="B735" s="5"/>
      <c r="H735" s="16"/>
    </row>
    <row r="736" spans="2:8">
      <c r="B736" s="5"/>
      <c r="H736" s="16"/>
    </row>
    <row r="737" spans="2:8">
      <c r="B737" s="5"/>
      <c r="H737" s="16"/>
    </row>
    <row r="738" spans="2:8">
      <c r="B738" s="5"/>
      <c r="H738" s="16"/>
    </row>
    <row r="739" spans="2:8">
      <c r="B739" s="5"/>
      <c r="H739" s="16"/>
    </row>
    <row r="740" spans="2:8">
      <c r="B740" s="5"/>
      <c r="H740" s="16"/>
    </row>
    <row r="741" spans="2:8">
      <c r="B741" s="5"/>
      <c r="H741" s="16"/>
    </row>
    <row r="742" spans="2:8">
      <c r="B742" s="5"/>
      <c r="H742" s="16"/>
    </row>
    <row r="743" spans="2:8">
      <c r="B743" s="5"/>
      <c r="H743" s="16"/>
    </row>
    <row r="744" spans="2:8">
      <c r="B744" s="5"/>
      <c r="H744" s="16"/>
    </row>
    <row r="745" spans="2:8">
      <c r="B745" s="5"/>
      <c r="H745" s="16"/>
    </row>
    <row r="746" spans="2:8">
      <c r="B746" s="5"/>
      <c r="H746" s="16"/>
    </row>
    <row r="747" spans="2:8">
      <c r="B747" s="5"/>
      <c r="H747" s="16"/>
    </row>
    <row r="748" spans="2:8">
      <c r="B748" s="5"/>
      <c r="H748" s="16"/>
    </row>
    <row r="749" spans="2:8">
      <c r="B749" s="5"/>
      <c r="H749" s="16"/>
    </row>
    <row r="750" spans="2:8">
      <c r="B750" s="5"/>
      <c r="H750" s="16"/>
    </row>
    <row r="751" spans="2:8">
      <c r="B751" s="5"/>
      <c r="H751" s="16"/>
    </row>
    <row r="752" spans="2:8">
      <c r="B752" s="5"/>
      <c r="H752" s="16"/>
    </row>
    <row r="753" spans="2:8">
      <c r="B753" s="5"/>
      <c r="H753" s="16"/>
    </row>
    <row r="754" spans="2:8">
      <c r="B754" s="5"/>
      <c r="H754" s="16"/>
    </row>
    <row r="755" spans="2:8">
      <c r="B755" s="5"/>
      <c r="H755" s="16"/>
    </row>
    <row r="756" spans="2:8">
      <c r="B756" s="5"/>
      <c r="H756" s="16"/>
    </row>
    <row r="757" spans="2:8">
      <c r="B757" s="5"/>
      <c r="H757" s="16"/>
    </row>
    <row r="758" spans="2:8">
      <c r="B758" s="5"/>
      <c r="H758" s="16"/>
    </row>
    <row r="759" spans="2:8">
      <c r="B759" s="5"/>
      <c r="H759" s="16"/>
    </row>
    <row r="760" spans="2:8">
      <c r="B760" s="5"/>
      <c r="H760" s="16"/>
    </row>
    <row r="761" spans="2:8">
      <c r="B761" s="5"/>
      <c r="H761" s="16"/>
    </row>
    <row r="762" spans="2:8">
      <c r="B762" s="5"/>
      <c r="H762" s="16"/>
    </row>
    <row r="763" spans="2:8">
      <c r="B763" s="5"/>
      <c r="H763" s="16"/>
    </row>
    <row r="764" spans="2:8">
      <c r="B764" s="5"/>
      <c r="H764" s="16"/>
    </row>
    <row r="765" spans="2:8">
      <c r="B765" s="5"/>
      <c r="H765" s="16"/>
    </row>
    <row r="766" spans="2:8">
      <c r="B766" s="5"/>
      <c r="H766" s="16"/>
    </row>
    <row r="767" spans="2:8">
      <c r="B767" s="5"/>
      <c r="H767" s="16"/>
    </row>
    <row r="768" spans="2:8">
      <c r="B768" s="5"/>
      <c r="H768" s="16"/>
    </row>
    <row r="769" spans="2:8">
      <c r="B769" s="5"/>
      <c r="H769" s="16"/>
    </row>
    <row r="770" spans="2:8">
      <c r="B770" s="5"/>
      <c r="H770" s="16"/>
    </row>
    <row r="771" spans="2:8">
      <c r="B771" s="5"/>
      <c r="H771" s="16"/>
    </row>
    <row r="772" spans="2:8">
      <c r="B772" s="5"/>
      <c r="H772" s="16"/>
    </row>
    <row r="773" spans="2:8">
      <c r="B773" s="5"/>
      <c r="H773" s="16"/>
    </row>
    <row r="774" spans="2:8">
      <c r="B774" s="5"/>
      <c r="H774" s="16"/>
    </row>
    <row r="775" spans="2:8">
      <c r="B775" s="5"/>
      <c r="H775" s="16"/>
    </row>
    <row r="776" spans="2:8">
      <c r="B776" s="5"/>
      <c r="H776" s="16"/>
    </row>
    <row r="777" spans="2:8">
      <c r="B777" s="5"/>
      <c r="H777" s="16"/>
    </row>
    <row r="778" spans="2:8">
      <c r="B778" s="5"/>
      <c r="H778" s="16"/>
    </row>
    <row r="779" spans="2:8">
      <c r="B779" s="5"/>
      <c r="H779" s="16"/>
    </row>
    <row r="780" spans="2:8">
      <c r="B780" s="5"/>
      <c r="H780" s="16"/>
    </row>
    <row r="781" spans="2:8">
      <c r="B781" s="5"/>
      <c r="H781" s="16"/>
    </row>
    <row r="782" spans="2:8">
      <c r="B782" s="5"/>
      <c r="H782" s="16"/>
    </row>
    <row r="783" spans="2:8">
      <c r="B783" s="5"/>
      <c r="H783" s="16"/>
    </row>
    <row r="784" spans="2:8">
      <c r="B784" s="5"/>
      <c r="H784" s="16"/>
    </row>
    <row r="785" spans="2:8">
      <c r="B785" s="5"/>
      <c r="H785" s="16"/>
    </row>
    <row r="786" spans="2:8">
      <c r="B786" s="5"/>
      <c r="H786" s="16"/>
    </row>
    <row r="787" spans="2:8">
      <c r="B787" s="5"/>
      <c r="H787" s="16"/>
    </row>
    <row r="788" spans="2:8">
      <c r="B788" s="5"/>
      <c r="H788" s="16"/>
    </row>
    <row r="789" spans="2:8">
      <c r="B789" s="5"/>
      <c r="H789" s="16"/>
    </row>
    <row r="790" spans="2:8">
      <c r="B790" s="5"/>
      <c r="H790" s="16"/>
    </row>
    <row r="791" spans="2:8">
      <c r="B791" s="5"/>
      <c r="H791" s="16"/>
    </row>
    <row r="792" spans="2:8">
      <c r="B792" s="5"/>
      <c r="H792" s="16"/>
    </row>
    <row r="793" spans="2:8">
      <c r="B793" s="5"/>
      <c r="H793" s="16"/>
    </row>
    <row r="794" spans="2:8">
      <c r="B794" s="5"/>
      <c r="H794" s="16"/>
    </row>
    <row r="795" spans="2:8">
      <c r="B795" s="5"/>
      <c r="H795" s="16"/>
    </row>
    <row r="796" spans="2:8">
      <c r="B796" s="5"/>
      <c r="H796" s="16"/>
    </row>
    <row r="797" spans="2:8">
      <c r="B797" s="5"/>
      <c r="H797" s="16"/>
    </row>
    <row r="798" spans="2:8">
      <c r="B798" s="5"/>
      <c r="H798" s="16"/>
    </row>
    <row r="799" spans="2:8">
      <c r="B799" s="5"/>
      <c r="H799" s="16"/>
    </row>
    <row r="800" spans="2:8">
      <c r="B800" s="5"/>
      <c r="H800" s="16"/>
    </row>
    <row r="801" spans="2:8">
      <c r="B801" s="5"/>
      <c r="H801" s="16"/>
    </row>
    <row r="802" spans="2:8">
      <c r="B802" s="5"/>
      <c r="H802" s="16"/>
    </row>
    <row r="803" spans="2:8">
      <c r="B803" s="5"/>
      <c r="H803" s="16"/>
    </row>
    <row r="804" spans="2:8">
      <c r="B804" s="5"/>
      <c r="H804" s="16"/>
    </row>
    <row r="805" spans="2:8">
      <c r="B805" s="5"/>
      <c r="H805" s="16"/>
    </row>
    <row r="806" spans="2:8">
      <c r="B806" s="5"/>
      <c r="H806" s="16"/>
    </row>
    <row r="807" spans="2:8">
      <c r="B807" s="5"/>
      <c r="H807" s="16"/>
    </row>
    <row r="808" spans="2:8">
      <c r="B808" s="5"/>
      <c r="H808" s="16"/>
    </row>
    <row r="809" spans="2:8">
      <c r="B809" s="5"/>
      <c r="H809" s="16"/>
    </row>
    <row r="810" spans="2:8">
      <c r="B810" s="5"/>
      <c r="H810" s="16"/>
    </row>
    <row r="811" spans="2:8">
      <c r="B811" s="5"/>
      <c r="H811" s="16"/>
    </row>
    <row r="812" spans="2:8">
      <c r="B812" s="5"/>
      <c r="H812" s="16"/>
    </row>
    <row r="813" spans="2:8">
      <c r="B813" s="5"/>
      <c r="H813" s="16"/>
    </row>
    <row r="814" spans="2:8">
      <c r="B814" s="5"/>
      <c r="H814" s="16"/>
    </row>
    <row r="815" spans="2:8">
      <c r="B815" s="5"/>
      <c r="H815" s="16"/>
    </row>
    <row r="816" spans="2:8">
      <c r="B816" s="5"/>
      <c r="H816" s="16"/>
    </row>
    <row r="817" spans="2:8">
      <c r="B817" s="5"/>
      <c r="H817" s="16"/>
    </row>
    <row r="818" spans="2:8">
      <c r="B818" s="5"/>
      <c r="H818" s="16"/>
    </row>
    <row r="819" spans="2:8">
      <c r="B819" s="5"/>
      <c r="H819" s="16"/>
    </row>
    <row r="820" spans="2:8">
      <c r="B820" s="5"/>
      <c r="H820" s="16"/>
    </row>
    <row r="821" spans="2:8">
      <c r="B821" s="5"/>
      <c r="H821" s="16"/>
    </row>
    <row r="822" spans="2:8">
      <c r="B822" s="5"/>
      <c r="H822" s="16"/>
    </row>
    <row r="823" spans="2:8">
      <c r="B823" s="5"/>
      <c r="H823" s="16"/>
    </row>
    <row r="824" spans="2:8">
      <c r="B824" s="5"/>
      <c r="H824" s="16"/>
    </row>
    <row r="825" spans="2:8">
      <c r="B825" s="5"/>
      <c r="H825" s="16"/>
    </row>
    <row r="826" spans="2:8">
      <c r="B826" s="5"/>
      <c r="H826" s="16"/>
    </row>
    <row r="827" spans="2:8">
      <c r="B827" s="5"/>
      <c r="H827" s="16"/>
    </row>
    <row r="828" spans="2:8">
      <c r="B828" s="5"/>
      <c r="H828" s="16"/>
    </row>
    <row r="829" spans="2:8">
      <c r="B829" s="5"/>
      <c r="H829" s="16"/>
    </row>
    <row r="830" spans="2:8">
      <c r="B830" s="5"/>
      <c r="H830" s="16"/>
    </row>
    <row r="831" spans="2:8">
      <c r="B831" s="5"/>
      <c r="H831" s="16"/>
    </row>
    <row r="832" spans="2:8">
      <c r="B832" s="5"/>
      <c r="H832" s="16"/>
    </row>
    <row r="833" spans="2:8">
      <c r="B833" s="5"/>
      <c r="H833" s="16"/>
    </row>
    <row r="834" spans="2:8">
      <c r="B834" s="5"/>
      <c r="H834" s="16"/>
    </row>
    <row r="835" spans="2:8">
      <c r="B835" s="5"/>
      <c r="H835" s="16"/>
    </row>
    <row r="836" spans="2:8">
      <c r="B836" s="5"/>
      <c r="H836" s="16"/>
    </row>
    <row r="837" spans="2:8">
      <c r="B837" s="5"/>
      <c r="H837" s="16"/>
    </row>
    <row r="838" spans="2:8">
      <c r="B838" s="5"/>
      <c r="H838" s="16"/>
    </row>
    <row r="839" spans="2:8">
      <c r="B839" s="5"/>
      <c r="H839" s="16"/>
    </row>
    <row r="840" spans="2:8">
      <c r="B840" s="5"/>
      <c r="H840" s="16"/>
    </row>
    <row r="841" spans="2:8">
      <c r="B841" s="5"/>
      <c r="H841" s="16"/>
    </row>
    <row r="842" spans="2:8">
      <c r="B842" s="5"/>
      <c r="H842" s="16"/>
    </row>
    <row r="843" spans="2:8">
      <c r="B843" s="5"/>
      <c r="H843" s="16"/>
    </row>
    <row r="844" spans="2:8">
      <c r="B844" s="5"/>
      <c r="H844" s="16"/>
    </row>
    <row r="845" spans="2:8">
      <c r="B845" s="5"/>
      <c r="H845" s="16"/>
    </row>
    <row r="846" spans="2:8">
      <c r="B846" s="5"/>
      <c r="H846" s="16"/>
    </row>
    <row r="847" spans="2:8">
      <c r="B847" s="5"/>
      <c r="H847" s="16"/>
    </row>
    <row r="848" spans="2:8">
      <c r="B848" s="5"/>
      <c r="H848" s="16"/>
    </row>
    <row r="849" spans="2:8">
      <c r="B849" s="5"/>
      <c r="H849" s="16"/>
    </row>
    <row r="850" spans="2:8">
      <c r="B850" s="5"/>
      <c r="H850" s="16"/>
    </row>
    <row r="851" spans="2:8">
      <c r="B851" s="5"/>
      <c r="H851" s="16"/>
    </row>
    <row r="852" spans="2:8">
      <c r="B852" s="5"/>
      <c r="H852" s="16"/>
    </row>
    <row r="853" spans="2:8">
      <c r="B853" s="5"/>
      <c r="H853" s="16"/>
    </row>
    <row r="854" spans="2:8">
      <c r="B854" s="5"/>
      <c r="H854" s="16"/>
    </row>
    <row r="855" spans="2:8">
      <c r="B855" s="5"/>
      <c r="H855" s="16"/>
    </row>
    <row r="856" spans="2:8">
      <c r="B856" s="5"/>
      <c r="H856" s="16"/>
    </row>
    <row r="857" spans="2:8">
      <c r="B857" s="5"/>
      <c r="H857" s="16"/>
    </row>
    <row r="858" spans="2:8">
      <c r="B858" s="5"/>
      <c r="H858" s="16"/>
    </row>
    <row r="859" spans="2:8">
      <c r="B859" s="5"/>
      <c r="H859" s="16"/>
    </row>
    <row r="860" spans="2:8">
      <c r="B860" s="5"/>
      <c r="H860" s="16"/>
    </row>
    <row r="861" spans="2:8">
      <c r="B861" s="5"/>
      <c r="H861" s="16"/>
    </row>
    <row r="862" spans="2:8">
      <c r="B862" s="5"/>
      <c r="H862" s="16"/>
    </row>
    <row r="863" spans="2:8">
      <c r="B863" s="5"/>
      <c r="H863" s="16"/>
    </row>
    <row r="864" spans="2:8">
      <c r="B864" s="5"/>
      <c r="H864" s="16"/>
    </row>
    <row r="865" spans="2:8">
      <c r="B865" s="5"/>
      <c r="H865" s="16"/>
    </row>
    <row r="866" spans="2:8">
      <c r="B866" s="5"/>
      <c r="H866" s="16"/>
    </row>
    <row r="867" spans="2:8">
      <c r="B867" s="5"/>
      <c r="H867" s="16"/>
    </row>
    <row r="868" spans="2:8">
      <c r="B868" s="5"/>
      <c r="H868" s="16"/>
    </row>
    <row r="869" spans="2:8">
      <c r="B869" s="5"/>
      <c r="H869" s="16"/>
    </row>
    <row r="870" spans="2:8">
      <c r="B870" s="5"/>
      <c r="H870" s="16"/>
    </row>
    <row r="871" spans="2:8">
      <c r="B871" s="5"/>
      <c r="H871" s="16"/>
    </row>
    <row r="872" spans="2:8">
      <c r="B872" s="5"/>
      <c r="H872" s="16"/>
    </row>
    <row r="873" spans="2:8">
      <c r="B873" s="5"/>
      <c r="H873" s="16"/>
    </row>
    <row r="874" spans="2:8">
      <c r="B874" s="5"/>
      <c r="H874" s="16"/>
    </row>
    <row r="875" spans="2:8">
      <c r="B875" s="5"/>
      <c r="H875" s="16"/>
    </row>
    <row r="876" spans="2:8">
      <c r="B876" s="5"/>
      <c r="H876" s="16"/>
    </row>
    <row r="877" spans="2:8">
      <c r="B877" s="5"/>
      <c r="H877" s="16"/>
    </row>
    <row r="878" spans="2:8">
      <c r="B878" s="5"/>
      <c r="H878" s="16"/>
    </row>
    <row r="879" spans="2:8">
      <c r="B879" s="5"/>
      <c r="H879" s="16"/>
    </row>
    <row r="880" spans="2:8">
      <c r="B880" s="5"/>
      <c r="H880" s="16"/>
    </row>
    <row r="881" spans="2:8">
      <c r="B881" s="5"/>
      <c r="H881" s="16"/>
    </row>
    <row r="882" spans="2:8">
      <c r="B882" s="5"/>
      <c r="H882" s="16"/>
    </row>
    <row r="883" spans="2:8">
      <c r="B883" s="5"/>
      <c r="H883" s="16"/>
    </row>
    <row r="884" spans="2:8">
      <c r="B884" s="5"/>
      <c r="H884" s="16"/>
    </row>
    <row r="885" spans="2:8">
      <c r="B885" s="5"/>
      <c r="H885" s="16"/>
    </row>
    <row r="886" spans="2:8">
      <c r="B886" s="5"/>
      <c r="H886" s="16"/>
    </row>
    <row r="887" spans="2:8">
      <c r="B887" s="5"/>
      <c r="H887" s="16"/>
    </row>
    <row r="888" spans="2:8">
      <c r="B888" s="5"/>
      <c r="H888" s="16"/>
    </row>
    <row r="889" spans="2:8">
      <c r="B889" s="5"/>
      <c r="H889" s="16"/>
    </row>
    <row r="890" spans="2:8">
      <c r="B890" s="5"/>
      <c r="H890" s="16"/>
    </row>
    <row r="891" spans="2:8">
      <c r="B891" s="5"/>
      <c r="H891" s="16"/>
    </row>
    <row r="892" spans="2:8">
      <c r="B892" s="5"/>
      <c r="H892" s="16"/>
    </row>
  </sheetData>
  <mergeCells count="27">
    <mergeCell ref="C43:F43"/>
    <mergeCell ref="G43:H43"/>
    <mergeCell ref="A4:H4"/>
    <mergeCell ref="A10:F10"/>
    <mergeCell ref="A17:F17"/>
    <mergeCell ref="A23:F23"/>
    <mergeCell ref="A29:F29"/>
    <mergeCell ref="A35:F35"/>
    <mergeCell ref="A38:F38"/>
    <mergeCell ref="C41:F41"/>
    <mergeCell ref="G41:H41"/>
    <mergeCell ref="C42:F42"/>
    <mergeCell ref="G42:H42"/>
    <mergeCell ref="C44:F44"/>
    <mergeCell ref="G44:H44"/>
    <mergeCell ref="C45:F45"/>
    <mergeCell ref="G45:H45"/>
    <mergeCell ref="C46:F46"/>
    <mergeCell ref="G46:H46"/>
    <mergeCell ref="C50:F50"/>
    <mergeCell ref="G50:H50"/>
    <mergeCell ref="C47:F47"/>
    <mergeCell ref="G47:H47"/>
    <mergeCell ref="C48:F48"/>
    <mergeCell ref="G48:H48"/>
    <mergeCell ref="C49:F49"/>
    <mergeCell ref="G49:H49"/>
  </mergeCells>
  <dataValidations count="1">
    <dataValidation type="list" allowBlank="1" showInputMessage="1" showErrorMessage="1" sqref="B42:B48" xr:uid="{9FC44506-F3FC-425F-A32F-A2325C440445}">
      <formula1>$L$41:$L$45</formula1>
    </dataValidation>
  </dataValidations>
  <pageMargins left="0.7" right="0.7" top="0.75" bottom="0.75" header="0.3" footer="0.3"/>
  <pageSetup scale="57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AD67F-1A52-46FC-8B54-65186B5A5183}">
  <sheetPr>
    <pageSetUpPr fitToPage="1"/>
  </sheetPr>
  <dimension ref="A1:L892"/>
  <sheetViews>
    <sheetView showZeros="0" zoomScale="80" zoomScaleNormal="80" workbookViewId="0">
      <selection activeCell="A10" sqref="A10:F10"/>
    </sheetView>
  </sheetViews>
  <sheetFormatPr defaultColWidth="10.875" defaultRowHeight="18.75"/>
  <cols>
    <col min="1" max="1" width="35.625" customWidth="1"/>
    <col min="2" max="2" width="14.625" style="16" customWidth="1"/>
    <col min="3" max="7" width="15.875" style="5" customWidth="1"/>
    <col min="8" max="8" width="15.875" style="17" customWidth="1"/>
    <col min="9" max="9" width="9" style="5"/>
    <col min="10" max="10" width="10.875" style="5" customWidth="1"/>
    <col min="11" max="12" width="10.875" style="5" hidden="1" customWidth="1"/>
    <col min="13" max="13" width="0" style="5" hidden="1" customWidth="1"/>
    <col min="14" max="16384" width="10.875" style="5"/>
  </cols>
  <sheetData>
    <row r="1" spans="1:10" customFormat="1" ht="15.75">
      <c r="A1" s="41"/>
      <c r="B1" s="42"/>
      <c r="C1" s="43"/>
      <c r="D1" s="43"/>
      <c r="E1" s="45" t="s">
        <v>25</v>
      </c>
      <c r="F1" s="43"/>
      <c r="G1" s="45" t="s">
        <v>26</v>
      </c>
      <c r="H1" s="44"/>
    </row>
    <row r="2" spans="1:10">
      <c r="A2" s="30"/>
      <c r="B2" s="18" t="s">
        <v>27</v>
      </c>
      <c r="C2" s="19" t="s">
        <v>28</v>
      </c>
      <c r="D2" s="19" t="s">
        <v>29</v>
      </c>
      <c r="E2" s="18" t="s">
        <v>30</v>
      </c>
      <c r="F2" s="18" t="s">
        <v>31</v>
      </c>
      <c r="G2" s="18" t="s">
        <v>32</v>
      </c>
      <c r="H2" s="18" t="s">
        <v>33</v>
      </c>
    </row>
    <row r="3" spans="1:10" ht="21" customHeight="1">
      <c r="A3" s="31" t="s">
        <v>7</v>
      </c>
      <c r="B3" s="6">
        <v>45872</v>
      </c>
      <c r="C3" s="6">
        <f>B3+1</f>
        <v>45873</v>
      </c>
      <c r="D3" s="6">
        <f t="shared" ref="D3:H3" si="0">C3+1</f>
        <v>45874</v>
      </c>
      <c r="E3" s="6">
        <f t="shared" si="0"/>
        <v>45875</v>
      </c>
      <c r="F3" s="6">
        <f t="shared" si="0"/>
        <v>45876</v>
      </c>
      <c r="G3" s="6">
        <f t="shared" si="0"/>
        <v>45877</v>
      </c>
      <c r="H3" s="6">
        <f t="shared" si="0"/>
        <v>45878</v>
      </c>
    </row>
    <row r="4" spans="1:10" s="7" customFormat="1">
      <c r="A4" s="181" t="s">
        <v>34</v>
      </c>
      <c r="B4" s="181"/>
      <c r="C4" s="181"/>
      <c r="D4" s="181"/>
      <c r="E4" s="181"/>
      <c r="F4" s="181"/>
      <c r="G4" s="181"/>
      <c r="H4" s="181"/>
    </row>
    <row r="5" spans="1:10" s="7" customFormat="1" ht="26.1" customHeight="1">
      <c r="A5" s="32" t="s">
        <v>8</v>
      </c>
      <c r="B5" s="27"/>
      <c r="C5" s="27"/>
      <c r="D5" s="27"/>
      <c r="E5" s="153"/>
      <c r="F5" s="153"/>
      <c r="G5" s="153"/>
      <c r="H5" s="153"/>
    </row>
    <row r="6" spans="1:10" s="7" customFormat="1" ht="26.1" customHeight="1">
      <c r="A6" s="4" t="s">
        <v>23</v>
      </c>
      <c r="B6" s="62"/>
      <c r="C6" s="62"/>
      <c r="D6" s="62"/>
      <c r="E6" s="154"/>
      <c r="F6" s="154"/>
      <c r="G6" s="154"/>
      <c r="H6" s="154"/>
    </row>
    <row r="7" spans="1:10" s="7" customFormat="1" ht="21.95" customHeight="1">
      <c r="A7" s="32" t="s">
        <v>35</v>
      </c>
      <c r="B7" s="27"/>
      <c r="C7" s="28"/>
      <c r="D7" s="28"/>
      <c r="E7" s="153"/>
      <c r="F7" s="153"/>
      <c r="G7" s="153"/>
      <c r="H7" s="153"/>
    </row>
    <row r="8" spans="1:10" s="7" customFormat="1" ht="24.95" customHeight="1">
      <c r="A8" s="83" t="s">
        <v>36</v>
      </c>
      <c r="B8" s="84">
        <f t="shared" ref="B8:H8" si="1">B5+B6+B7</f>
        <v>0</v>
      </c>
      <c r="C8" s="84">
        <f t="shared" si="1"/>
        <v>0</v>
      </c>
      <c r="D8" s="84">
        <f t="shared" si="1"/>
        <v>0</v>
      </c>
      <c r="E8" s="155">
        <f t="shared" si="1"/>
        <v>0</v>
      </c>
      <c r="F8" s="155">
        <f t="shared" si="1"/>
        <v>0</v>
      </c>
      <c r="G8" s="155">
        <f t="shared" si="1"/>
        <v>0</v>
      </c>
      <c r="H8" s="155">
        <f t="shared" si="1"/>
        <v>0</v>
      </c>
    </row>
    <row r="9" spans="1:10" s="7" customFormat="1" ht="24.95" customHeight="1">
      <c r="A9" s="33"/>
      <c r="B9" s="29"/>
      <c r="C9" s="29"/>
      <c r="D9" s="29"/>
      <c r="E9" s="29"/>
      <c r="F9" s="29"/>
      <c r="G9" s="63" t="s">
        <v>37</v>
      </c>
      <c r="H9" s="64">
        <f>SUM(B8:H8)</f>
        <v>0</v>
      </c>
    </row>
    <row r="10" spans="1:10" s="7" customFormat="1">
      <c r="A10" s="182" t="s">
        <v>38</v>
      </c>
      <c r="B10" s="183"/>
      <c r="C10" s="183"/>
      <c r="D10" s="183"/>
      <c r="E10" s="183"/>
      <c r="F10" s="183"/>
      <c r="G10" s="65" t="s">
        <v>39</v>
      </c>
      <c r="H10" s="66">
        <v>-0.08</v>
      </c>
      <c r="I10" s="5"/>
      <c r="J10" s="26"/>
    </row>
    <row r="11" spans="1:10" s="7" customFormat="1" ht="30" customHeight="1">
      <c r="A11" s="39" t="s">
        <v>8</v>
      </c>
      <c r="B11" s="9"/>
      <c r="C11" s="9"/>
      <c r="D11" s="67"/>
      <c r="E11" s="153"/>
      <c r="F11" s="153"/>
      <c r="G11" s="153"/>
      <c r="H11" s="153"/>
    </row>
    <row r="12" spans="1:10" s="7" customFormat="1" ht="30" customHeight="1">
      <c r="A12" s="70" t="s">
        <v>23</v>
      </c>
      <c r="B12" s="59"/>
      <c r="C12" s="58"/>
      <c r="D12" s="58"/>
      <c r="E12" s="154"/>
      <c r="F12" s="154"/>
      <c r="G12" s="154"/>
      <c r="H12" s="154"/>
    </row>
    <row r="13" spans="1:10" s="7" customFormat="1" ht="30" customHeight="1">
      <c r="A13" s="3" t="s">
        <v>35</v>
      </c>
      <c r="B13" s="8"/>
      <c r="C13" s="8"/>
      <c r="D13" s="8"/>
      <c r="E13" s="153"/>
      <c r="F13" s="153"/>
      <c r="G13" s="153"/>
      <c r="H13" s="153"/>
    </row>
    <row r="14" spans="1:10" s="7" customFormat="1" ht="27" customHeight="1">
      <c r="A14" s="85" t="s">
        <v>36</v>
      </c>
      <c r="B14" s="87">
        <f t="shared" ref="B14:H14" si="2">SUM(B11:B13)</f>
        <v>0</v>
      </c>
      <c r="C14" s="87">
        <f t="shared" si="2"/>
        <v>0</v>
      </c>
      <c r="D14" s="87">
        <f t="shared" si="2"/>
        <v>0</v>
      </c>
      <c r="E14" s="87">
        <f t="shared" si="2"/>
        <v>0</v>
      </c>
      <c r="F14" s="87">
        <f t="shared" si="2"/>
        <v>0</v>
      </c>
      <c r="G14" s="87">
        <f t="shared" si="2"/>
        <v>0</v>
      </c>
      <c r="H14" s="87">
        <f t="shared" si="2"/>
        <v>0</v>
      </c>
    </row>
    <row r="15" spans="1:10" s="7" customFormat="1" ht="24.95" customHeight="1">
      <c r="A15" s="86" t="s">
        <v>40</v>
      </c>
      <c r="B15" s="92" t="e">
        <f t="shared" ref="B15:H15" si="3">(B14-B8)/B8</f>
        <v>#DIV/0!</v>
      </c>
      <c r="C15" s="93" t="e">
        <f t="shared" si="3"/>
        <v>#DIV/0!</v>
      </c>
      <c r="D15" s="93" t="e">
        <f t="shared" si="3"/>
        <v>#DIV/0!</v>
      </c>
      <c r="E15" s="93" t="e">
        <f t="shared" si="3"/>
        <v>#DIV/0!</v>
      </c>
      <c r="F15" s="93" t="e">
        <f t="shared" si="3"/>
        <v>#DIV/0!</v>
      </c>
      <c r="G15" s="93" t="e">
        <f t="shared" si="3"/>
        <v>#DIV/0!</v>
      </c>
      <c r="H15" s="94" t="e">
        <f t="shared" si="3"/>
        <v>#DIV/0!</v>
      </c>
      <c r="I15" s="71"/>
    </row>
    <row r="16" spans="1:10" ht="24" customHeight="1">
      <c r="B16" s="88"/>
      <c r="C16" s="88"/>
      <c r="D16" s="88"/>
      <c r="E16" s="88"/>
      <c r="F16" s="89"/>
      <c r="G16" s="90" t="s">
        <v>37</v>
      </c>
      <c r="H16" s="91">
        <f>SUM(B14:H14)</f>
        <v>0</v>
      </c>
    </row>
    <row r="17" spans="1:8" s="7" customFormat="1">
      <c r="A17" s="184" t="s">
        <v>41</v>
      </c>
      <c r="B17" s="185"/>
      <c r="C17" s="185"/>
      <c r="D17" s="185"/>
      <c r="E17" s="185"/>
      <c r="F17" s="185"/>
      <c r="G17" s="72" t="s">
        <v>42</v>
      </c>
      <c r="H17" s="66" t="e">
        <f>(H16-H9)/H9</f>
        <v>#DIV/0!</v>
      </c>
    </row>
    <row r="18" spans="1:8" s="7" customFormat="1" ht="30" customHeight="1">
      <c r="A18" s="35" t="s">
        <v>43</v>
      </c>
      <c r="B18" s="12"/>
      <c r="C18" s="12"/>
      <c r="D18" s="73"/>
      <c r="E18" s="73"/>
      <c r="F18" s="12"/>
      <c r="G18" s="24"/>
      <c r="H18" s="74"/>
    </row>
    <row r="19" spans="1:8" s="7" customFormat="1" ht="30" customHeight="1">
      <c r="A19" s="35" t="str">
        <f>'OPENING WEEK 1'!A19</f>
        <v>Non Meal Plan Meals</v>
      </c>
      <c r="B19" s="12"/>
      <c r="C19" s="12"/>
      <c r="D19" s="73"/>
      <c r="E19" s="73"/>
      <c r="F19" s="12"/>
      <c r="G19" s="24"/>
      <c r="H19" s="74"/>
    </row>
    <row r="20" spans="1:8" s="7" customFormat="1" ht="30" customHeight="1">
      <c r="A20" s="35" t="s">
        <v>44</v>
      </c>
      <c r="B20" s="95"/>
      <c r="C20" s="95"/>
      <c r="D20" s="67"/>
      <c r="E20" s="67"/>
      <c r="F20" s="95"/>
      <c r="G20" s="95"/>
      <c r="H20" s="75"/>
    </row>
    <row r="21" spans="1:8" s="7" customFormat="1" ht="24.95" customHeight="1">
      <c r="A21" s="36" t="s">
        <v>45</v>
      </c>
      <c r="B21" s="77">
        <f t="shared" ref="B21:H21" si="4">SUM(B18:B20)</f>
        <v>0</v>
      </c>
      <c r="C21" s="77">
        <f t="shared" si="4"/>
        <v>0</v>
      </c>
      <c r="D21" s="133">
        <f t="shared" si="4"/>
        <v>0</v>
      </c>
      <c r="E21" s="133">
        <f t="shared" si="4"/>
        <v>0</v>
      </c>
      <c r="F21" s="77">
        <f t="shared" si="4"/>
        <v>0</v>
      </c>
      <c r="G21" s="77">
        <f t="shared" si="4"/>
        <v>0</v>
      </c>
      <c r="H21" s="77">
        <f t="shared" si="4"/>
        <v>0</v>
      </c>
    </row>
    <row r="22" spans="1:8" s="7" customFormat="1" ht="24.95" customHeight="1">
      <c r="A22" s="34" t="s">
        <v>40</v>
      </c>
      <c r="B22" s="92" t="e">
        <f>(B21-B5)/B5</f>
        <v>#DIV/0!</v>
      </c>
      <c r="C22" s="93" t="e">
        <f>(C21-C5)/C5</f>
        <v>#DIV/0!</v>
      </c>
      <c r="D22" s="99"/>
      <c r="E22" s="99"/>
      <c r="F22" s="93" t="e">
        <f>(F21-F5)/F5</f>
        <v>#DIV/0!</v>
      </c>
      <c r="G22" s="93" t="e">
        <f>(G21-G5)/G5</f>
        <v>#DIV/0!</v>
      </c>
      <c r="H22" s="94" t="e">
        <f>(H21-H5)/H5</f>
        <v>#DIV/0!</v>
      </c>
    </row>
    <row r="23" spans="1:8" s="7" customFormat="1">
      <c r="A23" s="186" t="s">
        <v>46</v>
      </c>
      <c r="B23" s="187"/>
      <c r="C23" s="187"/>
      <c r="D23" s="187"/>
      <c r="E23" s="187"/>
      <c r="F23" s="188" t="s">
        <v>47</v>
      </c>
      <c r="G23" s="97"/>
      <c r="H23" s="98"/>
    </row>
    <row r="24" spans="1:8" s="7" customFormat="1" ht="30" customHeight="1">
      <c r="A24" s="35" t="s">
        <v>43</v>
      </c>
      <c r="B24" s="11"/>
      <c r="C24" s="12"/>
      <c r="D24" s="12"/>
      <c r="E24" s="12"/>
      <c r="F24" s="12"/>
      <c r="G24" s="12"/>
      <c r="H24" s="11"/>
    </row>
    <row r="25" spans="1:8" s="7" customFormat="1" ht="30" customHeight="1">
      <c r="A25" s="35" t="s">
        <v>48</v>
      </c>
      <c r="B25" s="117"/>
      <c r="C25" s="117"/>
      <c r="D25" s="117"/>
      <c r="E25" s="117"/>
      <c r="F25" s="117"/>
      <c r="G25" s="117"/>
      <c r="H25" s="117"/>
    </row>
    <row r="26" spans="1:8" s="7" customFormat="1" ht="30" customHeight="1">
      <c r="A26" s="35" t="s">
        <v>49</v>
      </c>
      <c r="B26" s="11"/>
      <c r="C26" s="11"/>
      <c r="D26" s="11"/>
      <c r="E26" s="11"/>
      <c r="F26" s="11"/>
      <c r="G26" s="11"/>
      <c r="H26" s="11"/>
    </row>
    <row r="27" spans="1:8" s="7" customFormat="1" ht="27.95" customHeight="1">
      <c r="A27" s="36" t="s">
        <v>50</v>
      </c>
      <c r="B27" s="100">
        <f>SUM(B24:B26)</f>
        <v>0</v>
      </c>
      <c r="C27" s="100">
        <f t="shared" ref="C27:H27" si="5">C24+C25+C26</f>
        <v>0</v>
      </c>
      <c r="D27" s="100">
        <f t="shared" si="5"/>
        <v>0</v>
      </c>
      <c r="E27" s="100">
        <f t="shared" si="5"/>
        <v>0</v>
      </c>
      <c r="F27" s="100">
        <f t="shared" si="5"/>
        <v>0</v>
      </c>
      <c r="G27" s="100">
        <f t="shared" si="5"/>
        <v>0</v>
      </c>
      <c r="H27" s="100">
        <f t="shared" si="5"/>
        <v>0</v>
      </c>
    </row>
    <row r="28" spans="1:8" s="7" customFormat="1" ht="24.95" customHeight="1">
      <c r="A28" s="34" t="s">
        <v>40</v>
      </c>
      <c r="B28" s="92" t="e">
        <f t="shared" ref="B28:H28" si="6">(B27-B6)/B6</f>
        <v>#DIV/0!</v>
      </c>
      <c r="C28" s="93" t="e">
        <f t="shared" si="6"/>
        <v>#DIV/0!</v>
      </c>
      <c r="D28" s="93" t="e">
        <f t="shared" si="6"/>
        <v>#DIV/0!</v>
      </c>
      <c r="E28" s="93" t="e">
        <f t="shared" si="6"/>
        <v>#DIV/0!</v>
      </c>
      <c r="F28" s="93" t="e">
        <f t="shared" si="6"/>
        <v>#DIV/0!</v>
      </c>
      <c r="G28" s="93" t="e">
        <f t="shared" si="6"/>
        <v>#DIV/0!</v>
      </c>
      <c r="H28" s="94" t="e">
        <f t="shared" si="6"/>
        <v>#DIV/0!</v>
      </c>
    </row>
    <row r="29" spans="1:8" s="7" customFormat="1">
      <c r="A29" s="189" t="s">
        <v>51</v>
      </c>
      <c r="B29" s="190"/>
      <c r="C29" s="190"/>
      <c r="D29" s="190"/>
      <c r="E29" s="190"/>
      <c r="F29" s="191" t="s">
        <v>35</v>
      </c>
      <c r="G29" s="101"/>
      <c r="H29" s="102"/>
    </row>
    <row r="30" spans="1:8" s="7" customFormat="1" ht="30" customHeight="1">
      <c r="A30" s="35" t="s">
        <v>43</v>
      </c>
      <c r="B30" s="10"/>
      <c r="C30" s="9"/>
      <c r="D30" s="9"/>
      <c r="E30" s="9"/>
      <c r="F30" s="9"/>
      <c r="G30" s="9"/>
      <c r="H30" s="10"/>
    </row>
    <row r="31" spans="1:8" s="7" customFormat="1" ht="30" customHeight="1">
      <c r="A31" s="35" t="s">
        <v>52</v>
      </c>
      <c r="B31" s="60"/>
      <c r="C31" s="60"/>
      <c r="D31" s="60"/>
      <c r="E31" s="60"/>
      <c r="F31" s="60"/>
      <c r="G31" s="60"/>
      <c r="H31" s="60"/>
    </row>
    <row r="32" spans="1:8" s="7" customFormat="1" ht="30" customHeight="1">
      <c r="A32" s="35" t="s">
        <v>44</v>
      </c>
      <c r="B32" s="10"/>
      <c r="C32" s="10"/>
      <c r="D32" s="10"/>
      <c r="E32" s="10"/>
      <c r="F32" s="10"/>
      <c r="G32" s="10"/>
      <c r="H32" s="10"/>
    </row>
    <row r="33" spans="1:12" s="7" customFormat="1" ht="30.95" customHeight="1">
      <c r="A33" s="36" t="s">
        <v>53</v>
      </c>
      <c r="B33" s="103">
        <f t="shared" ref="B33:H33" si="7">SUM(B30:B32)</f>
        <v>0</v>
      </c>
      <c r="C33" s="103">
        <f t="shared" si="7"/>
        <v>0</v>
      </c>
      <c r="D33" s="103">
        <f t="shared" si="7"/>
        <v>0</v>
      </c>
      <c r="E33" s="103">
        <f t="shared" si="7"/>
        <v>0</v>
      </c>
      <c r="F33" s="103">
        <f t="shared" si="7"/>
        <v>0</v>
      </c>
      <c r="G33" s="103">
        <f t="shared" si="7"/>
        <v>0</v>
      </c>
      <c r="H33" s="103">
        <f t="shared" si="7"/>
        <v>0</v>
      </c>
    </row>
    <row r="34" spans="1:12" s="7" customFormat="1" ht="24.95" customHeight="1">
      <c r="A34" s="34" t="s">
        <v>40</v>
      </c>
      <c r="B34" s="92" t="e">
        <f t="shared" ref="B34:H34" si="8">(B33-B7)/B7</f>
        <v>#DIV/0!</v>
      </c>
      <c r="C34" s="93" t="e">
        <f t="shared" si="8"/>
        <v>#DIV/0!</v>
      </c>
      <c r="D34" s="93" t="e">
        <f t="shared" si="8"/>
        <v>#DIV/0!</v>
      </c>
      <c r="E34" s="93" t="e">
        <f t="shared" si="8"/>
        <v>#DIV/0!</v>
      </c>
      <c r="F34" s="93" t="e">
        <f t="shared" si="8"/>
        <v>#DIV/0!</v>
      </c>
      <c r="G34" s="93" t="e">
        <f t="shared" si="8"/>
        <v>#DIV/0!</v>
      </c>
      <c r="H34" s="94" t="e">
        <f t="shared" si="8"/>
        <v>#DIV/0!</v>
      </c>
    </row>
    <row r="35" spans="1:12" s="7" customFormat="1">
      <c r="A35" s="192" t="s">
        <v>54</v>
      </c>
      <c r="B35" s="193"/>
      <c r="C35" s="193"/>
      <c r="D35" s="193"/>
      <c r="E35" s="193"/>
      <c r="F35" s="194" t="s">
        <v>35</v>
      </c>
      <c r="G35" s="104"/>
      <c r="H35" s="105"/>
    </row>
    <row r="36" spans="1:12" s="7" customFormat="1" ht="30.95" customHeight="1">
      <c r="A36" s="78" t="s">
        <v>55</v>
      </c>
      <c r="B36" s="77">
        <f t="shared" ref="B36:H36" si="9">B33+B27+B21</f>
        <v>0</v>
      </c>
      <c r="C36" s="77">
        <f t="shared" si="9"/>
        <v>0</v>
      </c>
      <c r="D36" s="77">
        <f t="shared" si="9"/>
        <v>0</v>
      </c>
      <c r="E36" s="77">
        <f t="shared" si="9"/>
        <v>0</v>
      </c>
      <c r="F36" s="77">
        <f t="shared" si="9"/>
        <v>0</v>
      </c>
      <c r="G36" s="77">
        <f t="shared" si="9"/>
        <v>0</v>
      </c>
      <c r="H36" s="77">
        <f t="shared" si="9"/>
        <v>0</v>
      </c>
    </row>
    <row r="37" spans="1:12" s="7" customFormat="1" ht="24.95" customHeight="1">
      <c r="A37" s="34" t="s">
        <v>40</v>
      </c>
      <c r="B37" s="92" t="e">
        <f t="shared" ref="B37:H37" si="10">(B36-B8)/B8</f>
        <v>#DIV/0!</v>
      </c>
      <c r="C37" s="93" t="e">
        <f t="shared" si="10"/>
        <v>#DIV/0!</v>
      </c>
      <c r="D37" s="93" t="e">
        <f t="shared" si="10"/>
        <v>#DIV/0!</v>
      </c>
      <c r="E37" s="93" t="e">
        <f t="shared" si="10"/>
        <v>#DIV/0!</v>
      </c>
      <c r="F37" s="93" t="e">
        <f t="shared" si="10"/>
        <v>#DIV/0!</v>
      </c>
      <c r="G37" s="93" t="e">
        <f t="shared" si="10"/>
        <v>#DIV/0!</v>
      </c>
      <c r="H37" s="94" t="e">
        <f t="shared" si="10"/>
        <v>#DIV/0!</v>
      </c>
    </row>
    <row r="38" spans="1:12" ht="24" customHeight="1">
      <c r="A38" s="195"/>
      <c r="B38" s="196"/>
      <c r="C38" s="196"/>
      <c r="D38" s="196"/>
      <c r="E38" s="196"/>
      <c r="F38" s="196"/>
      <c r="G38" s="106" t="s">
        <v>37</v>
      </c>
      <c r="H38" s="107">
        <f>SUM(B36:H36)</f>
        <v>0</v>
      </c>
    </row>
    <row r="39" spans="1:12" s="7" customFormat="1" ht="24.95" customHeight="1">
      <c r="A39" s="37"/>
      <c r="B39" s="25"/>
      <c r="C39" s="25"/>
      <c r="D39" s="25"/>
      <c r="E39" s="25"/>
      <c r="F39" s="25"/>
      <c r="G39" s="79" t="s">
        <v>40</v>
      </c>
      <c r="H39" s="80" t="e">
        <f>(H38-H9)/H9</f>
        <v>#DIV/0!</v>
      </c>
    </row>
    <row r="40" spans="1:12" s="7" customFormat="1" ht="24.95" customHeight="1">
      <c r="A40" s="37"/>
      <c r="B40" s="25"/>
      <c r="C40" s="25"/>
      <c r="D40" s="25"/>
      <c r="E40" s="25"/>
      <c r="F40" s="25"/>
      <c r="G40" s="81" t="s">
        <v>56</v>
      </c>
      <c r="H40" s="82" t="e">
        <f>(H38-H16)/H16</f>
        <v>#DIV/0!</v>
      </c>
    </row>
    <row r="41" spans="1:12" s="46" customFormat="1" ht="23.1" customHeight="1">
      <c r="A41" s="40"/>
      <c r="B41" s="47" t="s">
        <v>57</v>
      </c>
      <c r="C41" s="197" t="s">
        <v>58</v>
      </c>
      <c r="D41" s="197"/>
      <c r="E41" s="197"/>
      <c r="F41" s="197"/>
      <c r="G41" s="198">
        <v>2020</v>
      </c>
      <c r="H41" s="199"/>
      <c r="L41" s="56" t="s">
        <v>59</v>
      </c>
    </row>
    <row r="42" spans="1:12" ht="40.5" customHeight="1">
      <c r="A42" s="1" t="s">
        <v>60</v>
      </c>
      <c r="B42" s="57" t="s">
        <v>59</v>
      </c>
      <c r="C42" s="180"/>
      <c r="D42" s="180"/>
      <c r="E42" s="180"/>
      <c r="F42" s="180"/>
      <c r="G42" s="178"/>
      <c r="H42" s="179"/>
      <c r="L42" s="7" t="s">
        <v>61</v>
      </c>
    </row>
    <row r="43" spans="1:12" ht="33" customHeight="1">
      <c r="A43" s="1" t="s">
        <v>1</v>
      </c>
      <c r="B43" s="57" t="s">
        <v>59</v>
      </c>
      <c r="C43" s="180"/>
      <c r="D43" s="180"/>
      <c r="E43" s="180"/>
      <c r="F43" s="180"/>
      <c r="G43" s="178"/>
      <c r="H43" s="179"/>
      <c r="L43" s="5" t="s">
        <v>62</v>
      </c>
    </row>
    <row r="44" spans="1:12" ht="30" customHeight="1">
      <c r="A44" s="1" t="s">
        <v>2</v>
      </c>
      <c r="B44" s="57" t="s">
        <v>59</v>
      </c>
      <c r="C44" s="175"/>
      <c r="D44" s="175"/>
      <c r="E44" s="175"/>
      <c r="F44" s="175"/>
      <c r="G44" s="178"/>
      <c r="H44" s="179"/>
      <c r="L44" s="5" t="s">
        <v>63</v>
      </c>
    </row>
    <row r="45" spans="1:12" ht="23.25" customHeight="1">
      <c r="A45" s="1" t="s">
        <v>3</v>
      </c>
      <c r="B45" s="57" t="s">
        <v>59</v>
      </c>
      <c r="C45" s="175"/>
      <c r="D45" s="175"/>
      <c r="E45" s="175"/>
      <c r="F45" s="175"/>
      <c r="G45" s="176"/>
      <c r="H45" s="177"/>
      <c r="L45" s="5" t="s">
        <v>64</v>
      </c>
    </row>
    <row r="46" spans="1:12" ht="24.75" customHeight="1">
      <c r="A46" s="1" t="s">
        <v>4</v>
      </c>
      <c r="B46" s="57" t="s">
        <v>59</v>
      </c>
      <c r="C46" s="175"/>
      <c r="D46" s="175"/>
      <c r="E46" s="175"/>
      <c r="F46" s="175"/>
      <c r="G46" s="178"/>
      <c r="H46" s="179"/>
    </row>
    <row r="47" spans="1:12" ht="30" customHeight="1">
      <c r="A47" s="1" t="s">
        <v>5</v>
      </c>
      <c r="B47" s="57" t="s">
        <v>59</v>
      </c>
      <c r="C47" s="175"/>
      <c r="D47" s="175"/>
      <c r="E47" s="175"/>
      <c r="F47" s="175"/>
      <c r="G47" s="176"/>
      <c r="H47" s="177"/>
    </row>
    <row r="48" spans="1:12" ht="36.75" customHeight="1">
      <c r="A48" s="1" t="s">
        <v>6</v>
      </c>
      <c r="B48" s="57" t="s">
        <v>59</v>
      </c>
      <c r="C48" s="175"/>
      <c r="D48" s="175"/>
      <c r="E48" s="175"/>
      <c r="F48" s="175"/>
      <c r="G48" s="176"/>
      <c r="H48" s="177"/>
    </row>
    <row r="49" spans="1:8" ht="20.25" customHeight="1">
      <c r="A49" s="1"/>
      <c r="B49" s="14"/>
      <c r="C49" s="175"/>
      <c r="D49" s="175"/>
      <c r="E49" s="175"/>
      <c r="F49" s="175"/>
      <c r="G49" s="176"/>
      <c r="H49" s="177"/>
    </row>
    <row r="50" spans="1:8" ht="19.5" customHeight="1">
      <c r="A50" s="2"/>
      <c r="B50" s="14"/>
      <c r="C50" s="175"/>
      <c r="D50" s="175"/>
      <c r="E50" s="175"/>
      <c r="F50" s="175"/>
      <c r="G50" s="176"/>
      <c r="H50" s="177"/>
    </row>
    <row r="51" spans="1:8">
      <c r="A51" s="30"/>
      <c r="B51" s="18" t="s">
        <v>27</v>
      </c>
      <c r="C51" s="18" t="s">
        <v>28</v>
      </c>
      <c r="D51" s="18" t="s">
        <v>65</v>
      </c>
      <c r="E51" s="18" t="s">
        <v>30</v>
      </c>
      <c r="F51" s="18" t="s">
        <v>66</v>
      </c>
      <c r="G51" s="18" t="s">
        <v>32</v>
      </c>
      <c r="H51" s="18" t="s">
        <v>33</v>
      </c>
    </row>
    <row r="52" spans="1:8">
      <c r="A52" s="38" t="s">
        <v>67</v>
      </c>
      <c r="B52" s="108"/>
      <c r="C52" s="109"/>
      <c r="D52" s="20"/>
      <c r="E52" s="20"/>
      <c r="F52" s="20"/>
      <c r="G52" s="20"/>
      <c r="H52" s="15"/>
    </row>
    <row r="53" spans="1:8" customFormat="1" ht="15.75">
      <c r="A53" s="48" t="s">
        <v>68</v>
      </c>
      <c r="B53" s="22"/>
      <c r="C53" s="21"/>
      <c r="D53" s="21"/>
      <c r="E53" s="21"/>
      <c r="F53" s="21"/>
      <c r="G53" s="23" t="s">
        <v>37</v>
      </c>
      <c r="H53" s="23">
        <f>SUM(B52:H52)</f>
        <v>0</v>
      </c>
    </row>
    <row r="54" spans="1:8">
      <c r="A54" s="30"/>
      <c r="B54" s="18" t="s">
        <v>27</v>
      </c>
      <c r="C54" s="18" t="s">
        <v>28</v>
      </c>
      <c r="D54" s="18" t="s">
        <v>65</v>
      </c>
      <c r="E54" s="18" t="s">
        <v>30</v>
      </c>
      <c r="F54" s="18" t="s">
        <v>66</v>
      </c>
      <c r="G54" s="18" t="s">
        <v>32</v>
      </c>
      <c r="H54" s="18" t="s">
        <v>33</v>
      </c>
    </row>
    <row r="55" spans="1:8">
      <c r="A55" s="38" t="s">
        <v>69</v>
      </c>
      <c r="B55" s="51"/>
      <c r="C55" s="52"/>
      <c r="D55" s="52"/>
      <c r="E55" s="52"/>
      <c r="F55" s="52"/>
      <c r="G55" s="20"/>
      <c r="H55" s="15"/>
    </row>
    <row r="56" spans="1:8" customFormat="1" ht="15.75">
      <c r="A56" s="49" t="s">
        <v>70</v>
      </c>
      <c r="B56" s="53"/>
      <c r="C56" s="53" t="s">
        <v>71</v>
      </c>
      <c r="D56" s="54"/>
      <c r="E56" s="54"/>
      <c r="F56" s="55"/>
      <c r="G56" s="50" t="s">
        <v>37</v>
      </c>
      <c r="H56" s="23"/>
    </row>
    <row r="57" spans="1:8">
      <c r="H57" s="16"/>
    </row>
    <row r="58" spans="1:8">
      <c r="H58" s="16"/>
    </row>
    <row r="59" spans="1:8">
      <c r="H59" s="16"/>
    </row>
    <row r="60" spans="1:8">
      <c r="H60" s="16"/>
    </row>
    <row r="61" spans="1:8">
      <c r="H61" s="16"/>
    </row>
    <row r="62" spans="1:8">
      <c r="H62" s="16"/>
    </row>
    <row r="63" spans="1:8">
      <c r="H63" s="16"/>
    </row>
    <row r="64" spans="1:8">
      <c r="B64" s="5"/>
      <c r="H64" s="16"/>
    </row>
    <row r="65" spans="2:8">
      <c r="B65" s="5"/>
      <c r="H65" s="16"/>
    </row>
    <row r="66" spans="2:8">
      <c r="B66" s="5"/>
      <c r="H66" s="16"/>
    </row>
    <row r="67" spans="2:8">
      <c r="B67" s="5"/>
      <c r="H67" s="16"/>
    </row>
    <row r="68" spans="2:8">
      <c r="B68" s="5"/>
      <c r="H68" s="16"/>
    </row>
    <row r="69" spans="2:8">
      <c r="B69" s="5"/>
      <c r="H69" s="16"/>
    </row>
    <row r="70" spans="2:8">
      <c r="B70" s="5"/>
      <c r="H70" s="16"/>
    </row>
    <row r="71" spans="2:8">
      <c r="B71" s="5"/>
      <c r="H71" s="16"/>
    </row>
    <row r="72" spans="2:8">
      <c r="B72" s="5"/>
      <c r="H72" s="16"/>
    </row>
    <row r="73" spans="2:8">
      <c r="B73" s="5"/>
      <c r="H73" s="16"/>
    </row>
    <row r="74" spans="2:8">
      <c r="B74" s="5"/>
      <c r="H74" s="16"/>
    </row>
    <row r="75" spans="2:8">
      <c r="B75" s="5"/>
      <c r="H75" s="16"/>
    </row>
    <row r="76" spans="2:8">
      <c r="B76" s="5"/>
      <c r="H76" s="16"/>
    </row>
    <row r="77" spans="2:8">
      <c r="B77" s="5"/>
      <c r="H77" s="16"/>
    </row>
    <row r="78" spans="2:8">
      <c r="B78" s="5"/>
      <c r="H78" s="16"/>
    </row>
    <row r="79" spans="2:8">
      <c r="B79" s="5"/>
      <c r="H79" s="16"/>
    </row>
    <row r="80" spans="2:8">
      <c r="B80" s="5"/>
      <c r="H80" s="16"/>
    </row>
    <row r="81" spans="2:8">
      <c r="B81" s="5"/>
      <c r="H81" s="16"/>
    </row>
    <row r="82" spans="2:8">
      <c r="B82" s="5"/>
      <c r="H82" s="16"/>
    </row>
    <row r="83" spans="2:8">
      <c r="B83" s="5"/>
      <c r="H83" s="16"/>
    </row>
    <row r="84" spans="2:8">
      <c r="B84" s="5"/>
      <c r="H84" s="16"/>
    </row>
    <row r="85" spans="2:8">
      <c r="B85" s="5"/>
      <c r="H85" s="16"/>
    </row>
    <row r="86" spans="2:8">
      <c r="B86" s="5"/>
      <c r="H86" s="16"/>
    </row>
    <row r="87" spans="2:8">
      <c r="B87" s="5"/>
      <c r="H87" s="16"/>
    </row>
    <row r="88" spans="2:8">
      <c r="B88" s="5"/>
      <c r="H88" s="16"/>
    </row>
    <row r="89" spans="2:8">
      <c r="B89" s="5"/>
      <c r="H89" s="16"/>
    </row>
    <row r="90" spans="2:8">
      <c r="B90" s="5"/>
      <c r="H90" s="16"/>
    </row>
    <row r="91" spans="2:8">
      <c r="B91" s="5"/>
      <c r="H91" s="16"/>
    </row>
    <row r="92" spans="2:8">
      <c r="B92" s="5"/>
      <c r="H92" s="16"/>
    </row>
    <row r="93" spans="2:8">
      <c r="B93" s="5"/>
      <c r="H93" s="16"/>
    </row>
    <row r="94" spans="2:8">
      <c r="B94" s="5"/>
      <c r="H94" s="16"/>
    </row>
    <row r="95" spans="2:8">
      <c r="B95" s="5"/>
      <c r="H95" s="16"/>
    </row>
    <row r="96" spans="2:8">
      <c r="B96" s="5"/>
      <c r="H96" s="16"/>
    </row>
    <row r="97" spans="2:8">
      <c r="B97" s="5"/>
      <c r="H97" s="16"/>
    </row>
    <row r="98" spans="2:8">
      <c r="B98" s="5"/>
      <c r="H98" s="16"/>
    </row>
    <row r="99" spans="2:8">
      <c r="B99" s="5"/>
      <c r="H99" s="16"/>
    </row>
    <row r="100" spans="2:8">
      <c r="B100" s="5"/>
      <c r="H100" s="16"/>
    </row>
    <row r="101" spans="2:8">
      <c r="B101" s="5"/>
      <c r="H101" s="16"/>
    </row>
    <row r="102" spans="2:8">
      <c r="B102" s="5"/>
      <c r="H102" s="16"/>
    </row>
    <row r="103" spans="2:8">
      <c r="B103" s="5"/>
      <c r="H103" s="16"/>
    </row>
    <row r="104" spans="2:8">
      <c r="B104" s="5"/>
      <c r="H104" s="16"/>
    </row>
    <row r="105" spans="2:8">
      <c r="B105" s="5"/>
      <c r="H105" s="16"/>
    </row>
    <row r="106" spans="2:8">
      <c r="B106" s="5"/>
      <c r="H106" s="16"/>
    </row>
    <row r="107" spans="2:8">
      <c r="B107" s="5"/>
      <c r="H107" s="16"/>
    </row>
    <row r="108" spans="2:8">
      <c r="B108" s="5"/>
      <c r="H108" s="16"/>
    </row>
    <row r="109" spans="2:8">
      <c r="B109" s="5"/>
      <c r="H109" s="16"/>
    </row>
    <row r="110" spans="2:8">
      <c r="B110" s="5"/>
      <c r="H110" s="16"/>
    </row>
    <row r="111" spans="2:8">
      <c r="B111" s="5"/>
      <c r="H111" s="16"/>
    </row>
    <row r="112" spans="2:8">
      <c r="B112" s="5"/>
      <c r="H112" s="16"/>
    </row>
    <row r="113" spans="2:8">
      <c r="B113" s="5"/>
      <c r="H113" s="16"/>
    </row>
    <row r="114" spans="2:8">
      <c r="B114" s="5"/>
      <c r="H114" s="16"/>
    </row>
    <row r="115" spans="2:8">
      <c r="B115" s="5"/>
      <c r="H115" s="16"/>
    </row>
    <row r="116" spans="2:8">
      <c r="B116" s="5"/>
      <c r="H116" s="16"/>
    </row>
    <row r="117" spans="2:8">
      <c r="B117" s="5"/>
      <c r="H117" s="16"/>
    </row>
    <row r="118" spans="2:8">
      <c r="B118" s="5"/>
      <c r="H118" s="16"/>
    </row>
    <row r="119" spans="2:8">
      <c r="B119" s="5"/>
      <c r="H119" s="16"/>
    </row>
    <row r="120" spans="2:8">
      <c r="B120" s="5"/>
      <c r="H120" s="16"/>
    </row>
    <row r="121" spans="2:8">
      <c r="B121" s="5"/>
      <c r="H121" s="16"/>
    </row>
    <row r="122" spans="2:8">
      <c r="B122" s="5"/>
      <c r="H122" s="16"/>
    </row>
    <row r="123" spans="2:8">
      <c r="B123" s="5"/>
      <c r="H123" s="16"/>
    </row>
    <row r="124" spans="2:8">
      <c r="B124" s="5"/>
      <c r="H124" s="16"/>
    </row>
    <row r="125" spans="2:8">
      <c r="B125" s="5"/>
      <c r="H125" s="16"/>
    </row>
    <row r="126" spans="2:8">
      <c r="B126" s="5"/>
      <c r="H126" s="16"/>
    </row>
    <row r="127" spans="2:8">
      <c r="B127" s="5"/>
      <c r="H127" s="16"/>
    </row>
    <row r="128" spans="2:8">
      <c r="B128" s="5"/>
      <c r="H128" s="16"/>
    </row>
    <row r="129" spans="2:8">
      <c r="B129" s="5"/>
      <c r="H129" s="16"/>
    </row>
    <row r="130" spans="2:8">
      <c r="B130" s="5"/>
      <c r="H130" s="16"/>
    </row>
    <row r="131" spans="2:8">
      <c r="B131" s="5"/>
      <c r="H131" s="16"/>
    </row>
    <row r="132" spans="2:8">
      <c r="B132" s="5"/>
      <c r="H132" s="16"/>
    </row>
    <row r="133" spans="2:8">
      <c r="B133" s="5"/>
      <c r="H133" s="16"/>
    </row>
    <row r="134" spans="2:8">
      <c r="B134" s="5"/>
      <c r="H134" s="16"/>
    </row>
    <row r="135" spans="2:8">
      <c r="B135" s="5"/>
      <c r="H135" s="16"/>
    </row>
    <row r="136" spans="2:8">
      <c r="B136" s="5"/>
      <c r="H136" s="16"/>
    </row>
    <row r="137" spans="2:8">
      <c r="B137" s="5"/>
      <c r="H137" s="16"/>
    </row>
    <row r="138" spans="2:8">
      <c r="B138" s="5"/>
      <c r="H138" s="16"/>
    </row>
    <row r="139" spans="2:8">
      <c r="B139" s="5"/>
      <c r="H139" s="16"/>
    </row>
    <row r="140" spans="2:8">
      <c r="B140" s="5"/>
      <c r="H140" s="16"/>
    </row>
    <row r="141" spans="2:8">
      <c r="B141" s="5"/>
      <c r="H141" s="16"/>
    </row>
    <row r="142" spans="2:8">
      <c r="B142" s="5"/>
      <c r="H142" s="16"/>
    </row>
    <row r="143" spans="2:8">
      <c r="B143" s="5"/>
      <c r="H143" s="16"/>
    </row>
    <row r="144" spans="2:8">
      <c r="B144" s="5"/>
      <c r="H144" s="16"/>
    </row>
    <row r="145" spans="2:8">
      <c r="B145" s="5"/>
      <c r="H145" s="16"/>
    </row>
    <row r="146" spans="2:8">
      <c r="B146" s="5"/>
      <c r="H146" s="16"/>
    </row>
    <row r="147" spans="2:8">
      <c r="B147" s="5"/>
      <c r="H147" s="16"/>
    </row>
    <row r="148" spans="2:8">
      <c r="B148" s="5"/>
      <c r="H148" s="16"/>
    </row>
    <row r="149" spans="2:8">
      <c r="B149" s="5"/>
      <c r="H149" s="16"/>
    </row>
    <row r="150" spans="2:8">
      <c r="B150" s="5"/>
      <c r="H150" s="16"/>
    </row>
    <row r="151" spans="2:8">
      <c r="B151" s="5"/>
      <c r="H151" s="16"/>
    </row>
    <row r="152" spans="2:8">
      <c r="B152" s="5"/>
      <c r="H152" s="16"/>
    </row>
    <row r="153" spans="2:8">
      <c r="B153" s="5"/>
      <c r="H153" s="16"/>
    </row>
    <row r="154" spans="2:8">
      <c r="B154" s="5"/>
      <c r="H154" s="16"/>
    </row>
    <row r="155" spans="2:8">
      <c r="B155" s="5"/>
      <c r="H155" s="16"/>
    </row>
    <row r="156" spans="2:8">
      <c r="B156" s="5"/>
      <c r="H156" s="16"/>
    </row>
    <row r="157" spans="2:8">
      <c r="B157" s="5"/>
      <c r="H157" s="16"/>
    </row>
    <row r="158" spans="2:8">
      <c r="B158" s="5"/>
      <c r="H158" s="16"/>
    </row>
    <row r="159" spans="2:8">
      <c r="B159" s="5"/>
      <c r="H159" s="16"/>
    </row>
    <row r="160" spans="2:8">
      <c r="B160" s="5"/>
      <c r="H160" s="16"/>
    </row>
    <row r="161" spans="2:8">
      <c r="B161" s="5"/>
      <c r="H161" s="16"/>
    </row>
    <row r="162" spans="2:8">
      <c r="B162" s="5"/>
      <c r="H162" s="16"/>
    </row>
    <row r="163" spans="2:8">
      <c r="B163" s="5"/>
      <c r="H163" s="16"/>
    </row>
    <row r="164" spans="2:8">
      <c r="B164" s="5"/>
      <c r="H164" s="16"/>
    </row>
    <row r="165" spans="2:8">
      <c r="B165" s="5"/>
      <c r="H165" s="16"/>
    </row>
    <row r="166" spans="2:8">
      <c r="B166" s="5"/>
      <c r="H166" s="16"/>
    </row>
    <row r="167" spans="2:8">
      <c r="B167" s="5"/>
      <c r="H167" s="16"/>
    </row>
    <row r="168" spans="2:8">
      <c r="B168" s="5"/>
      <c r="H168" s="16"/>
    </row>
    <row r="169" spans="2:8">
      <c r="B169" s="5"/>
      <c r="H169" s="16"/>
    </row>
    <row r="170" spans="2:8">
      <c r="B170" s="5"/>
      <c r="H170" s="16"/>
    </row>
    <row r="171" spans="2:8">
      <c r="B171" s="5"/>
      <c r="H171" s="16"/>
    </row>
    <row r="172" spans="2:8">
      <c r="B172" s="5"/>
      <c r="H172" s="16"/>
    </row>
    <row r="173" spans="2:8">
      <c r="B173" s="5"/>
      <c r="H173" s="16"/>
    </row>
    <row r="174" spans="2:8">
      <c r="B174" s="5"/>
      <c r="H174" s="16"/>
    </row>
    <row r="175" spans="2:8">
      <c r="B175" s="5"/>
      <c r="H175" s="16"/>
    </row>
    <row r="176" spans="2:8">
      <c r="B176" s="5"/>
      <c r="H176" s="16"/>
    </row>
    <row r="177" spans="2:8">
      <c r="B177" s="5"/>
      <c r="H177" s="16"/>
    </row>
    <row r="178" spans="2:8">
      <c r="B178" s="5"/>
      <c r="H178" s="16"/>
    </row>
    <row r="179" spans="2:8">
      <c r="B179" s="5"/>
      <c r="H179" s="16"/>
    </row>
    <row r="180" spans="2:8">
      <c r="B180" s="5"/>
      <c r="H180" s="16"/>
    </row>
    <row r="181" spans="2:8">
      <c r="B181" s="5"/>
      <c r="H181" s="16"/>
    </row>
    <row r="182" spans="2:8">
      <c r="B182" s="5"/>
      <c r="H182" s="16"/>
    </row>
    <row r="183" spans="2:8">
      <c r="B183" s="5"/>
      <c r="H183" s="16"/>
    </row>
    <row r="184" spans="2:8">
      <c r="B184" s="5"/>
      <c r="H184" s="16"/>
    </row>
    <row r="185" spans="2:8">
      <c r="B185" s="5"/>
      <c r="H185" s="16"/>
    </row>
    <row r="186" spans="2:8">
      <c r="B186" s="5"/>
      <c r="H186" s="16"/>
    </row>
    <row r="187" spans="2:8">
      <c r="B187" s="5"/>
      <c r="H187" s="16"/>
    </row>
    <row r="188" spans="2:8">
      <c r="B188" s="5"/>
      <c r="H188" s="16"/>
    </row>
    <row r="189" spans="2:8">
      <c r="B189" s="5"/>
      <c r="H189" s="16"/>
    </row>
    <row r="190" spans="2:8">
      <c r="B190" s="5"/>
      <c r="H190" s="16"/>
    </row>
    <row r="191" spans="2:8">
      <c r="B191" s="5"/>
      <c r="H191" s="16"/>
    </row>
    <row r="192" spans="2:8">
      <c r="B192" s="5"/>
      <c r="H192" s="16"/>
    </row>
    <row r="193" spans="2:8">
      <c r="B193" s="5"/>
      <c r="H193" s="16"/>
    </row>
    <row r="194" spans="2:8">
      <c r="B194" s="5"/>
      <c r="H194" s="16"/>
    </row>
    <row r="195" spans="2:8">
      <c r="B195" s="5"/>
      <c r="H195" s="16"/>
    </row>
    <row r="196" spans="2:8">
      <c r="B196" s="5"/>
      <c r="H196" s="16"/>
    </row>
    <row r="197" spans="2:8">
      <c r="B197" s="5"/>
      <c r="H197" s="16"/>
    </row>
    <row r="198" spans="2:8">
      <c r="B198" s="5"/>
      <c r="H198" s="16"/>
    </row>
    <row r="199" spans="2:8">
      <c r="B199" s="5"/>
      <c r="H199" s="16"/>
    </row>
    <row r="200" spans="2:8">
      <c r="B200" s="5"/>
      <c r="H200" s="16"/>
    </row>
    <row r="201" spans="2:8">
      <c r="B201" s="5"/>
      <c r="H201" s="16"/>
    </row>
    <row r="202" spans="2:8">
      <c r="B202" s="5"/>
      <c r="H202" s="16"/>
    </row>
    <row r="203" spans="2:8">
      <c r="B203" s="5"/>
      <c r="H203" s="16"/>
    </row>
    <row r="204" spans="2:8">
      <c r="B204" s="5"/>
      <c r="H204" s="16"/>
    </row>
    <row r="205" spans="2:8">
      <c r="B205" s="5"/>
      <c r="H205" s="16"/>
    </row>
    <row r="206" spans="2:8">
      <c r="B206" s="5"/>
      <c r="H206" s="16"/>
    </row>
    <row r="207" spans="2:8">
      <c r="B207" s="5"/>
      <c r="H207" s="16"/>
    </row>
    <row r="208" spans="2:8">
      <c r="B208" s="5"/>
      <c r="H208" s="16"/>
    </row>
    <row r="209" spans="2:8">
      <c r="B209" s="5"/>
      <c r="H209" s="16"/>
    </row>
    <row r="210" spans="2:8">
      <c r="B210" s="5"/>
      <c r="H210" s="16"/>
    </row>
    <row r="211" spans="2:8">
      <c r="B211" s="5"/>
      <c r="H211" s="16"/>
    </row>
    <row r="212" spans="2:8">
      <c r="B212" s="5"/>
      <c r="H212" s="16"/>
    </row>
    <row r="213" spans="2:8">
      <c r="B213" s="5"/>
      <c r="H213" s="16"/>
    </row>
    <row r="214" spans="2:8">
      <c r="B214" s="5"/>
      <c r="H214" s="16"/>
    </row>
    <row r="215" spans="2:8">
      <c r="B215" s="5"/>
      <c r="H215" s="16"/>
    </row>
    <row r="216" spans="2:8">
      <c r="B216" s="5"/>
      <c r="H216" s="16"/>
    </row>
    <row r="217" spans="2:8">
      <c r="B217" s="5"/>
      <c r="H217" s="16"/>
    </row>
    <row r="218" spans="2:8">
      <c r="B218" s="5"/>
      <c r="H218" s="16"/>
    </row>
    <row r="219" spans="2:8">
      <c r="B219" s="5"/>
      <c r="H219" s="16"/>
    </row>
    <row r="220" spans="2:8">
      <c r="B220" s="5"/>
      <c r="H220" s="16"/>
    </row>
    <row r="221" spans="2:8">
      <c r="B221" s="5"/>
      <c r="H221" s="16"/>
    </row>
    <row r="222" spans="2:8">
      <c r="B222" s="5"/>
      <c r="H222" s="16"/>
    </row>
    <row r="223" spans="2:8">
      <c r="B223" s="5"/>
      <c r="H223" s="16"/>
    </row>
    <row r="224" spans="2:8">
      <c r="B224" s="5"/>
      <c r="H224" s="16"/>
    </row>
    <row r="225" spans="2:8">
      <c r="B225" s="5"/>
      <c r="H225" s="16"/>
    </row>
    <row r="226" spans="2:8">
      <c r="B226" s="5"/>
      <c r="H226" s="16"/>
    </row>
    <row r="227" spans="2:8">
      <c r="B227" s="5"/>
      <c r="H227" s="16"/>
    </row>
    <row r="228" spans="2:8">
      <c r="B228" s="5"/>
      <c r="H228" s="16"/>
    </row>
    <row r="229" spans="2:8">
      <c r="B229" s="5"/>
      <c r="H229" s="16"/>
    </row>
    <row r="230" spans="2:8">
      <c r="B230" s="5"/>
      <c r="H230" s="16"/>
    </row>
    <row r="231" spans="2:8">
      <c r="B231" s="5"/>
      <c r="H231" s="16"/>
    </row>
    <row r="232" spans="2:8">
      <c r="B232" s="5"/>
      <c r="H232" s="16"/>
    </row>
    <row r="233" spans="2:8">
      <c r="B233" s="5"/>
      <c r="H233" s="16"/>
    </row>
    <row r="234" spans="2:8">
      <c r="B234" s="5"/>
      <c r="H234" s="16"/>
    </row>
    <row r="235" spans="2:8">
      <c r="B235" s="5"/>
      <c r="H235" s="16"/>
    </row>
    <row r="236" spans="2:8">
      <c r="B236" s="5"/>
      <c r="H236" s="16"/>
    </row>
    <row r="237" spans="2:8">
      <c r="B237" s="5"/>
      <c r="H237" s="16"/>
    </row>
    <row r="238" spans="2:8">
      <c r="B238" s="5"/>
      <c r="H238" s="16"/>
    </row>
    <row r="239" spans="2:8">
      <c r="B239" s="5"/>
      <c r="H239" s="16"/>
    </row>
    <row r="240" spans="2:8">
      <c r="B240" s="5"/>
      <c r="H240" s="16"/>
    </row>
    <row r="241" spans="2:8">
      <c r="B241" s="5"/>
      <c r="H241" s="16"/>
    </row>
    <row r="242" spans="2:8">
      <c r="B242" s="5"/>
      <c r="H242" s="16"/>
    </row>
    <row r="243" spans="2:8">
      <c r="B243" s="5"/>
      <c r="H243" s="16"/>
    </row>
    <row r="244" spans="2:8">
      <c r="B244" s="5"/>
      <c r="H244" s="16"/>
    </row>
    <row r="245" spans="2:8">
      <c r="B245" s="5"/>
      <c r="H245" s="16"/>
    </row>
    <row r="246" spans="2:8">
      <c r="B246" s="5"/>
      <c r="H246" s="16"/>
    </row>
    <row r="247" spans="2:8">
      <c r="B247" s="5"/>
      <c r="H247" s="16"/>
    </row>
    <row r="248" spans="2:8">
      <c r="B248" s="5"/>
      <c r="H248" s="16"/>
    </row>
    <row r="249" spans="2:8">
      <c r="B249" s="5"/>
      <c r="H249" s="16"/>
    </row>
    <row r="250" spans="2:8">
      <c r="B250" s="5"/>
      <c r="H250" s="16"/>
    </row>
    <row r="251" spans="2:8">
      <c r="B251" s="5"/>
      <c r="H251" s="16"/>
    </row>
    <row r="252" spans="2:8">
      <c r="B252" s="5"/>
      <c r="H252" s="16"/>
    </row>
    <row r="253" spans="2:8">
      <c r="B253" s="5"/>
      <c r="H253" s="16"/>
    </row>
    <row r="254" spans="2:8">
      <c r="B254" s="5"/>
      <c r="H254" s="16"/>
    </row>
    <row r="255" spans="2:8">
      <c r="B255" s="5"/>
      <c r="H255" s="16"/>
    </row>
    <row r="256" spans="2:8">
      <c r="B256" s="5"/>
      <c r="H256" s="16"/>
    </row>
    <row r="257" spans="2:8">
      <c r="B257" s="5"/>
      <c r="H257" s="16"/>
    </row>
    <row r="258" spans="2:8">
      <c r="B258" s="5"/>
      <c r="H258" s="16"/>
    </row>
    <row r="259" spans="2:8">
      <c r="B259" s="5"/>
      <c r="H259" s="16"/>
    </row>
    <row r="260" spans="2:8">
      <c r="B260" s="5"/>
      <c r="H260" s="16"/>
    </row>
    <row r="261" spans="2:8">
      <c r="B261" s="5"/>
      <c r="H261" s="16"/>
    </row>
    <row r="262" spans="2:8">
      <c r="B262" s="5"/>
      <c r="H262" s="16"/>
    </row>
    <row r="263" spans="2:8">
      <c r="B263" s="5"/>
      <c r="H263" s="16"/>
    </row>
    <row r="264" spans="2:8">
      <c r="B264" s="5"/>
      <c r="H264" s="16"/>
    </row>
    <row r="265" spans="2:8">
      <c r="B265" s="5"/>
      <c r="H265" s="16"/>
    </row>
    <row r="266" spans="2:8">
      <c r="B266" s="5"/>
      <c r="H266" s="16"/>
    </row>
    <row r="267" spans="2:8">
      <c r="B267" s="5"/>
      <c r="H267" s="16"/>
    </row>
    <row r="268" spans="2:8">
      <c r="B268" s="5"/>
      <c r="H268" s="16"/>
    </row>
    <row r="269" spans="2:8">
      <c r="B269" s="5"/>
      <c r="H269" s="16"/>
    </row>
    <row r="270" spans="2:8">
      <c r="B270" s="5"/>
      <c r="H270" s="16"/>
    </row>
    <row r="271" spans="2:8">
      <c r="B271" s="5"/>
      <c r="H271" s="16"/>
    </row>
    <row r="272" spans="2:8">
      <c r="B272" s="5"/>
      <c r="H272" s="16"/>
    </row>
    <row r="273" spans="2:8">
      <c r="B273" s="5"/>
      <c r="H273" s="16"/>
    </row>
    <row r="274" spans="2:8">
      <c r="B274" s="5"/>
      <c r="H274" s="16"/>
    </row>
    <row r="275" spans="2:8">
      <c r="B275" s="5"/>
      <c r="H275" s="16"/>
    </row>
    <row r="276" spans="2:8">
      <c r="B276" s="5"/>
      <c r="H276" s="16"/>
    </row>
    <row r="277" spans="2:8">
      <c r="B277" s="5"/>
      <c r="H277" s="16"/>
    </row>
    <row r="278" spans="2:8">
      <c r="B278" s="5"/>
      <c r="H278" s="16"/>
    </row>
    <row r="279" spans="2:8">
      <c r="B279" s="5"/>
      <c r="H279" s="16"/>
    </row>
    <row r="280" spans="2:8">
      <c r="B280" s="5"/>
      <c r="H280" s="16"/>
    </row>
    <row r="281" spans="2:8">
      <c r="B281" s="5"/>
      <c r="H281" s="16"/>
    </row>
    <row r="282" spans="2:8">
      <c r="B282" s="5"/>
      <c r="H282" s="16"/>
    </row>
    <row r="283" spans="2:8">
      <c r="B283" s="5"/>
      <c r="H283" s="16"/>
    </row>
    <row r="284" spans="2:8">
      <c r="B284" s="5"/>
      <c r="H284" s="16"/>
    </row>
    <row r="285" spans="2:8">
      <c r="B285" s="5"/>
      <c r="H285" s="16"/>
    </row>
    <row r="286" spans="2:8">
      <c r="B286" s="5"/>
      <c r="H286" s="16"/>
    </row>
    <row r="287" spans="2:8">
      <c r="B287" s="5"/>
      <c r="H287" s="16"/>
    </row>
    <row r="288" spans="2:8">
      <c r="B288" s="5"/>
      <c r="H288" s="16"/>
    </row>
    <row r="289" spans="2:8">
      <c r="B289" s="5"/>
      <c r="H289" s="16"/>
    </row>
    <row r="290" spans="2:8">
      <c r="B290" s="5"/>
      <c r="H290" s="16"/>
    </row>
    <row r="291" spans="2:8">
      <c r="B291" s="5"/>
      <c r="H291" s="16"/>
    </row>
    <row r="292" spans="2:8">
      <c r="B292" s="5"/>
      <c r="H292" s="16"/>
    </row>
    <row r="293" spans="2:8">
      <c r="B293" s="5"/>
      <c r="H293" s="16"/>
    </row>
    <row r="294" spans="2:8">
      <c r="B294" s="5"/>
      <c r="H294" s="16"/>
    </row>
    <row r="295" spans="2:8">
      <c r="B295" s="5"/>
      <c r="H295" s="16"/>
    </row>
    <row r="296" spans="2:8">
      <c r="B296" s="5"/>
      <c r="H296" s="16"/>
    </row>
    <row r="297" spans="2:8">
      <c r="B297" s="5"/>
      <c r="H297" s="16"/>
    </row>
    <row r="298" spans="2:8">
      <c r="B298" s="5"/>
      <c r="H298" s="16"/>
    </row>
    <row r="299" spans="2:8">
      <c r="B299" s="5"/>
      <c r="H299" s="16"/>
    </row>
    <row r="300" spans="2:8">
      <c r="B300" s="5"/>
      <c r="H300" s="16"/>
    </row>
    <row r="301" spans="2:8">
      <c r="B301" s="5"/>
      <c r="H301" s="16"/>
    </row>
    <row r="302" spans="2:8">
      <c r="B302" s="5"/>
      <c r="H302" s="16"/>
    </row>
    <row r="303" spans="2:8">
      <c r="B303" s="5"/>
      <c r="H303" s="16"/>
    </row>
    <row r="304" spans="2:8">
      <c r="B304" s="5"/>
      <c r="H304" s="16"/>
    </row>
    <row r="305" spans="2:8">
      <c r="B305" s="5"/>
      <c r="H305" s="16"/>
    </row>
    <row r="306" spans="2:8">
      <c r="B306" s="5"/>
      <c r="H306" s="16"/>
    </row>
    <row r="307" spans="2:8">
      <c r="B307" s="5"/>
      <c r="H307" s="16"/>
    </row>
    <row r="308" spans="2:8">
      <c r="B308" s="5"/>
      <c r="H308" s="16"/>
    </row>
    <row r="309" spans="2:8">
      <c r="B309" s="5"/>
      <c r="H309" s="16"/>
    </row>
    <row r="310" spans="2:8">
      <c r="B310" s="5"/>
      <c r="H310" s="16"/>
    </row>
    <row r="311" spans="2:8">
      <c r="B311" s="5"/>
      <c r="H311" s="16"/>
    </row>
    <row r="312" spans="2:8">
      <c r="B312" s="5"/>
      <c r="H312" s="16"/>
    </row>
    <row r="313" spans="2:8">
      <c r="B313" s="5"/>
      <c r="H313" s="16"/>
    </row>
    <row r="314" spans="2:8">
      <c r="B314" s="5"/>
      <c r="H314" s="16"/>
    </row>
    <row r="315" spans="2:8">
      <c r="B315" s="5"/>
      <c r="H315" s="16"/>
    </row>
    <row r="316" spans="2:8">
      <c r="B316" s="5"/>
      <c r="H316" s="16"/>
    </row>
    <row r="317" spans="2:8">
      <c r="B317" s="5"/>
      <c r="H317" s="16"/>
    </row>
    <row r="318" spans="2:8">
      <c r="B318" s="5"/>
      <c r="H318" s="16"/>
    </row>
    <row r="319" spans="2:8">
      <c r="B319" s="5"/>
      <c r="H319" s="16"/>
    </row>
    <row r="320" spans="2:8">
      <c r="B320" s="5"/>
      <c r="H320" s="16"/>
    </row>
    <row r="321" spans="2:8">
      <c r="B321" s="5"/>
      <c r="H321" s="16"/>
    </row>
    <row r="322" spans="2:8">
      <c r="B322" s="5"/>
      <c r="H322" s="16"/>
    </row>
    <row r="323" spans="2:8">
      <c r="B323" s="5"/>
      <c r="H323" s="16"/>
    </row>
    <row r="324" spans="2:8">
      <c r="B324" s="5"/>
      <c r="H324" s="16"/>
    </row>
    <row r="325" spans="2:8">
      <c r="B325" s="5"/>
      <c r="H325" s="16"/>
    </row>
    <row r="326" spans="2:8">
      <c r="B326" s="5"/>
      <c r="H326" s="16"/>
    </row>
    <row r="327" spans="2:8">
      <c r="B327" s="5"/>
      <c r="H327" s="16"/>
    </row>
    <row r="328" spans="2:8">
      <c r="B328" s="5"/>
      <c r="H328" s="16"/>
    </row>
    <row r="329" spans="2:8">
      <c r="B329" s="5"/>
      <c r="H329" s="16"/>
    </row>
    <row r="330" spans="2:8">
      <c r="B330" s="5"/>
      <c r="H330" s="16"/>
    </row>
    <row r="331" spans="2:8">
      <c r="B331" s="5"/>
      <c r="H331" s="16"/>
    </row>
    <row r="332" spans="2:8">
      <c r="B332" s="5"/>
      <c r="H332" s="16"/>
    </row>
    <row r="333" spans="2:8">
      <c r="B333" s="5"/>
      <c r="H333" s="16"/>
    </row>
    <row r="334" spans="2:8">
      <c r="B334" s="5"/>
      <c r="H334" s="16"/>
    </row>
    <row r="335" spans="2:8">
      <c r="B335" s="5"/>
      <c r="H335" s="16"/>
    </row>
    <row r="336" spans="2:8">
      <c r="B336" s="5"/>
      <c r="H336" s="16"/>
    </row>
    <row r="337" spans="2:8">
      <c r="B337" s="5"/>
      <c r="H337" s="16"/>
    </row>
    <row r="338" spans="2:8">
      <c r="B338" s="5"/>
      <c r="H338" s="16"/>
    </row>
    <row r="339" spans="2:8">
      <c r="B339" s="5"/>
      <c r="H339" s="16"/>
    </row>
    <row r="340" spans="2:8">
      <c r="B340" s="5"/>
      <c r="H340" s="16"/>
    </row>
    <row r="341" spans="2:8">
      <c r="B341" s="5"/>
      <c r="H341" s="16"/>
    </row>
    <row r="342" spans="2:8">
      <c r="B342" s="5"/>
      <c r="H342" s="16"/>
    </row>
    <row r="343" spans="2:8">
      <c r="B343" s="5"/>
      <c r="H343" s="16"/>
    </row>
    <row r="344" spans="2:8">
      <c r="B344" s="5"/>
      <c r="H344" s="16"/>
    </row>
    <row r="345" spans="2:8">
      <c r="B345" s="5"/>
      <c r="H345" s="16"/>
    </row>
    <row r="346" spans="2:8">
      <c r="B346" s="5"/>
      <c r="H346" s="16"/>
    </row>
    <row r="347" spans="2:8">
      <c r="B347" s="5"/>
      <c r="H347" s="16"/>
    </row>
    <row r="348" spans="2:8">
      <c r="B348" s="5"/>
      <c r="H348" s="16"/>
    </row>
    <row r="349" spans="2:8">
      <c r="B349" s="5"/>
      <c r="H349" s="16"/>
    </row>
    <row r="350" spans="2:8">
      <c r="B350" s="5"/>
      <c r="H350" s="16"/>
    </row>
    <row r="351" spans="2:8">
      <c r="B351" s="5"/>
      <c r="H351" s="16"/>
    </row>
    <row r="352" spans="2:8">
      <c r="B352" s="5"/>
      <c r="H352" s="16"/>
    </row>
    <row r="353" spans="2:8">
      <c r="B353" s="5"/>
      <c r="H353" s="16"/>
    </row>
    <row r="354" spans="2:8">
      <c r="B354" s="5"/>
      <c r="H354" s="16"/>
    </row>
    <row r="355" spans="2:8">
      <c r="B355" s="5"/>
      <c r="H355" s="16"/>
    </row>
    <row r="356" spans="2:8">
      <c r="B356" s="5"/>
      <c r="H356" s="16"/>
    </row>
    <row r="357" spans="2:8">
      <c r="B357" s="5"/>
      <c r="H357" s="16"/>
    </row>
    <row r="358" spans="2:8">
      <c r="B358" s="5"/>
      <c r="H358" s="16"/>
    </row>
    <row r="359" spans="2:8">
      <c r="B359" s="5"/>
      <c r="H359" s="16"/>
    </row>
    <row r="360" spans="2:8">
      <c r="B360" s="5"/>
      <c r="H360" s="16"/>
    </row>
    <row r="361" spans="2:8">
      <c r="B361" s="5"/>
      <c r="H361" s="16"/>
    </row>
    <row r="362" spans="2:8">
      <c r="B362" s="5"/>
      <c r="H362" s="16"/>
    </row>
    <row r="363" spans="2:8">
      <c r="B363" s="5"/>
      <c r="H363" s="16"/>
    </row>
    <row r="364" spans="2:8">
      <c r="B364" s="5"/>
      <c r="H364" s="16"/>
    </row>
    <row r="365" spans="2:8">
      <c r="B365" s="5"/>
      <c r="H365" s="16"/>
    </row>
    <row r="366" spans="2:8">
      <c r="B366" s="5"/>
      <c r="H366" s="16"/>
    </row>
    <row r="367" spans="2:8">
      <c r="B367" s="5"/>
      <c r="H367" s="16"/>
    </row>
    <row r="368" spans="2:8">
      <c r="B368" s="5"/>
      <c r="H368" s="16"/>
    </row>
    <row r="369" spans="2:8">
      <c r="B369" s="5"/>
      <c r="H369" s="16"/>
    </row>
    <row r="370" spans="2:8">
      <c r="B370" s="5"/>
      <c r="H370" s="16"/>
    </row>
    <row r="371" spans="2:8">
      <c r="B371" s="5"/>
      <c r="H371" s="16"/>
    </row>
    <row r="372" spans="2:8">
      <c r="B372" s="5"/>
      <c r="H372" s="16"/>
    </row>
    <row r="373" spans="2:8">
      <c r="B373" s="5"/>
      <c r="H373" s="16"/>
    </row>
    <row r="374" spans="2:8">
      <c r="B374" s="5"/>
      <c r="H374" s="16"/>
    </row>
    <row r="375" spans="2:8">
      <c r="B375" s="5"/>
      <c r="H375" s="16"/>
    </row>
    <row r="376" spans="2:8">
      <c r="B376" s="5"/>
      <c r="H376" s="16"/>
    </row>
    <row r="377" spans="2:8">
      <c r="B377" s="5"/>
      <c r="H377" s="16"/>
    </row>
    <row r="378" spans="2:8">
      <c r="B378" s="5"/>
      <c r="H378" s="16"/>
    </row>
    <row r="379" spans="2:8">
      <c r="B379" s="5"/>
      <c r="H379" s="16"/>
    </row>
    <row r="380" spans="2:8">
      <c r="B380" s="5"/>
      <c r="H380" s="16"/>
    </row>
    <row r="381" spans="2:8">
      <c r="B381" s="5"/>
      <c r="H381" s="16"/>
    </row>
    <row r="382" spans="2:8">
      <c r="B382" s="5"/>
      <c r="H382" s="16"/>
    </row>
    <row r="383" spans="2:8">
      <c r="B383" s="5"/>
      <c r="H383" s="16"/>
    </row>
    <row r="384" spans="2:8">
      <c r="B384" s="5"/>
      <c r="H384" s="16"/>
    </row>
    <row r="385" spans="2:8">
      <c r="B385" s="5"/>
      <c r="H385" s="16"/>
    </row>
    <row r="386" spans="2:8">
      <c r="B386" s="5"/>
      <c r="H386" s="16"/>
    </row>
    <row r="387" spans="2:8">
      <c r="B387" s="5"/>
      <c r="H387" s="16"/>
    </row>
    <row r="388" spans="2:8">
      <c r="B388" s="5"/>
      <c r="H388" s="16"/>
    </row>
    <row r="389" spans="2:8">
      <c r="B389" s="5"/>
      <c r="H389" s="16"/>
    </row>
    <row r="390" spans="2:8">
      <c r="B390" s="5"/>
      <c r="H390" s="16"/>
    </row>
    <row r="391" spans="2:8">
      <c r="B391" s="5"/>
      <c r="H391" s="16"/>
    </row>
    <row r="392" spans="2:8">
      <c r="B392" s="5"/>
      <c r="H392" s="16"/>
    </row>
    <row r="393" spans="2:8">
      <c r="B393" s="5"/>
      <c r="H393" s="16"/>
    </row>
    <row r="394" spans="2:8">
      <c r="B394" s="5"/>
      <c r="H394" s="16"/>
    </row>
    <row r="395" spans="2:8">
      <c r="B395" s="5"/>
      <c r="H395" s="16"/>
    </row>
    <row r="396" spans="2:8">
      <c r="B396" s="5"/>
      <c r="H396" s="16"/>
    </row>
    <row r="397" spans="2:8">
      <c r="B397" s="5"/>
      <c r="H397" s="16"/>
    </row>
    <row r="398" spans="2:8">
      <c r="B398" s="5"/>
      <c r="H398" s="16"/>
    </row>
    <row r="399" spans="2:8">
      <c r="B399" s="5"/>
      <c r="H399" s="16"/>
    </row>
    <row r="400" spans="2:8">
      <c r="B400" s="5"/>
      <c r="H400" s="16"/>
    </row>
    <row r="401" spans="2:8">
      <c r="B401" s="5"/>
      <c r="H401" s="16"/>
    </row>
    <row r="402" spans="2:8">
      <c r="B402" s="5"/>
      <c r="H402" s="16"/>
    </row>
    <row r="403" spans="2:8">
      <c r="B403" s="5"/>
      <c r="H403" s="16"/>
    </row>
    <row r="404" spans="2:8">
      <c r="B404" s="5"/>
      <c r="H404" s="16"/>
    </row>
    <row r="405" spans="2:8">
      <c r="B405" s="5"/>
      <c r="H405" s="16"/>
    </row>
    <row r="406" spans="2:8">
      <c r="B406" s="5"/>
      <c r="H406" s="16"/>
    </row>
    <row r="407" spans="2:8">
      <c r="B407" s="5"/>
      <c r="H407" s="16"/>
    </row>
    <row r="408" spans="2:8">
      <c r="B408" s="5"/>
      <c r="H408" s="16"/>
    </row>
    <row r="409" spans="2:8">
      <c r="B409" s="5"/>
      <c r="H409" s="16"/>
    </row>
    <row r="410" spans="2:8">
      <c r="B410" s="5"/>
      <c r="H410" s="16"/>
    </row>
    <row r="411" spans="2:8">
      <c r="B411" s="5"/>
      <c r="H411" s="16"/>
    </row>
    <row r="412" spans="2:8">
      <c r="B412" s="5"/>
      <c r="H412" s="16"/>
    </row>
    <row r="413" spans="2:8">
      <c r="B413" s="5"/>
      <c r="H413" s="16"/>
    </row>
    <row r="414" spans="2:8">
      <c r="B414" s="5"/>
      <c r="H414" s="16"/>
    </row>
    <row r="415" spans="2:8">
      <c r="B415" s="5"/>
      <c r="H415" s="16"/>
    </row>
    <row r="416" spans="2:8">
      <c r="B416" s="5"/>
      <c r="H416" s="16"/>
    </row>
    <row r="417" spans="2:8">
      <c r="B417" s="5"/>
      <c r="H417" s="16"/>
    </row>
    <row r="418" spans="2:8">
      <c r="B418" s="5"/>
      <c r="H418" s="16"/>
    </row>
    <row r="419" spans="2:8">
      <c r="B419" s="5"/>
      <c r="H419" s="16"/>
    </row>
    <row r="420" spans="2:8">
      <c r="B420" s="5"/>
      <c r="H420" s="16"/>
    </row>
    <row r="421" spans="2:8">
      <c r="B421" s="5"/>
      <c r="H421" s="16"/>
    </row>
    <row r="422" spans="2:8">
      <c r="B422" s="5"/>
      <c r="H422" s="16"/>
    </row>
    <row r="423" spans="2:8">
      <c r="B423" s="5"/>
      <c r="H423" s="16"/>
    </row>
    <row r="424" spans="2:8">
      <c r="B424" s="5"/>
      <c r="H424" s="16"/>
    </row>
    <row r="425" spans="2:8">
      <c r="B425" s="5"/>
      <c r="H425" s="16"/>
    </row>
    <row r="426" spans="2:8">
      <c r="B426" s="5"/>
      <c r="H426" s="16"/>
    </row>
    <row r="427" spans="2:8">
      <c r="B427" s="5"/>
      <c r="H427" s="16"/>
    </row>
    <row r="428" spans="2:8">
      <c r="B428" s="5"/>
      <c r="H428" s="16"/>
    </row>
    <row r="429" spans="2:8">
      <c r="B429" s="5"/>
      <c r="H429" s="16"/>
    </row>
    <row r="430" spans="2:8">
      <c r="B430" s="5"/>
      <c r="H430" s="16"/>
    </row>
    <row r="431" spans="2:8">
      <c r="B431" s="5"/>
      <c r="H431" s="16"/>
    </row>
    <row r="432" spans="2:8">
      <c r="B432" s="5"/>
      <c r="H432" s="16"/>
    </row>
    <row r="433" spans="2:8">
      <c r="B433" s="5"/>
      <c r="H433" s="16"/>
    </row>
    <row r="434" spans="2:8">
      <c r="B434" s="5"/>
      <c r="H434" s="16"/>
    </row>
    <row r="435" spans="2:8">
      <c r="B435" s="5"/>
      <c r="H435" s="16"/>
    </row>
    <row r="436" spans="2:8">
      <c r="B436" s="5"/>
      <c r="H436" s="16"/>
    </row>
    <row r="437" spans="2:8">
      <c r="B437" s="5"/>
      <c r="H437" s="16"/>
    </row>
    <row r="438" spans="2:8">
      <c r="B438" s="5"/>
      <c r="H438" s="16"/>
    </row>
    <row r="439" spans="2:8">
      <c r="B439" s="5"/>
      <c r="H439" s="16"/>
    </row>
    <row r="440" spans="2:8">
      <c r="B440" s="5"/>
      <c r="H440" s="16"/>
    </row>
    <row r="441" spans="2:8">
      <c r="B441" s="5"/>
      <c r="H441" s="16"/>
    </row>
    <row r="442" spans="2:8">
      <c r="B442" s="5"/>
      <c r="H442" s="16"/>
    </row>
    <row r="443" spans="2:8">
      <c r="B443" s="5"/>
      <c r="H443" s="16"/>
    </row>
    <row r="444" spans="2:8">
      <c r="B444" s="5"/>
      <c r="H444" s="16"/>
    </row>
    <row r="445" spans="2:8">
      <c r="B445" s="5"/>
      <c r="H445" s="16"/>
    </row>
    <row r="446" spans="2:8">
      <c r="B446" s="5"/>
      <c r="H446" s="16"/>
    </row>
    <row r="447" spans="2:8">
      <c r="B447" s="5"/>
      <c r="H447" s="16"/>
    </row>
    <row r="448" spans="2:8">
      <c r="B448" s="5"/>
      <c r="H448" s="16"/>
    </row>
    <row r="449" spans="2:8">
      <c r="B449" s="5"/>
      <c r="H449" s="16"/>
    </row>
    <row r="450" spans="2:8">
      <c r="B450" s="5"/>
      <c r="H450" s="16"/>
    </row>
    <row r="451" spans="2:8">
      <c r="B451" s="5"/>
      <c r="H451" s="16"/>
    </row>
    <row r="452" spans="2:8">
      <c r="B452" s="5"/>
      <c r="H452" s="16"/>
    </row>
    <row r="453" spans="2:8">
      <c r="B453" s="5"/>
      <c r="H453" s="16"/>
    </row>
    <row r="454" spans="2:8">
      <c r="B454" s="5"/>
      <c r="H454" s="16"/>
    </row>
    <row r="455" spans="2:8">
      <c r="B455" s="5"/>
      <c r="H455" s="16"/>
    </row>
    <row r="456" spans="2:8">
      <c r="B456" s="5"/>
      <c r="H456" s="16"/>
    </row>
    <row r="457" spans="2:8">
      <c r="B457" s="5"/>
      <c r="H457" s="16"/>
    </row>
    <row r="458" spans="2:8">
      <c r="B458" s="5"/>
      <c r="H458" s="16"/>
    </row>
    <row r="459" spans="2:8">
      <c r="B459" s="5"/>
      <c r="H459" s="16"/>
    </row>
    <row r="460" spans="2:8">
      <c r="B460" s="5"/>
      <c r="H460" s="16"/>
    </row>
    <row r="461" spans="2:8">
      <c r="B461" s="5"/>
      <c r="H461" s="16"/>
    </row>
    <row r="462" spans="2:8">
      <c r="B462" s="5"/>
      <c r="H462" s="16"/>
    </row>
    <row r="463" spans="2:8">
      <c r="B463" s="5"/>
      <c r="H463" s="16"/>
    </row>
    <row r="464" spans="2:8">
      <c r="B464" s="5"/>
      <c r="H464" s="16"/>
    </row>
    <row r="465" spans="2:8">
      <c r="B465" s="5"/>
      <c r="H465" s="16"/>
    </row>
    <row r="466" spans="2:8">
      <c r="B466" s="5"/>
      <c r="H466" s="16"/>
    </row>
    <row r="467" spans="2:8">
      <c r="B467" s="5"/>
      <c r="H467" s="16"/>
    </row>
    <row r="468" spans="2:8">
      <c r="B468" s="5"/>
      <c r="H468" s="16"/>
    </row>
    <row r="469" spans="2:8">
      <c r="B469" s="5"/>
      <c r="H469" s="16"/>
    </row>
    <row r="470" spans="2:8">
      <c r="B470" s="5"/>
      <c r="H470" s="16"/>
    </row>
    <row r="471" spans="2:8">
      <c r="B471" s="5"/>
      <c r="H471" s="16"/>
    </row>
    <row r="472" spans="2:8">
      <c r="B472" s="5"/>
      <c r="H472" s="16"/>
    </row>
    <row r="473" spans="2:8">
      <c r="B473" s="5"/>
      <c r="H473" s="16"/>
    </row>
    <row r="474" spans="2:8">
      <c r="B474" s="5"/>
      <c r="H474" s="16"/>
    </row>
    <row r="475" spans="2:8">
      <c r="B475" s="5"/>
      <c r="H475" s="16"/>
    </row>
    <row r="476" spans="2:8">
      <c r="B476" s="5"/>
      <c r="H476" s="16"/>
    </row>
    <row r="477" spans="2:8">
      <c r="B477" s="5"/>
      <c r="H477" s="16"/>
    </row>
    <row r="478" spans="2:8">
      <c r="B478" s="5"/>
      <c r="H478" s="16"/>
    </row>
    <row r="479" spans="2:8">
      <c r="B479" s="5"/>
      <c r="H479" s="16"/>
    </row>
    <row r="480" spans="2:8">
      <c r="B480" s="5"/>
      <c r="H480" s="16"/>
    </row>
    <row r="481" spans="2:8">
      <c r="B481" s="5"/>
      <c r="H481" s="16"/>
    </row>
    <row r="482" spans="2:8">
      <c r="B482" s="5"/>
      <c r="H482" s="16"/>
    </row>
    <row r="483" spans="2:8">
      <c r="B483" s="5"/>
      <c r="H483" s="16"/>
    </row>
    <row r="484" spans="2:8">
      <c r="B484" s="5"/>
      <c r="H484" s="16"/>
    </row>
    <row r="485" spans="2:8">
      <c r="B485" s="5"/>
      <c r="H485" s="16"/>
    </row>
    <row r="486" spans="2:8">
      <c r="B486" s="5"/>
      <c r="H486" s="16"/>
    </row>
    <row r="487" spans="2:8">
      <c r="B487" s="5"/>
      <c r="H487" s="16"/>
    </row>
    <row r="488" spans="2:8">
      <c r="B488" s="5"/>
      <c r="H488" s="16"/>
    </row>
    <row r="489" spans="2:8">
      <c r="B489" s="5"/>
      <c r="H489" s="16"/>
    </row>
    <row r="490" spans="2:8">
      <c r="B490" s="5"/>
      <c r="H490" s="16"/>
    </row>
    <row r="491" spans="2:8">
      <c r="B491" s="5"/>
      <c r="H491" s="16"/>
    </row>
    <row r="492" spans="2:8">
      <c r="B492" s="5"/>
      <c r="H492" s="16"/>
    </row>
    <row r="493" spans="2:8">
      <c r="B493" s="5"/>
      <c r="H493" s="16"/>
    </row>
    <row r="494" spans="2:8">
      <c r="B494" s="5"/>
      <c r="H494" s="16"/>
    </row>
    <row r="495" spans="2:8">
      <c r="B495" s="5"/>
      <c r="H495" s="16"/>
    </row>
    <row r="496" spans="2:8">
      <c r="B496" s="5"/>
      <c r="H496" s="16"/>
    </row>
    <row r="497" spans="2:8">
      <c r="B497" s="5"/>
      <c r="H497" s="16"/>
    </row>
    <row r="498" spans="2:8">
      <c r="B498" s="5"/>
      <c r="H498" s="16"/>
    </row>
    <row r="499" spans="2:8">
      <c r="B499" s="5"/>
      <c r="H499" s="16"/>
    </row>
    <row r="500" spans="2:8">
      <c r="B500" s="5"/>
      <c r="H500" s="16"/>
    </row>
    <row r="501" spans="2:8">
      <c r="B501" s="5"/>
      <c r="H501" s="16"/>
    </row>
    <row r="502" spans="2:8">
      <c r="B502" s="5"/>
      <c r="H502" s="16"/>
    </row>
    <row r="503" spans="2:8">
      <c r="B503" s="5"/>
      <c r="H503" s="16"/>
    </row>
    <row r="504" spans="2:8">
      <c r="B504" s="5"/>
      <c r="H504" s="16"/>
    </row>
    <row r="505" spans="2:8">
      <c r="B505" s="5"/>
      <c r="H505" s="16"/>
    </row>
    <row r="506" spans="2:8">
      <c r="B506" s="5"/>
      <c r="H506" s="16"/>
    </row>
    <row r="507" spans="2:8">
      <c r="B507" s="5"/>
      <c r="H507" s="16"/>
    </row>
    <row r="508" spans="2:8">
      <c r="B508" s="5"/>
      <c r="H508" s="16"/>
    </row>
    <row r="509" spans="2:8">
      <c r="B509" s="5"/>
      <c r="H509" s="16"/>
    </row>
    <row r="510" spans="2:8">
      <c r="B510" s="5"/>
      <c r="H510" s="16"/>
    </row>
    <row r="511" spans="2:8">
      <c r="B511" s="5"/>
      <c r="H511" s="16"/>
    </row>
    <row r="512" spans="2:8">
      <c r="B512" s="5"/>
      <c r="H512" s="16"/>
    </row>
    <row r="513" spans="2:8">
      <c r="B513" s="5"/>
      <c r="H513" s="16"/>
    </row>
    <row r="514" spans="2:8">
      <c r="B514" s="5"/>
      <c r="H514" s="16"/>
    </row>
    <row r="515" spans="2:8">
      <c r="B515" s="5"/>
      <c r="H515" s="16"/>
    </row>
    <row r="516" spans="2:8">
      <c r="B516" s="5"/>
      <c r="H516" s="16"/>
    </row>
    <row r="517" spans="2:8">
      <c r="B517" s="5"/>
      <c r="H517" s="16"/>
    </row>
    <row r="518" spans="2:8">
      <c r="B518" s="5"/>
      <c r="H518" s="16"/>
    </row>
    <row r="519" spans="2:8">
      <c r="B519" s="5"/>
      <c r="H519" s="16"/>
    </row>
    <row r="520" spans="2:8">
      <c r="B520" s="5"/>
      <c r="H520" s="16"/>
    </row>
    <row r="521" spans="2:8">
      <c r="B521" s="5"/>
      <c r="H521" s="16"/>
    </row>
    <row r="522" spans="2:8">
      <c r="B522" s="5"/>
      <c r="H522" s="16"/>
    </row>
    <row r="523" spans="2:8">
      <c r="B523" s="5"/>
      <c r="H523" s="16"/>
    </row>
    <row r="524" spans="2:8">
      <c r="B524" s="5"/>
      <c r="H524" s="16"/>
    </row>
    <row r="525" spans="2:8">
      <c r="B525" s="5"/>
      <c r="H525" s="16"/>
    </row>
    <row r="526" spans="2:8">
      <c r="B526" s="5"/>
      <c r="H526" s="16"/>
    </row>
    <row r="527" spans="2:8">
      <c r="B527" s="5"/>
      <c r="H527" s="16"/>
    </row>
    <row r="528" spans="2:8">
      <c r="B528" s="5"/>
      <c r="H528" s="16"/>
    </row>
    <row r="529" spans="2:8">
      <c r="B529" s="5"/>
      <c r="H529" s="16"/>
    </row>
    <row r="530" spans="2:8">
      <c r="B530" s="5"/>
      <c r="H530" s="16"/>
    </row>
    <row r="531" spans="2:8">
      <c r="B531" s="5"/>
      <c r="H531" s="16"/>
    </row>
    <row r="532" spans="2:8">
      <c r="B532" s="5"/>
      <c r="H532" s="16"/>
    </row>
    <row r="533" spans="2:8">
      <c r="B533" s="5"/>
      <c r="H533" s="16"/>
    </row>
    <row r="534" spans="2:8">
      <c r="B534" s="5"/>
      <c r="H534" s="16"/>
    </row>
    <row r="535" spans="2:8">
      <c r="B535" s="5"/>
      <c r="H535" s="16"/>
    </row>
    <row r="536" spans="2:8">
      <c r="B536" s="5"/>
      <c r="H536" s="16"/>
    </row>
    <row r="537" spans="2:8">
      <c r="B537" s="5"/>
      <c r="H537" s="16"/>
    </row>
    <row r="538" spans="2:8">
      <c r="B538" s="5"/>
      <c r="H538" s="16"/>
    </row>
    <row r="539" spans="2:8">
      <c r="B539" s="5"/>
      <c r="H539" s="16"/>
    </row>
    <row r="540" spans="2:8">
      <c r="B540" s="5"/>
      <c r="H540" s="16"/>
    </row>
    <row r="541" spans="2:8">
      <c r="B541" s="5"/>
      <c r="H541" s="16"/>
    </row>
    <row r="542" spans="2:8">
      <c r="B542" s="5"/>
      <c r="H542" s="16"/>
    </row>
    <row r="543" spans="2:8">
      <c r="B543" s="5"/>
      <c r="H543" s="16"/>
    </row>
    <row r="544" spans="2:8">
      <c r="B544" s="5"/>
      <c r="H544" s="16"/>
    </row>
    <row r="545" spans="2:8">
      <c r="B545" s="5"/>
      <c r="H545" s="16"/>
    </row>
    <row r="546" spans="2:8">
      <c r="B546" s="5"/>
      <c r="H546" s="16"/>
    </row>
    <row r="547" spans="2:8">
      <c r="B547" s="5"/>
      <c r="H547" s="16"/>
    </row>
    <row r="548" spans="2:8">
      <c r="B548" s="5"/>
      <c r="H548" s="16"/>
    </row>
    <row r="549" spans="2:8">
      <c r="B549" s="5"/>
      <c r="H549" s="16"/>
    </row>
    <row r="550" spans="2:8">
      <c r="B550" s="5"/>
      <c r="H550" s="16"/>
    </row>
    <row r="551" spans="2:8">
      <c r="B551" s="5"/>
      <c r="H551" s="16"/>
    </row>
    <row r="552" spans="2:8">
      <c r="B552" s="5"/>
      <c r="H552" s="16"/>
    </row>
    <row r="553" spans="2:8">
      <c r="B553" s="5"/>
      <c r="H553" s="16"/>
    </row>
    <row r="554" spans="2:8">
      <c r="B554" s="5"/>
      <c r="H554" s="16"/>
    </row>
    <row r="555" spans="2:8">
      <c r="B555" s="5"/>
      <c r="H555" s="16"/>
    </row>
    <row r="556" spans="2:8">
      <c r="B556" s="5"/>
      <c r="H556" s="16"/>
    </row>
    <row r="557" spans="2:8">
      <c r="B557" s="5"/>
      <c r="H557" s="16"/>
    </row>
    <row r="558" spans="2:8">
      <c r="B558" s="5"/>
      <c r="H558" s="16"/>
    </row>
    <row r="559" spans="2:8">
      <c r="B559" s="5"/>
      <c r="H559" s="16"/>
    </row>
    <row r="560" spans="2:8">
      <c r="B560" s="5"/>
      <c r="H560" s="16"/>
    </row>
    <row r="561" spans="2:8">
      <c r="B561" s="5"/>
      <c r="H561" s="16"/>
    </row>
    <row r="562" spans="2:8">
      <c r="B562" s="5"/>
      <c r="H562" s="16"/>
    </row>
    <row r="563" spans="2:8">
      <c r="B563" s="5"/>
      <c r="H563" s="16"/>
    </row>
    <row r="564" spans="2:8">
      <c r="B564" s="5"/>
      <c r="H564" s="16"/>
    </row>
    <row r="565" spans="2:8">
      <c r="B565" s="5"/>
      <c r="H565" s="16"/>
    </row>
    <row r="566" spans="2:8">
      <c r="B566" s="5"/>
      <c r="H566" s="16"/>
    </row>
    <row r="567" spans="2:8">
      <c r="B567" s="5"/>
      <c r="H567" s="16"/>
    </row>
    <row r="568" spans="2:8">
      <c r="B568" s="5"/>
      <c r="H568" s="16"/>
    </row>
    <row r="569" spans="2:8">
      <c r="B569" s="5"/>
      <c r="H569" s="16"/>
    </row>
    <row r="570" spans="2:8">
      <c r="B570" s="5"/>
      <c r="H570" s="16"/>
    </row>
    <row r="571" spans="2:8">
      <c r="B571" s="5"/>
      <c r="H571" s="16"/>
    </row>
    <row r="572" spans="2:8">
      <c r="B572" s="5"/>
      <c r="H572" s="16"/>
    </row>
    <row r="573" spans="2:8">
      <c r="B573" s="5"/>
      <c r="H573" s="16"/>
    </row>
    <row r="574" spans="2:8">
      <c r="B574" s="5"/>
      <c r="H574" s="16"/>
    </row>
    <row r="575" spans="2:8">
      <c r="B575" s="5"/>
      <c r="H575" s="16"/>
    </row>
    <row r="576" spans="2:8">
      <c r="B576" s="5"/>
      <c r="H576" s="16"/>
    </row>
    <row r="577" spans="2:8">
      <c r="B577" s="5"/>
      <c r="H577" s="16"/>
    </row>
    <row r="578" spans="2:8">
      <c r="B578" s="5"/>
      <c r="H578" s="16"/>
    </row>
    <row r="579" spans="2:8">
      <c r="B579" s="5"/>
      <c r="H579" s="16"/>
    </row>
    <row r="580" spans="2:8">
      <c r="B580" s="5"/>
      <c r="H580" s="16"/>
    </row>
    <row r="581" spans="2:8">
      <c r="B581" s="5"/>
      <c r="H581" s="16"/>
    </row>
    <row r="582" spans="2:8">
      <c r="B582" s="5"/>
      <c r="H582" s="16"/>
    </row>
    <row r="583" spans="2:8">
      <c r="B583" s="5"/>
      <c r="H583" s="16"/>
    </row>
    <row r="584" spans="2:8">
      <c r="B584" s="5"/>
      <c r="H584" s="16"/>
    </row>
    <row r="585" spans="2:8">
      <c r="B585" s="5"/>
      <c r="H585" s="16"/>
    </row>
    <row r="586" spans="2:8">
      <c r="B586" s="5"/>
      <c r="H586" s="16"/>
    </row>
    <row r="587" spans="2:8">
      <c r="B587" s="5"/>
      <c r="H587" s="16"/>
    </row>
    <row r="588" spans="2:8">
      <c r="B588" s="5"/>
      <c r="H588" s="16"/>
    </row>
    <row r="589" spans="2:8">
      <c r="B589" s="5"/>
      <c r="H589" s="16"/>
    </row>
    <row r="590" spans="2:8">
      <c r="B590" s="5"/>
      <c r="H590" s="16"/>
    </row>
    <row r="591" spans="2:8">
      <c r="B591" s="5"/>
      <c r="H591" s="16"/>
    </row>
    <row r="592" spans="2:8">
      <c r="B592" s="5"/>
      <c r="H592" s="16"/>
    </row>
    <row r="593" spans="2:8">
      <c r="B593" s="5"/>
      <c r="H593" s="16"/>
    </row>
    <row r="594" spans="2:8">
      <c r="B594" s="5"/>
      <c r="H594" s="16"/>
    </row>
    <row r="595" spans="2:8">
      <c r="B595" s="5"/>
      <c r="H595" s="16"/>
    </row>
    <row r="596" spans="2:8">
      <c r="B596" s="5"/>
      <c r="H596" s="16"/>
    </row>
    <row r="597" spans="2:8">
      <c r="B597" s="5"/>
      <c r="H597" s="16"/>
    </row>
    <row r="598" spans="2:8">
      <c r="B598" s="5"/>
      <c r="H598" s="16"/>
    </row>
    <row r="599" spans="2:8">
      <c r="B599" s="5"/>
      <c r="H599" s="16"/>
    </row>
    <row r="600" spans="2:8">
      <c r="B600" s="5"/>
      <c r="H600" s="16"/>
    </row>
    <row r="601" spans="2:8">
      <c r="B601" s="5"/>
      <c r="H601" s="16"/>
    </row>
    <row r="602" spans="2:8">
      <c r="B602" s="5"/>
      <c r="H602" s="16"/>
    </row>
    <row r="603" spans="2:8">
      <c r="B603" s="5"/>
      <c r="H603" s="16"/>
    </row>
    <row r="604" spans="2:8">
      <c r="B604" s="5"/>
      <c r="H604" s="16"/>
    </row>
    <row r="605" spans="2:8">
      <c r="B605" s="5"/>
      <c r="H605" s="16"/>
    </row>
    <row r="606" spans="2:8">
      <c r="B606" s="5"/>
      <c r="H606" s="16"/>
    </row>
    <row r="607" spans="2:8">
      <c r="B607" s="5"/>
      <c r="H607" s="16"/>
    </row>
    <row r="608" spans="2:8">
      <c r="B608" s="5"/>
      <c r="H608" s="16"/>
    </row>
    <row r="609" spans="2:8">
      <c r="B609" s="5"/>
      <c r="H609" s="16"/>
    </row>
    <row r="610" spans="2:8">
      <c r="B610" s="5"/>
      <c r="H610" s="16"/>
    </row>
    <row r="611" spans="2:8">
      <c r="B611" s="5"/>
      <c r="H611" s="16"/>
    </row>
    <row r="612" spans="2:8">
      <c r="B612" s="5"/>
      <c r="H612" s="16"/>
    </row>
    <row r="613" spans="2:8">
      <c r="B613" s="5"/>
      <c r="H613" s="16"/>
    </row>
    <row r="614" spans="2:8">
      <c r="B614" s="5"/>
      <c r="H614" s="16"/>
    </row>
    <row r="615" spans="2:8">
      <c r="B615" s="5"/>
      <c r="H615" s="16"/>
    </row>
    <row r="616" spans="2:8">
      <c r="B616" s="5"/>
      <c r="H616" s="16"/>
    </row>
    <row r="617" spans="2:8">
      <c r="B617" s="5"/>
      <c r="H617" s="16"/>
    </row>
    <row r="618" spans="2:8">
      <c r="B618" s="5"/>
      <c r="H618" s="16"/>
    </row>
    <row r="619" spans="2:8">
      <c r="B619" s="5"/>
      <c r="H619" s="16"/>
    </row>
    <row r="620" spans="2:8">
      <c r="B620" s="5"/>
      <c r="H620" s="16"/>
    </row>
    <row r="621" spans="2:8">
      <c r="B621" s="5"/>
      <c r="H621" s="16"/>
    </row>
    <row r="622" spans="2:8">
      <c r="B622" s="5"/>
      <c r="H622" s="16"/>
    </row>
    <row r="623" spans="2:8">
      <c r="B623" s="5"/>
      <c r="H623" s="16"/>
    </row>
    <row r="624" spans="2:8">
      <c r="B624" s="5"/>
      <c r="H624" s="16"/>
    </row>
    <row r="625" spans="2:8">
      <c r="B625" s="5"/>
      <c r="H625" s="16"/>
    </row>
    <row r="626" spans="2:8">
      <c r="B626" s="5"/>
      <c r="H626" s="16"/>
    </row>
    <row r="627" spans="2:8">
      <c r="B627" s="5"/>
      <c r="H627" s="16"/>
    </row>
    <row r="628" spans="2:8">
      <c r="B628" s="5"/>
      <c r="H628" s="16"/>
    </row>
    <row r="629" spans="2:8">
      <c r="B629" s="5"/>
      <c r="H629" s="16"/>
    </row>
    <row r="630" spans="2:8">
      <c r="B630" s="5"/>
      <c r="H630" s="16"/>
    </row>
    <row r="631" spans="2:8">
      <c r="B631" s="5"/>
      <c r="H631" s="16"/>
    </row>
    <row r="632" spans="2:8">
      <c r="B632" s="5"/>
      <c r="H632" s="16"/>
    </row>
    <row r="633" spans="2:8">
      <c r="B633" s="5"/>
      <c r="H633" s="16"/>
    </row>
    <row r="634" spans="2:8">
      <c r="B634" s="5"/>
      <c r="H634" s="16"/>
    </row>
    <row r="635" spans="2:8">
      <c r="B635" s="5"/>
      <c r="H635" s="16"/>
    </row>
    <row r="636" spans="2:8">
      <c r="B636" s="5"/>
      <c r="H636" s="16"/>
    </row>
    <row r="637" spans="2:8">
      <c r="B637" s="5"/>
      <c r="H637" s="16"/>
    </row>
    <row r="638" spans="2:8">
      <c r="B638" s="5"/>
      <c r="H638" s="16"/>
    </row>
    <row r="639" spans="2:8">
      <c r="B639" s="5"/>
      <c r="H639" s="16"/>
    </row>
    <row r="640" spans="2:8">
      <c r="B640" s="5"/>
      <c r="H640" s="16"/>
    </row>
    <row r="641" spans="2:8">
      <c r="B641" s="5"/>
      <c r="H641" s="16"/>
    </row>
    <row r="642" spans="2:8">
      <c r="B642" s="5"/>
      <c r="H642" s="16"/>
    </row>
    <row r="643" spans="2:8">
      <c r="B643" s="5"/>
      <c r="H643" s="16"/>
    </row>
    <row r="644" spans="2:8">
      <c r="B644" s="5"/>
      <c r="H644" s="16"/>
    </row>
    <row r="645" spans="2:8">
      <c r="B645" s="5"/>
      <c r="H645" s="16"/>
    </row>
    <row r="646" spans="2:8">
      <c r="B646" s="5"/>
      <c r="H646" s="16"/>
    </row>
    <row r="647" spans="2:8">
      <c r="B647" s="5"/>
      <c r="H647" s="16"/>
    </row>
    <row r="648" spans="2:8">
      <c r="B648" s="5"/>
      <c r="H648" s="16"/>
    </row>
    <row r="649" spans="2:8">
      <c r="B649" s="5"/>
      <c r="H649" s="16"/>
    </row>
    <row r="650" spans="2:8">
      <c r="B650" s="5"/>
      <c r="H650" s="16"/>
    </row>
    <row r="651" spans="2:8">
      <c r="B651" s="5"/>
      <c r="H651" s="16"/>
    </row>
    <row r="652" spans="2:8">
      <c r="B652" s="5"/>
      <c r="H652" s="16"/>
    </row>
    <row r="653" spans="2:8">
      <c r="B653" s="5"/>
      <c r="H653" s="16"/>
    </row>
    <row r="654" spans="2:8">
      <c r="B654" s="5"/>
      <c r="H654" s="16"/>
    </row>
    <row r="655" spans="2:8">
      <c r="B655" s="5"/>
      <c r="H655" s="16"/>
    </row>
    <row r="656" spans="2:8">
      <c r="B656" s="5"/>
      <c r="H656" s="16"/>
    </row>
    <row r="657" spans="2:8">
      <c r="B657" s="5"/>
      <c r="H657" s="16"/>
    </row>
    <row r="658" spans="2:8">
      <c r="B658" s="5"/>
      <c r="H658" s="16"/>
    </row>
    <row r="659" spans="2:8">
      <c r="B659" s="5"/>
      <c r="H659" s="16"/>
    </row>
    <row r="660" spans="2:8">
      <c r="B660" s="5"/>
      <c r="H660" s="16"/>
    </row>
    <row r="661" spans="2:8">
      <c r="B661" s="5"/>
      <c r="H661" s="16"/>
    </row>
    <row r="662" spans="2:8">
      <c r="B662" s="5"/>
      <c r="H662" s="16"/>
    </row>
    <row r="663" spans="2:8">
      <c r="B663" s="5"/>
      <c r="H663" s="16"/>
    </row>
    <row r="664" spans="2:8">
      <c r="B664" s="5"/>
      <c r="H664" s="16"/>
    </row>
    <row r="665" spans="2:8">
      <c r="B665" s="5"/>
      <c r="H665" s="16"/>
    </row>
    <row r="666" spans="2:8">
      <c r="B666" s="5"/>
      <c r="H666" s="16"/>
    </row>
    <row r="667" spans="2:8">
      <c r="B667" s="5"/>
      <c r="H667" s="16"/>
    </row>
    <row r="668" spans="2:8">
      <c r="B668" s="5"/>
      <c r="H668" s="16"/>
    </row>
    <row r="669" spans="2:8">
      <c r="B669" s="5"/>
      <c r="H669" s="16"/>
    </row>
    <row r="670" spans="2:8">
      <c r="B670" s="5"/>
      <c r="H670" s="16"/>
    </row>
    <row r="671" spans="2:8">
      <c r="B671" s="5"/>
      <c r="H671" s="16"/>
    </row>
    <row r="672" spans="2:8">
      <c r="B672" s="5"/>
      <c r="H672" s="16"/>
    </row>
    <row r="673" spans="2:8">
      <c r="B673" s="5"/>
      <c r="H673" s="16"/>
    </row>
    <row r="674" spans="2:8">
      <c r="B674" s="5"/>
      <c r="H674" s="16"/>
    </row>
    <row r="675" spans="2:8">
      <c r="B675" s="5"/>
      <c r="H675" s="16"/>
    </row>
    <row r="676" spans="2:8">
      <c r="B676" s="5"/>
      <c r="H676" s="16"/>
    </row>
    <row r="677" spans="2:8">
      <c r="B677" s="5"/>
      <c r="H677" s="16"/>
    </row>
    <row r="678" spans="2:8">
      <c r="B678" s="5"/>
      <c r="H678" s="16"/>
    </row>
    <row r="679" spans="2:8">
      <c r="B679" s="5"/>
      <c r="H679" s="16"/>
    </row>
    <row r="680" spans="2:8">
      <c r="B680" s="5"/>
      <c r="H680" s="16"/>
    </row>
    <row r="681" spans="2:8">
      <c r="B681" s="5"/>
      <c r="H681" s="16"/>
    </row>
    <row r="682" spans="2:8">
      <c r="B682" s="5"/>
      <c r="H682" s="16"/>
    </row>
    <row r="683" spans="2:8">
      <c r="B683" s="5"/>
      <c r="H683" s="16"/>
    </row>
    <row r="684" spans="2:8">
      <c r="B684" s="5"/>
      <c r="H684" s="16"/>
    </row>
    <row r="685" spans="2:8">
      <c r="B685" s="5"/>
      <c r="H685" s="16"/>
    </row>
    <row r="686" spans="2:8">
      <c r="B686" s="5"/>
      <c r="H686" s="16"/>
    </row>
    <row r="687" spans="2:8">
      <c r="B687" s="5"/>
      <c r="H687" s="16"/>
    </row>
    <row r="688" spans="2:8">
      <c r="B688" s="5"/>
      <c r="H688" s="16"/>
    </row>
    <row r="689" spans="2:8">
      <c r="B689" s="5"/>
      <c r="H689" s="16"/>
    </row>
    <row r="690" spans="2:8">
      <c r="B690" s="5"/>
      <c r="H690" s="16"/>
    </row>
    <row r="691" spans="2:8">
      <c r="B691" s="5"/>
      <c r="H691" s="16"/>
    </row>
    <row r="692" spans="2:8">
      <c r="B692" s="5"/>
      <c r="H692" s="16"/>
    </row>
    <row r="693" spans="2:8">
      <c r="B693" s="5"/>
      <c r="H693" s="16"/>
    </row>
    <row r="694" spans="2:8">
      <c r="B694" s="5"/>
      <c r="H694" s="16"/>
    </row>
    <row r="695" spans="2:8">
      <c r="B695" s="5"/>
      <c r="H695" s="16"/>
    </row>
    <row r="696" spans="2:8">
      <c r="B696" s="5"/>
      <c r="H696" s="16"/>
    </row>
    <row r="697" spans="2:8">
      <c r="B697" s="5"/>
      <c r="H697" s="16"/>
    </row>
    <row r="698" spans="2:8">
      <c r="B698" s="5"/>
      <c r="H698" s="16"/>
    </row>
    <row r="699" spans="2:8">
      <c r="B699" s="5"/>
      <c r="H699" s="16"/>
    </row>
    <row r="700" spans="2:8">
      <c r="B700" s="5"/>
      <c r="H700" s="16"/>
    </row>
    <row r="701" spans="2:8">
      <c r="B701" s="5"/>
      <c r="H701" s="16"/>
    </row>
    <row r="702" spans="2:8">
      <c r="B702" s="5"/>
      <c r="H702" s="16"/>
    </row>
    <row r="703" spans="2:8">
      <c r="B703" s="5"/>
      <c r="H703" s="16"/>
    </row>
    <row r="704" spans="2:8">
      <c r="B704" s="5"/>
      <c r="H704" s="16"/>
    </row>
    <row r="705" spans="2:8">
      <c r="B705" s="5"/>
      <c r="H705" s="16"/>
    </row>
    <row r="706" spans="2:8">
      <c r="B706" s="5"/>
      <c r="H706" s="16"/>
    </row>
    <row r="707" spans="2:8">
      <c r="B707" s="5"/>
      <c r="H707" s="16"/>
    </row>
    <row r="708" spans="2:8">
      <c r="B708" s="5"/>
      <c r="H708" s="16"/>
    </row>
    <row r="709" spans="2:8">
      <c r="B709" s="5"/>
      <c r="H709" s="16"/>
    </row>
    <row r="710" spans="2:8">
      <c r="B710" s="5"/>
      <c r="H710" s="16"/>
    </row>
    <row r="711" spans="2:8">
      <c r="B711" s="5"/>
      <c r="H711" s="16"/>
    </row>
    <row r="712" spans="2:8">
      <c r="B712" s="5"/>
      <c r="H712" s="16"/>
    </row>
    <row r="713" spans="2:8">
      <c r="B713" s="5"/>
      <c r="H713" s="16"/>
    </row>
    <row r="714" spans="2:8">
      <c r="B714" s="5"/>
      <c r="H714" s="16"/>
    </row>
    <row r="715" spans="2:8">
      <c r="B715" s="5"/>
      <c r="H715" s="16"/>
    </row>
    <row r="716" spans="2:8">
      <c r="B716" s="5"/>
      <c r="H716" s="16"/>
    </row>
    <row r="717" spans="2:8">
      <c r="B717" s="5"/>
      <c r="H717" s="16"/>
    </row>
    <row r="718" spans="2:8">
      <c r="B718" s="5"/>
      <c r="H718" s="16"/>
    </row>
    <row r="719" spans="2:8">
      <c r="B719" s="5"/>
      <c r="H719" s="16"/>
    </row>
    <row r="720" spans="2:8">
      <c r="B720" s="5"/>
      <c r="H720" s="16"/>
    </row>
    <row r="721" spans="2:8">
      <c r="B721" s="5"/>
      <c r="H721" s="16"/>
    </row>
    <row r="722" spans="2:8">
      <c r="B722" s="5"/>
      <c r="H722" s="16"/>
    </row>
    <row r="723" spans="2:8">
      <c r="B723" s="5"/>
      <c r="H723" s="16"/>
    </row>
    <row r="724" spans="2:8">
      <c r="B724" s="5"/>
      <c r="H724" s="16"/>
    </row>
    <row r="725" spans="2:8">
      <c r="B725" s="5"/>
      <c r="H725" s="16"/>
    </row>
    <row r="726" spans="2:8">
      <c r="B726" s="5"/>
      <c r="H726" s="16"/>
    </row>
    <row r="727" spans="2:8">
      <c r="B727" s="5"/>
      <c r="H727" s="16"/>
    </row>
    <row r="728" spans="2:8">
      <c r="B728" s="5"/>
      <c r="H728" s="16"/>
    </row>
    <row r="729" spans="2:8">
      <c r="B729" s="5"/>
      <c r="H729" s="16"/>
    </row>
    <row r="730" spans="2:8">
      <c r="B730" s="5"/>
      <c r="H730" s="16"/>
    </row>
    <row r="731" spans="2:8">
      <c r="B731" s="5"/>
      <c r="H731" s="16"/>
    </row>
    <row r="732" spans="2:8">
      <c r="B732" s="5"/>
      <c r="H732" s="16"/>
    </row>
    <row r="733" spans="2:8">
      <c r="B733" s="5"/>
      <c r="H733" s="16"/>
    </row>
    <row r="734" spans="2:8">
      <c r="B734" s="5"/>
      <c r="H734" s="16"/>
    </row>
    <row r="735" spans="2:8">
      <c r="B735" s="5"/>
      <c r="H735" s="16"/>
    </row>
    <row r="736" spans="2:8">
      <c r="B736" s="5"/>
      <c r="H736" s="16"/>
    </row>
    <row r="737" spans="2:8">
      <c r="B737" s="5"/>
      <c r="H737" s="16"/>
    </row>
    <row r="738" spans="2:8">
      <c r="B738" s="5"/>
      <c r="H738" s="16"/>
    </row>
    <row r="739" spans="2:8">
      <c r="B739" s="5"/>
      <c r="H739" s="16"/>
    </row>
    <row r="740" spans="2:8">
      <c r="B740" s="5"/>
      <c r="H740" s="16"/>
    </row>
    <row r="741" spans="2:8">
      <c r="B741" s="5"/>
      <c r="H741" s="16"/>
    </row>
    <row r="742" spans="2:8">
      <c r="B742" s="5"/>
      <c r="H742" s="16"/>
    </row>
    <row r="743" spans="2:8">
      <c r="B743" s="5"/>
      <c r="H743" s="16"/>
    </row>
    <row r="744" spans="2:8">
      <c r="B744" s="5"/>
      <c r="H744" s="16"/>
    </row>
    <row r="745" spans="2:8">
      <c r="B745" s="5"/>
      <c r="H745" s="16"/>
    </row>
    <row r="746" spans="2:8">
      <c r="B746" s="5"/>
      <c r="H746" s="16"/>
    </row>
    <row r="747" spans="2:8">
      <c r="B747" s="5"/>
      <c r="H747" s="16"/>
    </row>
    <row r="748" spans="2:8">
      <c r="B748" s="5"/>
      <c r="H748" s="16"/>
    </row>
    <row r="749" spans="2:8">
      <c r="B749" s="5"/>
      <c r="H749" s="16"/>
    </row>
    <row r="750" spans="2:8">
      <c r="B750" s="5"/>
      <c r="H750" s="16"/>
    </row>
    <row r="751" spans="2:8">
      <c r="B751" s="5"/>
      <c r="H751" s="16"/>
    </row>
    <row r="752" spans="2:8">
      <c r="B752" s="5"/>
      <c r="H752" s="16"/>
    </row>
    <row r="753" spans="2:8">
      <c r="B753" s="5"/>
      <c r="H753" s="16"/>
    </row>
    <row r="754" spans="2:8">
      <c r="B754" s="5"/>
      <c r="H754" s="16"/>
    </row>
    <row r="755" spans="2:8">
      <c r="B755" s="5"/>
      <c r="H755" s="16"/>
    </row>
    <row r="756" spans="2:8">
      <c r="B756" s="5"/>
      <c r="H756" s="16"/>
    </row>
    <row r="757" spans="2:8">
      <c r="B757" s="5"/>
      <c r="H757" s="16"/>
    </row>
    <row r="758" spans="2:8">
      <c r="B758" s="5"/>
      <c r="H758" s="16"/>
    </row>
    <row r="759" spans="2:8">
      <c r="B759" s="5"/>
      <c r="H759" s="16"/>
    </row>
    <row r="760" spans="2:8">
      <c r="B760" s="5"/>
      <c r="H760" s="16"/>
    </row>
    <row r="761" spans="2:8">
      <c r="B761" s="5"/>
      <c r="H761" s="16"/>
    </row>
    <row r="762" spans="2:8">
      <c r="B762" s="5"/>
      <c r="H762" s="16"/>
    </row>
    <row r="763" spans="2:8">
      <c r="B763" s="5"/>
      <c r="H763" s="16"/>
    </row>
    <row r="764" spans="2:8">
      <c r="B764" s="5"/>
      <c r="H764" s="16"/>
    </row>
    <row r="765" spans="2:8">
      <c r="B765" s="5"/>
      <c r="H765" s="16"/>
    </row>
    <row r="766" spans="2:8">
      <c r="B766" s="5"/>
      <c r="H766" s="16"/>
    </row>
    <row r="767" spans="2:8">
      <c r="B767" s="5"/>
      <c r="H767" s="16"/>
    </row>
    <row r="768" spans="2:8">
      <c r="B768" s="5"/>
      <c r="H768" s="16"/>
    </row>
    <row r="769" spans="2:8">
      <c r="B769" s="5"/>
      <c r="H769" s="16"/>
    </row>
    <row r="770" spans="2:8">
      <c r="B770" s="5"/>
      <c r="H770" s="16"/>
    </row>
    <row r="771" spans="2:8">
      <c r="B771" s="5"/>
      <c r="H771" s="16"/>
    </row>
    <row r="772" spans="2:8">
      <c r="B772" s="5"/>
      <c r="H772" s="16"/>
    </row>
    <row r="773" spans="2:8">
      <c r="B773" s="5"/>
      <c r="H773" s="16"/>
    </row>
    <row r="774" spans="2:8">
      <c r="B774" s="5"/>
      <c r="H774" s="16"/>
    </row>
    <row r="775" spans="2:8">
      <c r="B775" s="5"/>
      <c r="H775" s="16"/>
    </row>
    <row r="776" spans="2:8">
      <c r="B776" s="5"/>
      <c r="H776" s="16"/>
    </row>
    <row r="777" spans="2:8">
      <c r="B777" s="5"/>
      <c r="H777" s="16"/>
    </row>
    <row r="778" spans="2:8">
      <c r="B778" s="5"/>
      <c r="H778" s="16"/>
    </row>
    <row r="779" spans="2:8">
      <c r="B779" s="5"/>
      <c r="H779" s="16"/>
    </row>
    <row r="780" spans="2:8">
      <c r="B780" s="5"/>
      <c r="H780" s="16"/>
    </row>
    <row r="781" spans="2:8">
      <c r="B781" s="5"/>
      <c r="H781" s="16"/>
    </row>
    <row r="782" spans="2:8">
      <c r="B782" s="5"/>
      <c r="H782" s="16"/>
    </row>
    <row r="783" spans="2:8">
      <c r="B783" s="5"/>
      <c r="H783" s="16"/>
    </row>
    <row r="784" spans="2:8">
      <c r="B784" s="5"/>
      <c r="H784" s="16"/>
    </row>
    <row r="785" spans="2:8">
      <c r="B785" s="5"/>
      <c r="H785" s="16"/>
    </row>
    <row r="786" spans="2:8">
      <c r="B786" s="5"/>
      <c r="H786" s="16"/>
    </row>
    <row r="787" spans="2:8">
      <c r="B787" s="5"/>
      <c r="H787" s="16"/>
    </row>
    <row r="788" spans="2:8">
      <c r="B788" s="5"/>
      <c r="H788" s="16"/>
    </row>
    <row r="789" spans="2:8">
      <c r="B789" s="5"/>
      <c r="H789" s="16"/>
    </row>
    <row r="790" spans="2:8">
      <c r="B790" s="5"/>
      <c r="H790" s="16"/>
    </row>
    <row r="791" spans="2:8">
      <c r="B791" s="5"/>
      <c r="H791" s="16"/>
    </row>
    <row r="792" spans="2:8">
      <c r="B792" s="5"/>
      <c r="H792" s="16"/>
    </row>
    <row r="793" spans="2:8">
      <c r="B793" s="5"/>
      <c r="H793" s="16"/>
    </row>
    <row r="794" spans="2:8">
      <c r="B794" s="5"/>
      <c r="H794" s="16"/>
    </row>
    <row r="795" spans="2:8">
      <c r="B795" s="5"/>
      <c r="H795" s="16"/>
    </row>
    <row r="796" spans="2:8">
      <c r="B796" s="5"/>
      <c r="H796" s="16"/>
    </row>
    <row r="797" spans="2:8">
      <c r="B797" s="5"/>
      <c r="H797" s="16"/>
    </row>
    <row r="798" spans="2:8">
      <c r="B798" s="5"/>
      <c r="H798" s="16"/>
    </row>
    <row r="799" spans="2:8">
      <c r="B799" s="5"/>
      <c r="H799" s="16"/>
    </row>
    <row r="800" spans="2:8">
      <c r="B800" s="5"/>
      <c r="H800" s="16"/>
    </row>
    <row r="801" spans="2:8">
      <c r="B801" s="5"/>
      <c r="H801" s="16"/>
    </row>
    <row r="802" spans="2:8">
      <c r="B802" s="5"/>
      <c r="H802" s="16"/>
    </row>
    <row r="803" spans="2:8">
      <c r="B803" s="5"/>
      <c r="H803" s="16"/>
    </row>
    <row r="804" spans="2:8">
      <c r="B804" s="5"/>
      <c r="H804" s="16"/>
    </row>
    <row r="805" spans="2:8">
      <c r="B805" s="5"/>
      <c r="H805" s="16"/>
    </row>
    <row r="806" spans="2:8">
      <c r="B806" s="5"/>
      <c r="H806" s="16"/>
    </row>
    <row r="807" spans="2:8">
      <c r="B807" s="5"/>
      <c r="H807" s="16"/>
    </row>
    <row r="808" spans="2:8">
      <c r="B808" s="5"/>
      <c r="H808" s="16"/>
    </row>
    <row r="809" spans="2:8">
      <c r="B809" s="5"/>
      <c r="H809" s="16"/>
    </row>
    <row r="810" spans="2:8">
      <c r="B810" s="5"/>
      <c r="H810" s="16"/>
    </row>
    <row r="811" spans="2:8">
      <c r="B811" s="5"/>
      <c r="H811" s="16"/>
    </row>
    <row r="812" spans="2:8">
      <c r="B812" s="5"/>
      <c r="H812" s="16"/>
    </row>
    <row r="813" spans="2:8">
      <c r="B813" s="5"/>
      <c r="H813" s="16"/>
    </row>
    <row r="814" spans="2:8">
      <c r="B814" s="5"/>
      <c r="H814" s="16"/>
    </row>
    <row r="815" spans="2:8">
      <c r="B815" s="5"/>
      <c r="H815" s="16"/>
    </row>
    <row r="816" spans="2:8">
      <c r="B816" s="5"/>
      <c r="H816" s="16"/>
    </row>
    <row r="817" spans="2:8">
      <c r="B817" s="5"/>
      <c r="H817" s="16"/>
    </row>
    <row r="818" spans="2:8">
      <c r="B818" s="5"/>
      <c r="H818" s="16"/>
    </row>
    <row r="819" spans="2:8">
      <c r="B819" s="5"/>
      <c r="H819" s="16"/>
    </row>
    <row r="820" spans="2:8">
      <c r="B820" s="5"/>
      <c r="H820" s="16"/>
    </row>
    <row r="821" spans="2:8">
      <c r="B821" s="5"/>
      <c r="H821" s="16"/>
    </row>
    <row r="822" spans="2:8">
      <c r="B822" s="5"/>
      <c r="H822" s="16"/>
    </row>
    <row r="823" spans="2:8">
      <c r="B823" s="5"/>
      <c r="H823" s="16"/>
    </row>
    <row r="824" spans="2:8">
      <c r="B824" s="5"/>
      <c r="H824" s="16"/>
    </row>
    <row r="825" spans="2:8">
      <c r="B825" s="5"/>
      <c r="H825" s="16"/>
    </row>
    <row r="826" spans="2:8">
      <c r="B826" s="5"/>
      <c r="H826" s="16"/>
    </row>
    <row r="827" spans="2:8">
      <c r="B827" s="5"/>
      <c r="H827" s="16"/>
    </row>
    <row r="828" spans="2:8">
      <c r="B828" s="5"/>
      <c r="H828" s="16"/>
    </row>
    <row r="829" spans="2:8">
      <c r="B829" s="5"/>
      <c r="H829" s="16"/>
    </row>
    <row r="830" spans="2:8">
      <c r="B830" s="5"/>
      <c r="H830" s="16"/>
    </row>
    <row r="831" spans="2:8">
      <c r="B831" s="5"/>
      <c r="H831" s="16"/>
    </row>
    <row r="832" spans="2:8">
      <c r="B832" s="5"/>
      <c r="H832" s="16"/>
    </row>
    <row r="833" spans="2:8">
      <c r="B833" s="5"/>
      <c r="H833" s="16"/>
    </row>
    <row r="834" spans="2:8">
      <c r="B834" s="5"/>
      <c r="H834" s="16"/>
    </row>
    <row r="835" spans="2:8">
      <c r="B835" s="5"/>
      <c r="H835" s="16"/>
    </row>
    <row r="836" spans="2:8">
      <c r="B836" s="5"/>
      <c r="H836" s="16"/>
    </row>
    <row r="837" spans="2:8">
      <c r="B837" s="5"/>
      <c r="H837" s="16"/>
    </row>
    <row r="838" spans="2:8">
      <c r="B838" s="5"/>
      <c r="H838" s="16"/>
    </row>
    <row r="839" spans="2:8">
      <c r="B839" s="5"/>
      <c r="H839" s="16"/>
    </row>
    <row r="840" spans="2:8">
      <c r="B840" s="5"/>
      <c r="H840" s="16"/>
    </row>
    <row r="841" spans="2:8">
      <c r="B841" s="5"/>
      <c r="H841" s="16"/>
    </row>
    <row r="842" spans="2:8">
      <c r="B842" s="5"/>
      <c r="H842" s="16"/>
    </row>
    <row r="843" spans="2:8">
      <c r="B843" s="5"/>
      <c r="H843" s="16"/>
    </row>
    <row r="844" spans="2:8">
      <c r="B844" s="5"/>
      <c r="H844" s="16"/>
    </row>
    <row r="845" spans="2:8">
      <c r="B845" s="5"/>
      <c r="H845" s="16"/>
    </row>
    <row r="846" spans="2:8">
      <c r="B846" s="5"/>
      <c r="H846" s="16"/>
    </row>
    <row r="847" spans="2:8">
      <c r="B847" s="5"/>
      <c r="H847" s="16"/>
    </row>
    <row r="848" spans="2:8">
      <c r="B848" s="5"/>
      <c r="H848" s="16"/>
    </row>
    <row r="849" spans="2:8">
      <c r="B849" s="5"/>
      <c r="H849" s="16"/>
    </row>
    <row r="850" spans="2:8">
      <c r="B850" s="5"/>
      <c r="H850" s="16"/>
    </row>
    <row r="851" spans="2:8">
      <c r="B851" s="5"/>
      <c r="H851" s="16"/>
    </row>
    <row r="852" spans="2:8">
      <c r="B852" s="5"/>
      <c r="H852" s="16"/>
    </row>
    <row r="853" spans="2:8">
      <c r="B853" s="5"/>
      <c r="H853" s="16"/>
    </row>
    <row r="854" spans="2:8">
      <c r="B854" s="5"/>
      <c r="H854" s="16"/>
    </row>
    <row r="855" spans="2:8">
      <c r="B855" s="5"/>
      <c r="H855" s="16"/>
    </row>
    <row r="856" spans="2:8">
      <c r="B856" s="5"/>
      <c r="H856" s="16"/>
    </row>
    <row r="857" spans="2:8">
      <c r="B857" s="5"/>
      <c r="H857" s="16"/>
    </row>
    <row r="858" spans="2:8">
      <c r="B858" s="5"/>
      <c r="H858" s="16"/>
    </row>
    <row r="859" spans="2:8">
      <c r="B859" s="5"/>
      <c r="H859" s="16"/>
    </row>
    <row r="860" spans="2:8">
      <c r="B860" s="5"/>
      <c r="H860" s="16"/>
    </row>
    <row r="861" spans="2:8">
      <c r="B861" s="5"/>
      <c r="H861" s="16"/>
    </row>
    <row r="862" spans="2:8">
      <c r="B862" s="5"/>
      <c r="H862" s="16"/>
    </row>
    <row r="863" spans="2:8">
      <c r="B863" s="5"/>
      <c r="H863" s="16"/>
    </row>
    <row r="864" spans="2:8">
      <c r="B864" s="5"/>
      <c r="H864" s="16"/>
    </row>
    <row r="865" spans="2:8">
      <c r="B865" s="5"/>
      <c r="H865" s="16"/>
    </row>
    <row r="866" spans="2:8">
      <c r="B866" s="5"/>
      <c r="H866" s="16"/>
    </row>
    <row r="867" spans="2:8">
      <c r="B867" s="5"/>
      <c r="H867" s="16"/>
    </row>
    <row r="868" spans="2:8">
      <c r="B868" s="5"/>
      <c r="H868" s="16"/>
    </row>
    <row r="869" spans="2:8">
      <c r="B869" s="5"/>
      <c r="H869" s="16"/>
    </row>
    <row r="870" spans="2:8">
      <c r="B870" s="5"/>
      <c r="H870" s="16"/>
    </row>
    <row r="871" spans="2:8">
      <c r="B871" s="5"/>
      <c r="H871" s="16"/>
    </row>
    <row r="872" spans="2:8">
      <c r="B872" s="5"/>
      <c r="H872" s="16"/>
    </row>
    <row r="873" spans="2:8">
      <c r="B873" s="5"/>
      <c r="H873" s="16"/>
    </row>
    <row r="874" spans="2:8">
      <c r="B874" s="5"/>
      <c r="H874" s="16"/>
    </row>
    <row r="875" spans="2:8">
      <c r="B875" s="5"/>
      <c r="H875" s="16"/>
    </row>
    <row r="876" spans="2:8">
      <c r="B876" s="5"/>
      <c r="H876" s="16"/>
    </row>
    <row r="877" spans="2:8">
      <c r="B877" s="5"/>
      <c r="H877" s="16"/>
    </row>
    <row r="878" spans="2:8">
      <c r="B878" s="5"/>
      <c r="H878" s="16"/>
    </row>
    <row r="879" spans="2:8">
      <c r="B879" s="5"/>
      <c r="H879" s="16"/>
    </row>
    <row r="880" spans="2:8">
      <c r="B880" s="5"/>
      <c r="H880" s="16"/>
    </row>
    <row r="881" spans="2:8">
      <c r="B881" s="5"/>
      <c r="H881" s="16"/>
    </row>
    <row r="882" spans="2:8">
      <c r="B882" s="5"/>
      <c r="H882" s="16"/>
    </row>
    <row r="883" spans="2:8">
      <c r="B883" s="5"/>
      <c r="H883" s="16"/>
    </row>
    <row r="884" spans="2:8">
      <c r="B884" s="5"/>
      <c r="H884" s="16"/>
    </row>
    <row r="885" spans="2:8">
      <c r="B885" s="5"/>
      <c r="H885" s="16"/>
    </row>
    <row r="886" spans="2:8">
      <c r="B886" s="5"/>
      <c r="H886" s="16"/>
    </row>
    <row r="887" spans="2:8">
      <c r="B887" s="5"/>
      <c r="H887" s="16"/>
    </row>
    <row r="888" spans="2:8">
      <c r="B888" s="5"/>
      <c r="H888" s="16"/>
    </row>
    <row r="889" spans="2:8">
      <c r="B889" s="5"/>
      <c r="H889" s="16"/>
    </row>
    <row r="890" spans="2:8">
      <c r="B890" s="5"/>
      <c r="H890" s="16"/>
    </row>
    <row r="891" spans="2:8">
      <c r="B891" s="5"/>
      <c r="H891" s="16"/>
    </row>
    <row r="892" spans="2:8">
      <c r="B892" s="5"/>
      <c r="H892" s="16"/>
    </row>
  </sheetData>
  <mergeCells count="27">
    <mergeCell ref="C43:F43"/>
    <mergeCell ref="G43:H43"/>
    <mergeCell ref="A4:H4"/>
    <mergeCell ref="A10:F10"/>
    <mergeCell ref="A17:F17"/>
    <mergeCell ref="A23:F23"/>
    <mergeCell ref="A29:F29"/>
    <mergeCell ref="A35:F35"/>
    <mergeCell ref="A38:F38"/>
    <mergeCell ref="C41:F41"/>
    <mergeCell ref="G41:H41"/>
    <mergeCell ref="C42:F42"/>
    <mergeCell ref="G42:H42"/>
    <mergeCell ref="C44:F44"/>
    <mergeCell ref="G44:H44"/>
    <mergeCell ref="C45:F45"/>
    <mergeCell ref="G45:H45"/>
    <mergeCell ref="C46:F46"/>
    <mergeCell ref="G46:H46"/>
    <mergeCell ref="C50:F50"/>
    <mergeCell ref="G50:H50"/>
    <mergeCell ref="C47:F47"/>
    <mergeCell ref="G47:H47"/>
    <mergeCell ref="C48:F48"/>
    <mergeCell ref="G48:H48"/>
    <mergeCell ref="C49:F49"/>
    <mergeCell ref="G49:H49"/>
  </mergeCells>
  <dataValidations count="1">
    <dataValidation type="list" allowBlank="1" showInputMessage="1" showErrorMessage="1" sqref="B42:B48" xr:uid="{6B55F3EA-8D89-4F81-8072-03BC9982BB5B}">
      <formula1>$L$41:$L$45</formula1>
    </dataValidation>
  </dataValidations>
  <pageMargins left="0.7" right="0.7" top="0.75" bottom="0.75" header="0.3" footer="0.3"/>
  <pageSetup scale="57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E7E86-0F6F-44F2-AFAB-A4723C6E8D9A}">
  <sheetPr>
    <pageSetUpPr fitToPage="1"/>
  </sheetPr>
  <dimension ref="A1:L892"/>
  <sheetViews>
    <sheetView showZeros="0" zoomScale="80" zoomScaleNormal="80" workbookViewId="0">
      <selection activeCell="A10" sqref="A10:F10"/>
    </sheetView>
  </sheetViews>
  <sheetFormatPr defaultColWidth="10.875" defaultRowHeight="18.75"/>
  <cols>
    <col min="1" max="1" width="35.625" customWidth="1"/>
    <col min="2" max="2" width="14.625" style="16" customWidth="1"/>
    <col min="3" max="7" width="15.875" style="5" customWidth="1"/>
    <col min="8" max="8" width="15.875" style="17" customWidth="1"/>
    <col min="9" max="9" width="9" style="5"/>
    <col min="10" max="10" width="10.875" style="5" customWidth="1"/>
    <col min="11" max="12" width="10.875" style="5" hidden="1" customWidth="1"/>
    <col min="13" max="13" width="0" style="5" hidden="1" customWidth="1"/>
    <col min="14" max="16384" width="10.875" style="5"/>
  </cols>
  <sheetData>
    <row r="1" spans="1:10" customFormat="1" ht="15.75">
      <c r="A1" s="41"/>
      <c r="B1" s="42"/>
      <c r="C1" s="43"/>
      <c r="D1" s="43"/>
      <c r="E1" s="45" t="s">
        <v>25</v>
      </c>
      <c r="F1" s="43"/>
      <c r="G1" s="45" t="s">
        <v>26</v>
      </c>
      <c r="H1" s="44"/>
    </row>
    <row r="2" spans="1:10">
      <c r="A2" s="30"/>
      <c r="B2" s="18" t="s">
        <v>27</v>
      </c>
      <c r="C2" s="19" t="s">
        <v>28</v>
      </c>
      <c r="D2" s="19" t="s">
        <v>29</v>
      </c>
      <c r="E2" s="18" t="s">
        <v>30</v>
      </c>
      <c r="F2" s="18" t="s">
        <v>31</v>
      </c>
      <c r="G2" s="18" t="s">
        <v>32</v>
      </c>
      <c r="H2" s="18" t="s">
        <v>33</v>
      </c>
    </row>
    <row r="3" spans="1:10" ht="21" customHeight="1">
      <c r="A3" s="31" t="s">
        <v>7</v>
      </c>
      <c r="B3" s="6">
        <v>45879</v>
      </c>
      <c r="C3" s="6">
        <f>B3+1</f>
        <v>45880</v>
      </c>
      <c r="D3" s="6">
        <f t="shared" ref="D3:H3" si="0">C3+1</f>
        <v>45881</v>
      </c>
      <c r="E3" s="6">
        <f t="shared" si="0"/>
        <v>45882</v>
      </c>
      <c r="F3" s="6">
        <f t="shared" si="0"/>
        <v>45883</v>
      </c>
      <c r="G3" s="6">
        <f t="shared" si="0"/>
        <v>45884</v>
      </c>
      <c r="H3" s="6">
        <f t="shared" si="0"/>
        <v>45885</v>
      </c>
    </row>
    <row r="4" spans="1:10" s="7" customFormat="1">
      <c r="A4" s="181" t="s">
        <v>34</v>
      </c>
      <c r="B4" s="181"/>
      <c r="C4" s="181"/>
      <c r="D4" s="181"/>
      <c r="E4" s="181"/>
      <c r="F4" s="181"/>
      <c r="G4" s="181"/>
      <c r="H4" s="181"/>
    </row>
    <row r="5" spans="1:10" s="7" customFormat="1" ht="26.1" customHeight="1">
      <c r="A5" s="32" t="s">
        <v>8</v>
      </c>
      <c r="B5" s="27"/>
      <c r="C5" s="27"/>
      <c r="D5" s="27"/>
      <c r="E5" s="153"/>
      <c r="F5" s="153"/>
      <c r="G5" s="153"/>
      <c r="H5" s="153"/>
    </row>
    <row r="6" spans="1:10" s="7" customFormat="1" ht="26.1" customHeight="1">
      <c r="A6" s="4" t="s">
        <v>23</v>
      </c>
      <c r="B6" s="62"/>
      <c r="C6" s="62"/>
      <c r="D6" s="62"/>
      <c r="E6" s="154"/>
      <c r="F6" s="154"/>
      <c r="G6" s="154"/>
      <c r="H6" s="154"/>
    </row>
    <row r="7" spans="1:10" s="7" customFormat="1" ht="21.95" customHeight="1">
      <c r="A7" s="32" t="s">
        <v>35</v>
      </c>
      <c r="B7" s="27"/>
      <c r="C7" s="28"/>
      <c r="D7" s="28"/>
      <c r="E7" s="153"/>
      <c r="F7" s="153"/>
      <c r="G7" s="153"/>
      <c r="H7" s="153"/>
    </row>
    <row r="8" spans="1:10" s="7" customFormat="1" ht="24.95" customHeight="1">
      <c r="A8" s="83" t="s">
        <v>36</v>
      </c>
      <c r="B8" s="84">
        <f t="shared" ref="B8:H8" si="1">B5+B6+B7</f>
        <v>0</v>
      </c>
      <c r="C8" s="84">
        <f t="shared" si="1"/>
        <v>0</v>
      </c>
      <c r="D8" s="84">
        <f t="shared" si="1"/>
        <v>0</v>
      </c>
      <c r="E8" s="155">
        <f t="shared" si="1"/>
        <v>0</v>
      </c>
      <c r="F8" s="155">
        <f t="shared" si="1"/>
        <v>0</v>
      </c>
      <c r="G8" s="155">
        <f t="shared" si="1"/>
        <v>0</v>
      </c>
      <c r="H8" s="155">
        <f t="shared" si="1"/>
        <v>0</v>
      </c>
    </row>
    <row r="9" spans="1:10" s="7" customFormat="1" ht="24.95" customHeight="1">
      <c r="A9" s="33"/>
      <c r="B9" s="29"/>
      <c r="C9" s="29"/>
      <c r="D9" s="29"/>
      <c r="E9" s="29"/>
      <c r="F9" s="29"/>
      <c r="G9" s="63" t="s">
        <v>37</v>
      </c>
      <c r="H9" s="64">
        <f>SUM(B8:H8)</f>
        <v>0</v>
      </c>
    </row>
    <row r="10" spans="1:10" s="7" customFormat="1">
      <c r="A10" s="182" t="s">
        <v>38</v>
      </c>
      <c r="B10" s="183"/>
      <c r="C10" s="183"/>
      <c r="D10" s="183"/>
      <c r="E10" s="183"/>
      <c r="F10" s="183"/>
      <c r="G10" s="65" t="s">
        <v>39</v>
      </c>
      <c r="H10" s="66">
        <v>-0.08</v>
      </c>
      <c r="I10" s="5"/>
      <c r="J10" s="26"/>
    </row>
    <row r="11" spans="1:10" s="7" customFormat="1" ht="30" customHeight="1">
      <c r="A11" s="39" t="s">
        <v>8</v>
      </c>
      <c r="B11" s="9"/>
      <c r="C11" s="9"/>
      <c r="D11" s="67"/>
      <c r="E11" s="153"/>
      <c r="F11" s="153"/>
      <c r="G11" s="153"/>
      <c r="H11" s="153"/>
    </row>
    <row r="12" spans="1:10" s="7" customFormat="1" ht="30" customHeight="1">
      <c r="A12" s="70" t="s">
        <v>23</v>
      </c>
      <c r="B12" s="59"/>
      <c r="C12" s="58"/>
      <c r="D12" s="58"/>
      <c r="E12" s="154"/>
      <c r="F12" s="154"/>
      <c r="G12" s="154"/>
      <c r="H12" s="154"/>
    </row>
    <row r="13" spans="1:10" s="7" customFormat="1" ht="30" customHeight="1">
      <c r="A13" s="3" t="s">
        <v>35</v>
      </c>
      <c r="B13" s="8"/>
      <c r="C13" s="8"/>
      <c r="D13" s="8"/>
      <c r="E13" s="153"/>
      <c r="F13" s="153"/>
      <c r="G13" s="153"/>
      <c r="H13" s="153"/>
    </row>
    <row r="14" spans="1:10" s="7" customFormat="1" ht="27" customHeight="1">
      <c r="A14" s="85" t="s">
        <v>36</v>
      </c>
      <c r="B14" s="87">
        <f t="shared" ref="B14:H14" si="2">SUM(B11:B13)</f>
        <v>0</v>
      </c>
      <c r="C14" s="87">
        <f t="shared" si="2"/>
        <v>0</v>
      </c>
      <c r="D14" s="87">
        <f t="shared" si="2"/>
        <v>0</v>
      </c>
      <c r="E14" s="87">
        <f t="shared" si="2"/>
        <v>0</v>
      </c>
      <c r="F14" s="87">
        <f t="shared" si="2"/>
        <v>0</v>
      </c>
      <c r="G14" s="87">
        <f t="shared" si="2"/>
        <v>0</v>
      </c>
      <c r="H14" s="87">
        <f t="shared" si="2"/>
        <v>0</v>
      </c>
    </row>
    <row r="15" spans="1:10" s="7" customFormat="1" ht="24.95" customHeight="1">
      <c r="A15" s="86" t="s">
        <v>40</v>
      </c>
      <c r="B15" s="92" t="e">
        <f t="shared" ref="B15:H15" si="3">(B14-B8)/B8</f>
        <v>#DIV/0!</v>
      </c>
      <c r="C15" s="93" t="e">
        <f t="shared" si="3"/>
        <v>#DIV/0!</v>
      </c>
      <c r="D15" s="93" t="e">
        <f t="shared" si="3"/>
        <v>#DIV/0!</v>
      </c>
      <c r="E15" s="93" t="e">
        <f t="shared" si="3"/>
        <v>#DIV/0!</v>
      </c>
      <c r="F15" s="93" t="e">
        <f t="shared" si="3"/>
        <v>#DIV/0!</v>
      </c>
      <c r="G15" s="93" t="e">
        <f t="shared" si="3"/>
        <v>#DIV/0!</v>
      </c>
      <c r="H15" s="94" t="e">
        <f t="shared" si="3"/>
        <v>#DIV/0!</v>
      </c>
      <c r="I15" s="71"/>
    </row>
    <row r="16" spans="1:10" ht="24" customHeight="1">
      <c r="B16" s="88"/>
      <c r="C16" s="88"/>
      <c r="D16" s="88"/>
      <c r="E16" s="88"/>
      <c r="F16" s="89"/>
      <c r="G16" s="90" t="s">
        <v>37</v>
      </c>
      <c r="H16" s="91">
        <f>SUM(B14:H14)</f>
        <v>0</v>
      </c>
    </row>
    <row r="17" spans="1:8" s="7" customFormat="1">
      <c r="A17" s="184" t="s">
        <v>41</v>
      </c>
      <c r="B17" s="185"/>
      <c r="C17" s="185"/>
      <c r="D17" s="185"/>
      <c r="E17" s="185"/>
      <c r="F17" s="185"/>
      <c r="G17" s="72" t="s">
        <v>42</v>
      </c>
      <c r="H17" s="66" t="e">
        <f>(H16-H9)/H9</f>
        <v>#DIV/0!</v>
      </c>
    </row>
    <row r="18" spans="1:8" s="7" customFormat="1" ht="30" customHeight="1">
      <c r="A18" s="35" t="s">
        <v>43</v>
      </c>
      <c r="B18" s="12"/>
      <c r="C18" s="12"/>
      <c r="D18" s="73"/>
      <c r="E18" s="73"/>
      <c r="F18" s="12"/>
      <c r="G18" s="24"/>
      <c r="H18" s="74"/>
    </row>
    <row r="19" spans="1:8" s="7" customFormat="1" ht="30" customHeight="1">
      <c r="A19" s="35" t="str">
        <f>'OPENING WEEK 1'!A19</f>
        <v>Non Meal Plan Meals</v>
      </c>
      <c r="B19" s="12"/>
      <c r="C19" s="12"/>
      <c r="D19" s="73"/>
      <c r="E19" s="73"/>
      <c r="F19" s="12"/>
      <c r="G19" s="24"/>
      <c r="H19" s="74"/>
    </row>
    <row r="20" spans="1:8" s="7" customFormat="1" ht="30" customHeight="1">
      <c r="A20" s="35" t="s">
        <v>44</v>
      </c>
      <c r="B20" s="95"/>
      <c r="C20" s="95"/>
      <c r="D20" s="67"/>
      <c r="E20" s="67"/>
      <c r="F20" s="95"/>
      <c r="G20" s="95"/>
      <c r="H20" s="75"/>
    </row>
    <row r="21" spans="1:8" s="7" customFormat="1" ht="24.95" customHeight="1">
      <c r="A21" s="36" t="s">
        <v>45</v>
      </c>
      <c r="B21" s="77">
        <f t="shared" ref="B21:H21" si="4">SUM(B18:B20)</f>
        <v>0</v>
      </c>
      <c r="C21" s="77">
        <f t="shared" si="4"/>
        <v>0</v>
      </c>
      <c r="D21" s="133">
        <f t="shared" si="4"/>
        <v>0</v>
      </c>
      <c r="E21" s="133">
        <f t="shared" si="4"/>
        <v>0</v>
      </c>
      <c r="F21" s="77">
        <f t="shared" si="4"/>
        <v>0</v>
      </c>
      <c r="G21" s="77">
        <f t="shared" si="4"/>
        <v>0</v>
      </c>
      <c r="H21" s="77">
        <f t="shared" si="4"/>
        <v>0</v>
      </c>
    </row>
    <row r="22" spans="1:8" s="7" customFormat="1" ht="24.95" customHeight="1">
      <c r="A22" s="34" t="s">
        <v>40</v>
      </c>
      <c r="B22" s="92" t="e">
        <f>(B21-B5)/B5</f>
        <v>#DIV/0!</v>
      </c>
      <c r="C22" s="93" t="e">
        <f>(C21-C5)/C5</f>
        <v>#DIV/0!</v>
      </c>
      <c r="D22" s="99"/>
      <c r="E22" s="99"/>
      <c r="F22" s="93" t="e">
        <f>(F21-F5)/F5</f>
        <v>#DIV/0!</v>
      </c>
      <c r="G22" s="93" t="e">
        <f>(G21-G5)/G5</f>
        <v>#DIV/0!</v>
      </c>
      <c r="H22" s="94" t="e">
        <f>(H21-H5)/H5</f>
        <v>#DIV/0!</v>
      </c>
    </row>
    <row r="23" spans="1:8" s="7" customFormat="1">
      <c r="A23" s="186" t="s">
        <v>46</v>
      </c>
      <c r="B23" s="187"/>
      <c r="C23" s="187"/>
      <c r="D23" s="187"/>
      <c r="E23" s="187"/>
      <c r="F23" s="188" t="s">
        <v>47</v>
      </c>
      <c r="G23" s="97"/>
      <c r="H23" s="98"/>
    </row>
    <row r="24" spans="1:8" s="7" customFormat="1" ht="30" customHeight="1">
      <c r="A24" s="35" t="s">
        <v>43</v>
      </c>
      <c r="B24" s="11"/>
      <c r="C24" s="12"/>
      <c r="D24" s="12"/>
      <c r="E24" s="12"/>
      <c r="F24" s="12"/>
      <c r="G24" s="12"/>
      <c r="H24" s="11"/>
    </row>
    <row r="25" spans="1:8" s="7" customFormat="1" ht="30" customHeight="1">
      <c r="A25" s="35" t="s">
        <v>48</v>
      </c>
      <c r="B25" s="117"/>
      <c r="C25" s="117"/>
      <c r="D25" s="117"/>
      <c r="E25" s="117"/>
      <c r="F25" s="117"/>
      <c r="G25" s="117"/>
      <c r="H25" s="117"/>
    </row>
    <row r="26" spans="1:8" s="7" customFormat="1" ht="30" customHeight="1">
      <c r="A26" s="35" t="s">
        <v>49</v>
      </c>
      <c r="B26" s="11"/>
      <c r="C26" s="11"/>
      <c r="D26" s="11"/>
      <c r="E26" s="11"/>
      <c r="F26" s="11"/>
      <c r="G26" s="11"/>
      <c r="H26" s="11"/>
    </row>
    <row r="27" spans="1:8" s="7" customFormat="1" ht="27.95" customHeight="1">
      <c r="A27" s="36" t="s">
        <v>50</v>
      </c>
      <c r="B27" s="100">
        <f>SUM(B24:B26)</f>
        <v>0</v>
      </c>
      <c r="C27" s="100">
        <f t="shared" ref="C27:H27" si="5">C24+C25+C26</f>
        <v>0</v>
      </c>
      <c r="D27" s="100">
        <f t="shared" si="5"/>
        <v>0</v>
      </c>
      <c r="E27" s="100">
        <f t="shared" si="5"/>
        <v>0</v>
      </c>
      <c r="F27" s="100">
        <f t="shared" si="5"/>
        <v>0</v>
      </c>
      <c r="G27" s="100">
        <f t="shared" si="5"/>
        <v>0</v>
      </c>
      <c r="H27" s="100">
        <f t="shared" si="5"/>
        <v>0</v>
      </c>
    </row>
    <row r="28" spans="1:8" s="7" customFormat="1" ht="24.95" customHeight="1">
      <c r="A28" s="34" t="s">
        <v>40</v>
      </c>
      <c r="B28" s="92" t="e">
        <f t="shared" ref="B28:H28" si="6">(B27-B6)/B6</f>
        <v>#DIV/0!</v>
      </c>
      <c r="C28" s="93" t="e">
        <f t="shared" si="6"/>
        <v>#DIV/0!</v>
      </c>
      <c r="D28" s="93" t="e">
        <f t="shared" si="6"/>
        <v>#DIV/0!</v>
      </c>
      <c r="E28" s="93" t="e">
        <f t="shared" si="6"/>
        <v>#DIV/0!</v>
      </c>
      <c r="F28" s="93" t="e">
        <f t="shared" si="6"/>
        <v>#DIV/0!</v>
      </c>
      <c r="G28" s="93" t="e">
        <f t="shared" si="6"/>
        <v>#DIV/0!</v>
      </c>
      <c r="H28" s="94" t="e">
        <f t="shared" si="6"/>
        <v>#DIV/0!</v>
      </c>
    </row>
    <row r="29" spans="1:8" s="7" customFormat="1">
      <c r="A29" s="189" t="s">
        <v>51</v>
      </c>
      <c r="B29" s="190"/>
      <c r="C29" s="190"/>
      <c r="D29" s="190"/>
      <c r="E29" s="190"/>
      <c r="F29" s="191" t="s">
        <v>35</v>
      </c>
      <c r="G29" s="101"/>
      <c r="H29" s="102"/>
    </row>
    <row r="30" spans="1:8" s="7" customFormat="1" ht="30" customHeight="1">
      <c r="A30" s="35" t="s">
        <v>43</v>
      </c>
      <c r="B30" s="10"/>
      <c r="C30" s="9"/>
      <c r="D30" s="9"/>
      <c r="E30" s="9"/>
      <c r="F30" s="9"/>
      <c r="G30" s="9"/>
      <c r="H30" s="10"/>
    </row>
    <row r="31" spans="1:8" s="7" customFormat="1" ht="30" customHeight="1">
      <c r="A31" s="35" t="s">
        <v>52</v>
      </c>
      <c r="B31" s="60"/>
      <c r="C31" s="60"/>
      <c r="D31" s="60"/>
      <c r="E31" s="60"/>
      <c r="F31" s="60"/>
      <c r="G31" s="60"/>
      <c r="H31" s="60"/>
    </row>
    <row r="32" spans="1:8" s="7" customFormat="1" ht="30" customHeight="1">
      <c r="A32" s="35" t="s">
        <v>44</v>
      </c>
      <c r="B32" s="10"/>
      <c r="C32" s="10"/>
      <c r="D32" s="10"/>
      <c r="E32" s="10"/>
      <c r="F32" s="10"/>
      <c r="G32" s="10"/>
      <c r="H32" s="10"/>
    </row>
    <row r="33" spans="1:12" s="7" customFormat="1" ht="30.95" customHeight="1">
      <c r="A33" s="36" t="s">
        <v>53</v>
      </c>
      <c r="B33" s="103">
        <f t="shared" ref="B33:H33" si="7">SUM(B30:B32)</f>
        <v>0</v>
      </c>
      <c r="C33" s="103">
        <f t="shared" si="7"/>
        <v>0</v>
      </c>
      <c r="D33" s="103">
        <f t="shared" si="7"/>
        <v>0</v>
      </c>
      <c r="E33" s="103">
        <f t="shared" si="7"/>
        <v>0</v>
      </c>
      <c r="F33" s="103">
        <f t="shared" si="7"/>
        <v>0</v>
      </c>
      <c r="G33" s="103">
        <f t="shared" si="7"/>
        <v>0</v>
      </c>
      <c r="H33" s="103">
        <f t="shared" si="7"/>
        <v>0</v>
      </c>
    </row>
    <row r="34" spans="1:12" s="7" customFormat="1" ht="24.95" customHeight="1">
      <c r="A34" s="34" t="s">
        <v>40</v>
      </c>
      <c r="B34" s="92" t="e">
        <f t="shared" ref="B34:H34" si="8">(B33-B7)/B7</f>
        <v>#DIV/0!</v>
      </c>
      <c r="C34" s="93" t="e">
        <f t="shared" si="8"/>
        <v>#DIV/0!</v>
      </c>
      <c r="D34" s="93" t="e">
        <f t="shared" si="8"/>
        <v>#DIV/0!</v>
      </c>
      <c r="E34" s="93" t="e">
        <f t="shared" si="8"/>
        <v>#DIV/0!</v>
      </c>
      <c r="F34" s="93" t="e">
        <f t="shared" si="8"/>
        <v>#DIV/0!</v>
      </c>
      <c r="G34" s="93" t="e">
        <f t="shared" si="8"/>
        <v>#DIV/0!</v>
      </c>
      <c r="H34" s="94" t="e">
        <f t="shared" si="8"/>
        <v>#DIV/0!</v>
      </c>
    </row>
    <row r="35" spans="1:12" s="7" customFormat="1">
      <c r="A35" s="192" t="s">
        <v>54</v>
      </c>
      <c r="B35" s="193"/>
      <c r="C35" s="193"/>
      <c r="D35" s="193"/>
      <c r="E35" s="193"/>
      <c r="F35" s="194" t="s">
        <v>35</v>
      </c>
      <c r="G35" s="104"/>
      <c r="H35" s="105"/>
    </row>
    <row r="36" spans="1:12" s="7" customFormat="1" ht="30.95" customHeight="1">
      <c r="A36" s="78" t="s">
        <v>55</v>
      </c>
      <c r="B36" s="77">
        <f t="shared" ref="B36:H36" si="9">B33+B27+B21</f>
        <v>0</v>
      </c>
      <c r="C36" s="77">
        <f t="shared" si="9"/>
        <v>0</v>
      </c>
      <c r="D36" s="77">
        <f t="shared" si="9"/>
        <v>0</v>
      </c>
      <c r="E36" s="77">
        <f t="shared" si="9"/>
        <v>0</v>
      </c>
      <c r="F36" s="77">
        <f t="shared" si="9"/>
        <v>0</v>
      </c>
      <c r="G36" s="77">
        <f t="shared" si="9"/>
        <v>0</v>
      </c>
      <c r="H36" s="77">
        <f t="shared" si="9"/>
        <v>0</v>
      </c>
    </row>
    <row r="37" spans="1:12" s="7" customFormat="1" ht="24.95" customHeight="1">
      <c r="A37" s="34" t="s">
        <v>40</v>
      </c>
      <c r="B37" s="92" t="e">
        <f t="shared" ref="B37:H37" si="10">(B36-B8)/B8</f>
        <v>#DIV/0!</v>
      </c>
      <c r="C37" s="93" t="e">
        <f t="shared" si="10"/>
        <v>#DIV/0!</v>
      </c>
      <c r="D37" s="93" t="e">
        <f t="shared" si="10"/>
        <v>#DIV/0!</v>
      </c>
      <c r="E37" s="93" t="e">
        <f t="shared" si="10"/>
        <v>#DIV/0!</v>
      </c>
      <c r="F37" s="93" t="e">
        <f t="shared" si="10"/>
        <v>#DIV/0!</v>
      </c>
      <c r="G37" s="93" t="e">
        <f t="shared" si="10"/>
        <v>#DIV/0!</v>
      </c>
      <c r="H37" s="94" t="e">
        <f t="shared" si="10"/>
        <v>#DIV/0!</v>
      </c>
    </row>
    <row r="38" spans="1:12" ht="24" customHeight="1">
      <c r="A38" s="195"/>
      <c r="B38" s="196"/>
      <c r="C38" s="196"/>
      <c r="D38" s="196"/>
      <c r="E38" s="196"/>
      <c r="F38" s="196"/>
      <c r="G38" s="106" t="s">
        <v>37</v>
      </c>
      <c r="H38" s="107">
        <f>SUM(B36:H36)</f>
        <v>0</v>
      </c>
    </row>
    <row r="39" spans="1:12" s="7" customFormat="1" ht="24.95" customHeight="1">
      <c r="A39" s="37"/>
      <c r="B39" s="25"/>
      <c r="C39" s="25"/>
      <c r="D39" s="25"/>
      <c r="E39" s="25"/>
      <c r="F39" s="25"/>
      <c r="G39" s="79" t="s">
        <v>40</v>
      </c>
      <c r="H39" s="80" t="e">
        <f>(H38-H9)/H9</f>
        <v>#DIV/0!</v>
      </c>
    </row>
    <row r="40" spans="1:12" s="7" customFormat="1" ht="24.95" customHeight="1">
      <c r="A40" s="37"/>
      <c r="B40" s="25"/>
      <c r="C40" s="25"/>
      <c r="D40" s="25"/>
      <c r="E40" s="25"/>
      <c r="F40" s="25"/>
      <c r="G40" s="81" t="s">
        <v>56</v>
      </c>
      <c r="H40" s="82" t="e">
        <f>(H38-H16)/H16</f>
        <v>#DIV/0!</v>
      </c>
    </row>
    <row r="41" spans="1:12" s="46" customFormat="1" ht="23.1" customHeight="1">
      <c r="A41" s="40"/>
      <c r="B41" s="47" t="s">
        <v>57</v>
      </c>
      <c r="C41" s="197" t="s">
        <v>58</v>
      </c>
      <c r="D41" s="197"/>
      <c r="E41" s="197"/>
      <c r="F41" s="197"/>
      <c r="G41" s="198">
        <v>2020</v>
      </c>
      <c r="H41" s="199"/>
      <c r="L41" s="56" t="s">
        <v>59</v>
      </c>
    </row>
    <row r="42" spans="1:12" ht="40.5" customHeight="1">
      <c r="A42" s="1" t="s">
        <v>60</v>
      </c>
      <c r="B42" s="57" t="s">
        <v>59</v>
      </c>
      <c r="C42" s="180"/>
      <c r="D42" s="180"/>
      <c r="E42" s="180"/>
      <c r="F42" s="180"/>
      <c r="G42" s="178"/>
      <c r="H42" s="179"/>
      <c r="L42" s="7" t="s">
        <v>61</v>
      </c>
    </row>
    <row r="43" spans="1:12" ht="33" customHeight="1">
      <c r="A43" s="1" t="s">
        <v>1</v>
      </c>
      <c r="B43" s="57" t="s">
        <v>59</v>
      </c>
      <c r="C43" s="180"/>
      <c r="D43" s="180"/>
      <c r="E43" s="180"/>
      <c r="F43" s="180"/>
      <c r="G43" s="178"/>
      <c r="H43" s="179"/>
      <c r="L43" s="5" t="s">
        <v>62</v>
      </c>
    </row>
    <row r="44" spans="1:12" ht="30" customHeight="1">
      <c r="A44" s="1" t="s">
        <v>2</v>
      </c>
      <c r="B44" s="57" t="s">
        <v>59</v>
      </c>
      <c r="C44" s="175"/>
      <c r="D44" s="175"/>
      <c r="E44" s="175"/>
      <c r="F44" s="175"/>
      <c r="G44" s="178"/>
      <c r="H44" s="179"/>
      <c r="L44" s="5" t="s">
        <v>63</v>
      </c>
    </row>
    <row r="45" spans="1:12" ht="23.25" customHeight="1">
      <c r="A45" s="1" t="s">
        <v>3</v>
      </c>
      <c r="B45" s="57" t="s">
        <v>59</v>
      </c>
      <c r="C45" s="175"/>
      <c r="D45" s="175"/>
      <c r="E45" s="175"/>
      <c r="F45" s="175"/>
      <c r="G45" s="176"/>
      <c r="H45" s="177"/>
      <c r="L45" s="5" t="s">
        <v>64</v>
      </c>
    </row>
    <row r="46" spans="1:12" ht="24.75" customHeight="1">
      <c r="A46" s="1" t="s">
        <v>4</v>
      </c>
      <c r="B46" s="57" t="s">
        <v>59</v>
      </c>
      <c r="C46" s="175"/>
      <c r="D46" s="175"/>
      <c r="E46" s="175"/>
      <c r="F46" s="175"/>
      <c r="G46" s="178"/>
      <c r="H46" s="179"/>
    </row>
    <row r="47" spans="1:12" ht="30" customHeight="1">
      <c r="A47" s="1" t="s">
        <v>5</v>
      </c>
      <c r="B47" s="57" t="s">
        <v>59</v>
      </c>
      <c r="C47" s="175"/>
      <c r="D47" s="175"/>
      <c r="E47" s="175"/>
      <c r="F47" s="175"/>
      <c r="G47" s="176"/>
      <c r="H47" s="177"/>
    </row>
    <row r="48" spans="1:12" ht="36.75" customHeight="1">
      <c r="A48" s="1" t="s">
        <v>6</v>
      </c>
      <c r="B48" s="57" t="s">
        <v>59</v>
      </c>
      <c r="C48" s="175"/>
      <c r="D48" s="175"/>
      <c r="E48" s="175"/>
      <c r="F48" s="175"/>
      <c r="G48" s="176"/>
      <c r="H48" s="177"/>
    </row>
    <row r="49" spans="1:8" ht="20.25" customHeight="1">
      <c r="A49" s="1"/>
      <c r="B49" s="14"/>
      <c r="C49" s="175"/>
      <c r="D49" s="175"/>
      <c r="E49" s="175"/>
      <c r="F49" s="175"/>
      <c r="G49" s="176"/>
      <c r="H49" s="177"/>
    </row>
    <row r="50" spans="1:8" ht="19.5" customHeight="1">
      <c r="A50" s="2"/>
      <c r="B50" s="14"/>
      <c r="C50" s="175"/>
      <c r="D50" s="175"/>
      <c r="E50" s="175"/>
      <c r="F50" s="175"/>
      <c r="G50" s="176"/>
      <c r="H50" s="177"/>
    </row>
    <row r="51" spans="1:8">
      <c r="A51" s="30"/>
      <c r="B51" s="18" t="s">
        <v>27</v>
      </c>
      <c r="C51" s="18" t="s">
        <v>28</v>
      </c>
      <c r="D51" s="18" t="s">
        <v>65</v>
      </c>
      <c r="E51" s="18" t="s">
        <v>30</v>
      </c>
      <c r="F51" s="18" t="s">
        <v>66</v>
      </c>
      <c r="G51" s="18" t="s">
        <v>32</v>
      </c>
      <c r="H51" s="18" t="s">
        <v>33</v>
      </c>
    </row>
    <row r="52" spans="1:8">
      <c r="A52" s="38" t="s">
        <v>67</v>
      </c>
      <c r="B52" s="108"/>
      <c r="C52" s="109"/>
      <c r="D52" s="20"/>
      <c r="E52" s="20"/>
      <c r="F52" s="20"/>
      <c r="G52" s="20"/>
      <c r="H52" s="15"/>
    </row>
    <row r="53" spans="1:8" customFormat="1" ht="15.75">
      <c r="A53" s="48" t="s">
        <v>68</v>
      </c>
      <c r="B53" s="22"/>
      <c r="C53" s="21"/>
      <c r="D53" s="21"/>
      <c r="E53" s="21"/>
      <c r="F53" s="21"/>
      <c r="G53" s="23" t="s">
        <v>37</v>
      </c>
      <c r="H53" s="23">
        <f>SUM(B52:H52)</f>
        <v>0</v>
      </c>
    </row>
    <row r="54" spans="1:8">
      <c r="A54" s="30"/>
      <c r="B54" s="18" t="s">
        <v>27</v>
      </c>
      <c r="C54" s="18" t="s">
        <v>28</v>
      </c>
      <c r="D54" s="18" t="s">
        <v>65</v>
      </c>
      <c r="E54" s="18" t="s">
        <v>30</v>
      </c>
      <c r="F54" s="18" t="s">
        <v>66</v>
      </c>
      <c r="G54" s="18" t="s">
        <v>32</v>
      </c>
      <c r="H54" s="18" t="s">
        <v>33</v>
      </c>
    </row>
    <row r="55" spans="1:8">
      <c r="A55" s="38" t="s">
        <v>69</v>
      </c>
      <c r="B55" s="51"/>
      <c r="C55" s="52"/>
      <c r="D55" s="52"/>
      <c r="E55" s="52"/>
      <c r="F55" s="52"/>
      <c r="G55" s="20"/>
      <c r="H55" s="15"/>
    </row>
    <row r="56" spans="1:8" customFormat="1" ht="15.75">
      <c r="A56" s="49" t="s">
        <v>70</v>
      </c>
      <c r="B56" s="53"/>
      <c r="C56" s="53" t="s">
        <v>71</v>
      </c>
      <c r="D56" s="54"/>
      <c r="E56" s="54"/>
      <c r="F56" s="55"/>
      <c r="G56" s="50" t="s">
        <v>37</v>
      </c>
      <c r="H56" s="23"/>
    </row>
    <row r="57" spans="1:8">
      <c r="H57" s="16"/>
    </row>
    <row r="58" spans="1:8">
      <c r="H58" s="16"/>
    </row>
    <row r="59" spans="1:8">
      <c r="H59" s="16"/>
    </row>
    <row r="60" spans="1:8">
      <c r="H60" s="16"/>
    </row>
    <row r="61" spans="1:8">
      <c r="H61" s="16"/>
    </row>
    <row r="62" spans="1:8">
      <c r="H62" s="16"/>
    </row>
    <row r="63" spans="1:8">
      <c r="H63" s="16"/>
    </row>
    <row r="64" spans="1:8">
      <c r="B64" s="5"/>
      <c r="H64" s="16"/>
    </row>
    <row r="65" spans="2:8">
      <c r="B65" s="5"/>
      <c r="H65" s="16"/>
    </row>
    <row r="66" spans="2:8">
      <c r="B66" s="5"/>
      <c r="H66" s="16"/>
    </row>
    <row r="67" spans="2:8">
      <c r="B67" s="5"/>
      <c r="H67" s="16"/>
    </row>
    <row r="68" spans="2:8">
      <c r="B68" s="5"/>
      <c r="H68" s="16"/>
    </row>
    <row r="69" spans="2:8">
      <c r="B69" s="5"/>
      <c r="H69" s="16"/>
    </row>
    <row r="70" spans="2:8">
      <c r="B70" s="5"/>
      <c r="H70" s="16"/>
    </row>
    <row r="71" spans="2:8">
      <c r="B71" s="5"/>
      <c r="H71" s="16"/>
    </row>
    <row r="72" spans="2:8">
      <c r="B72" s="5"/>
      <c r="H72" s="16"/>
    </row>
    <row r="73" spans="2:8">
      <c r="B73" s="5"/>
      <c r="H73" s="16"/>
    </row>
    <row r="74" spans="2:8">
      <c r="B74" s="5"/>
      <c r="H74" s="16"/>
    </row>
    <row r="75" spans="2:8">
      <c r="B75" s="5"/>
      <c r="H75" s="16"/>
    </row>
    <row r="76" spans="2:8">
      <c r="B76" s="5"/>
      <c r="H76" s="16"/>
    </row>
    <row r="77" spans="2:8">
      <c r="B77" s="5"/>
      <c r="H77" s="16"/>
    </row>
    <row r="78" spans="2:8">
      <c r="B78" s="5"/>
      <c r="H78" s="16"/>
    </row>
    <row r="79" spans="2:8">
      <c r="B79" s="5"/>
      <c r="H79" s="16"/>
    </row>
    <row r="80" spans="2:8">
      <c r="B80" s="5"/>
      <c r="H80" s="16"/>
    </row>
    <row r="81" spans="2:8">
      <c r="B81" s="5"/>
      <c r="H81" s="16"/>
    </row>
    <row r="82" spans="2:8">
      <c r="B82" s="5"/>
      <c r="H82" s="16"/>
    </row>
    <row r="83" spans="2:8">
      <c r="B83" s="5"/>
      <c r="H83" s="16"/>
    </row>
    <row r="84" spans="2:8">
      <c r="B84" s="5"/>
      <c r="H84" s="16"/>
    </row>
    <row r="85" spans="2:8">
      <c r="B85" s="5"/>
      <c r="H85" s="16"/>
    </row>
    <row r="86" spans="2:8">
      <c r="B86" s="5"/>
      <c r="H86" s="16"/>
    </row>
    <row r="87" spans="2:8">
      <c r="B87" s="5"/>
      <c r="H87" s="16"/>
    </row>
    <row r="88" spans="2:8">
      <c r="B88" s="5"/>
      <c r="H88" s="16"/>
    </row>
    <row r="89" spans="2:8">
      <c r="B89" s="5"/>
      <c r="H89" s="16"/>
    </row>
    <row r="90" spans="2:8">
      <c r="B90" s="5"/>
      <c r="H90" s="16"/>
    </row>
    <row r="91" spans="2:8">
      <c r="B91" s="5"/>
      <c r="H91" s="16"/>
    </row>
    <row r="92" spans="2:8">
      <c r="B92" s="5"/>
      <c r="H92" s="16"/>
    </row>
    <row r="93" spans="2:8">
      <c r="B93" s="5"/>
      <c r="H93" s="16"/>
    </row>
    <row r="94" spans="2:8">
      <c r="B94" s="5"/>
      <c r="H94" s="16"/>
    </row>
    <row r="95" spans="2:8">
      <c r="B95" s="5"/>
      <c r="H95" s="16"/>
    </row>
    <row r="96" spans="2:8">
      <c r="B96" s="5"/>
      <c r="H96" s="16"/>
    </row>
    <row r="97" spans="2:8">
      <c r="B97" s="5"/>
      <c r="H97" s="16"/>
    </row>
    <row r="98" spans="2:8">
      <c r="B98" s="5"/>
      <c r="H98" s="16"/>
    </row>
    <row r="99" spans="2:8">
      <c r="B99" s="5"/>
      <c r="H99" s="16"/>
    </row>
    <row r="100" spans="2:8">
      <c r="B100" s="5"/>
      <c r="H100" s="16"/>
    </row>
    <row r="101" spans="2:8">
      <c r="B101" s="5"/>
      <c r="H101" s="16"/>
    </row>
    <row r="102" spans="2:8">
      <c r="B102" s="5"/>
      <c r="H102" s="16"/>
    </row>
    <row r="103" spans="2:8">
      <c r="B103" s="5"/>
      <c r="H103" s="16"/>
    </row>
    <row r="104" spans="2:8">
      <c r="B104" s="5"/>
      <c r="H104" s="16"/>
    </row>
    <row r="105" spans="2:8">
      <c r="B105" s="5"/>
      <c r="H105" s="16"/>
    </row>
    <row r="106" spans="2:8">
      <c r="B106" s="5"/>
      <c r="H106" s="16"/>
    </row>
    <row r="107" spans="2:8">
      <c r="B107" s="5"/>
      <c r="H107" s="16"/>
    </row>
    <row r="108" spans="2:8">
      <c r="B108" s="5"/>
      <c r="H108" s="16"/>
    </row>
    <row r="109" spans="2:8">
      <c r="B109" s="5"/>
      <c r="H109" s="16"/>
    </row>
    <row r="110" spans="2:8">
      <c r="B110" s="5"/>
      <c r="H110" s="16"/>
    </row>
    <row r="111" spans="2:8">
      <c r="B111" s="5"/>
      <c r="H111" s="16"/>
    </row>
    <row r="112" spans="2:8">
      <c r="B112" s="5"/>
      <c r="H112" s="16"/>
    </row>
    <row r="113" spans="2:8">
      <c r="B113" s="5"/>
      <c r="H113" s="16"/>
    </row>
    <row r="114" spans="2:8">
      <c r="B114" s="5"/>
      <c r="H114" s="16"/>
    </row>
    <row r="115" spans="2:8">
      <c r="B115" s="5"/>
      <c r="H115" s="16"/>
    </row>
    <row r="116" spans="2:8">
      <c r="B116" s="5"/>
      <c r="H116" s="16"/>
    </row>
    <row r="117" spans="2:8">
      <c r="B117" s="5"/>
      <c r="H117" s="16"/>
    </row>
    <row r="118" spans="2:8">
      <c r="B118" s="5"/>
      <c r="H118" s="16"/>
    </row>
    <row r="119" spans="2:8">
      <c r="B119" s="5"/>
      <c r="H119" s="16"/>
    </row>
    <row r="120" spans="2:8">
      <c r="B120" s="5"/>
      <c r="H120" s="16"/>
    </row>
    <row r="121" spans="2:8">
      <c r="B121" s="5"/>
      <c r="H121" s="16"/>
    </row>
    <row r="122" spans="2:8">
      <c r="B122" s="5"/>
      <c r="H122" s="16"/>
    </row>
    <row r="123" spans="2:8">
      <c r="B123" s="5"/>
      <c r="H123" s="16"/>
    </row>
    <row r="124" spans="2:8">
      <c r="B124" s="5"/>
      <c r="H124" s="16"/>
    </row>
    <row r="125" spans="2:8">
      <c r="B125" s="5"/>
      <c r="H125" s="16"/>
    </row>
    <row r="126" spans="2:8">
      <c r="B126" s="5"/>
      <c r="H126" s="16"/>
    </row>
    <row r="127" spans="2:8">
      <c r="B127" s="5"/>
      <c r="H127" s="16"/>
    </row>
    <row r="128" spans="2:8">
      <c r="B128" s="5"/>
      <c r="H128" s="16"/>
    </row>
    <row r="129" spans="2:8">
      <c r="B129" s="5"/>
      <c r="H129" s="16"/>
    </row>
    <row r="130" spans="2:8">
      <c r="B130" s="5"/>
      <c r="H130" s="16"/>
    </row>
    <row r="131" spans="2:8">
      <c r="B131" s="5"/>
      <c r="H131" s="16"/>
    </row>
    <row r="132" spans="2:8">
      <c r="B132" s="5"/>
      <c r="H132" s="16"/>
    </row>
    <row r="133" spans="2:8">
      <c r="B133" s="5"/>
      <c r="H133" s="16"/>
    </row>
    <row r="134" spans="2:8">
      <c r="B134" s="5"/>
      <c r="H134" s="16"/>
    </row>
    <row r="135" spans="2:8">
      <c r="B135" s="5"/>
      <c r="H135" s="16"/>
    </row>
    <row r="136" spans="2:8">
      <c r="B136" s="5"/>
      <c r="H136" s="16"/>
    </row>
    <row r="137" spans="2:8">
      <c r="B137" s="5"/>
      <c r="H137" s="16"/>
    </row>
    <row r="138" spans="2:8">
      <c r="B138" s="5"/>
      <c r="H138" s="16"/>
    </row>
    <row r="139" spans="2:8">
      <c r="B139" s="5"/>
      <c r="H139" s="16"/>
    </row>
    <row r="140" spans="2:8">
      <c r="B140" s="5"/>
      <c r="H140" s="16"/>
    </row>
    <row r="141" spans="2:8">
      <c r="B141" s="5"/>
      <c r="H141" s="16"/>
    </row>
    <row r="142" spans="2:8">
      <c r="B142" s="5"/>
      <c r="H142" s="16"/>
    </row>
    <row r="143" spans="2:8">
      <c r="B143" s="5"/>
      <c r="H143" s="16"/>
    </row>
    <row r="144" spans="2:8">
      <c r="B144" s="5"/>
      <c r="H144" s="16"/>
    </row>
    <row r="145" spans="2:8">
      <c r="B145" s="5"/>
      <c r="H145" s="16"/>
    </row>
    <row r="146" spans="2:8">
      <c r="B146" s="5"/>
      <c r="H146" s="16"/>
    </row>
    <row r="147" spans="2:8">
      <c r="B147" s="5"/>
      <c r="H147" s="16"/>
    </row>
    <row r="148" spans="2:8">
      <c r="B148" s="5"/>
      <c r="H148" s="16"/>
    </row>
    <row r="149" spans="2:8">
      <c r="B149" s="5"/>
      <c r="H149" s="16"/>
    </row>
    <row r="150" spans="2:8">
      <c r="B150" s="5"/>
      <c r="H150" s="16"/>
    </row>
    <row r="151" spans="2:8">
      <c r="B151" s="5"/>
      <c r="H151" s="16"/>
    </row>
    <row r="152" spans="2:8">
      <c r="B152" s="5"/>
      <c r="H152" s="16"/>
    </row>
    <row r="153" spans="2:8">
      <c r="B153" s="5"/>
      <c r="H153" s="16"/>
    </row>
    <row r="154" spans="2:8">
      <c r="B154" s="5"/>
      <c r="H154" s="16"/>
    </row>
    <row r="155" spans="2:8">
      <c r="B155" s="5"/>
      <c r="H155" s="16"/>
    </row>
    <row r="156" spans="2:8">
      <c r="B156" s="5"/>
      <c r="H156" s="16"/>
    </row>
    <row r="157" spans="2:8">
      <c r="B157" s="5"/>
      <c r="H157" s="16"/>
    </row>
    <row r="158" spans="2:8">
      <c r="B158" s="5"/>
      <c r="H158" s="16"/>
    </row>
    <row r="159" spans="2:8">
      <c r="B159" s="5"/>
      <c r="H159" s="16"/>
    </row>
    <row r="160" spans="2:8">
      <c r="B160" s="5"/>
      <c r="H160" s="16"/>
    </row>
    <row r="161" spans="2:8">
      <c r="B161" s="5"/>
      <c r="H161" s="16"/>
    </row>
    <row r="162" spans="2:8">
      <c r="B162" s="5"/>
      <c r="H162" s="16"/>
    </row>
    <row r="163" spans="2:8">
      <c r="B163" s="5"/>
      <c r="H163" s="16"/>
    </row>
    <row r="164" spans="2:8">
      <c r="B164" s="5"/>
      <c r="H164" s="16"/>
    </row>
    <row r="165" spans="2:8">
      <c r="B165" s="5"/>
      <c r="H165" s="16"/>
    </row>
    <row r="166" spans="2:8">
      <c r="B166" s="5"/>
      <c r="H166" s="16"/>
    </row>
    <row r="167" spans="2:8">
      <c r="B167" s="5"/>
      <c r="H167" s="16"/>
    </row>
    <row r="168" spans="2:8">
      <c r="B168" s="5"/>
      <c r="H168" s="16"/>
    </row>
    <row r="169" spans="2:8">
      <c r="B169" s="5"/>
      <c r="H169" s="16"/>
    </row>
    <row r="170" spans="2:8">
      <c r="B170" s="5"/>
      <c r="H170" s="16"/>
    </row>
    <row r="171" spans="2:8">
      <c r="B171" s="5"/>
      <c r="H171" s="16"/>
    </row>
    <row r="172" spans="2:8">
      <c r="B172" s="5"/>
      <c r="H172" s="16"/>
    </row>
    <row r="173" spans="2:8">
      <c r="B173" s="5"/>
      <c r="H173" s="16"/>
    </row>
    <row r="174" spans="2:8">
      <c r="B174" s="5"/>
      <c r="H174" s="16"/>
    </row>
    <row r="175" spans="2:8">
      <c r="B175" s="5"/>
      <c r="H175" s="16"/>
    </row>
    <row r="176" spans="2:8">
      <c r="B176" s="5"/>
      <c r="H176" s="16"/>
    </row>
    <row r="177" spans="2:8">
      <c r="B177" s="5"/>
      <c r="H177" s="16"/>
    </row>
    <row r="178" spans="2:8">
      <c r="B178" s="5"/>
      <c r="H178" s="16"/>
    </row>
    <row r="179" spans="2:8">
      <c r="B179" s="5"/>
      <c r="H179" s="16"/>
    </row>
    <row r="180" spans="2:8">
      <c r="B180" s="5"/>
      <c r="H180" s="16"/>
    </row>
    <row r="181" spans="2:8">
      <c r="B181" s="5"/>
      <c r="H181" s="16"/>
    </row>
    <row r="182" spans="2:8">
      <c r="B182" s="5"/>
      <c r="H182" s="16"/>
    </row>
    <row r="183" spans="2:8">
      <c r="B183" s="5"/>
      <c r="H183" s="16"/>
    </row>
    <row r="184" spans="2:8">
      <c r="B184" s="5"/>
      <c r="H184" s="16"/>
    </row>
    <row r="185" spans="2:8">
      <c r="B185" s="5"/>
      <c r="H185" s="16"/>
    </row>
    <row r="186" spans="2:8">
      <c r="B186" s="5"/>
      <c r="H186" s="16"/>
    </row>
    <row r="187" spans="2:8">
      <c r="B187" s="5"/>
      <c r="H187" s="16"/>
    </row>
    <row r="188" spans="2:8">
      <c r="B188" s="5"/>
      <c r="H188" s="16"/>
    </row>
    <row r="189" spans="2:8">
      <c r="B189" s="5"/>
      <c r="H189" s="16"/>
    </row>
    <row r="190" spans="2:8">
      <c r="B190" s="5"/>
      <c r="H190" s="16"/>
    </row>
    <row r="191" spans="2:8">
      <c r="B191" s="5"/>
      <c r="H191" s="16"/>
    </row>
    <row r="192" spans="2:8">
      <c r="B192" s="5"/>
      <c r="H192" s="16"/>
    </row>
    <row r="193" spans="2:8">
      <c r="B193" s="5"/>
      <c r="H193" s="16"/>
    </row>
    <row r="194" spans="2:8">
      <c r="B194" s="5"/>
      <c r="H194" s="16"/>
    </row>
    <row r="195" spans="2:8">
      <c r="B195" s="5"/>
      <c r="H195" s="16"/>
    </row>
    <row r="196" spans="2:8">
      <c r="B196" s="5"/>
      <c r="H196" s="16"/>
    </row>
    <row r="197" spans="2:8">
      <c r="B197" s="5"/>
      <c r="H197" s="16"/>
    </row>
    <row r="198" spans="2:8">
      <c r="B198" s="5"/>
      <c r="H198" s="16"/>
    </row>
    <row r="199" spans="2:8">
      <c r="B199" s="5"/>
      <c r="H199" s="16"/>
    </row>
    <row r="200" spans="2:8">
      <c r="B200" s="5"/>
      <c r="H200" s="16"/>
    </row>
    <row r="201" spans="2:8">
      <c r="B201" s="5"/>
      <c r="H201" s="16"/>
    </row>
    <row r="202" spans="2:8">
      <c r="B202" s="5"/>
      <c r="H202" s="16"/>
    </row>
    <row r="203" spans="2:8">
      <c r="B203" s="5"/>
      <c r="H203" s="16"/>
    </row>
    <row r="204" spans="2:8">
      <c r="B204" s="5"/>
      <c r="H204" s="16"/>
    </row>
    <row r="205" spans="2:8">
      <c r="B205" s="5"/>
      <c r="H205" s="16"/>
    </row>
    <row r="206" spans="2:8">
      <c r="B206" s="5"/>
      <c r="H206" s="16"/>
    </row>
    <row r="207" spans="2:8">
      <c r="B207" s="5"/>
      <c r="H207" s="16"/>
    </row>
    <row r="208" spans="2:8">
      <c r="B208" s="5"/>
      <c r="H208" s="16"/>
    </row>
    <row r="209" spans="2:8">
      <c r="B209" s="5"/>
      <c r="H209" s="16"/>
    </row>
    <row r="210" spans="2:8">
      <c r="B210" s="5"/>
      <c r="H210" s="16"/>
    </row>
    <row r="211" spans="2:8">
      <c r="B211" s="5"/>
      <c r="H211" s="16"/>
    </row>
    <row r="212" spans="2:8">
      <c r="B212" s="5"/>
      <c r="H212" s="16"/>
    </row>
    <row r="213" spans="2:8">
      <c r="B213" s="5"/>
      <c r="H213" s="16"/>
    </row>
    <row r="214" spans="2:8">
      <c r="B214" s="5"/>
      <c r="H214" s="16"/>
    </row>
    <row r="215" spans="2:8">
      <c r="B215" s="5"/>
      <c r="H215" s="16"/>
    </row>
    <row r="216" spans="2:8">
      <c r="B216" s="5"/>
      <c r="H216" s="16"/>
    </row>
    <row r="217" spans="2:8">
      <c r="B217" s="5"/>
      <c r="H217" s="16"/>
    </row>
    <row r="218" spans="2:8">
      <c r="B218" s="5"/>
      <c r="H218" s="16"/>
    </row>
    <row r="219" spans="2:8">
      <c r="B219" s="5"/>
      <c r="H219" s="16"/>
    </row>
    <row r="220" spans="2:8">
      <c r="B220" s="5"/>
      <c r="H220" s="16"/>
    </row>
    <row r="221" spans="2:8">
      <c r="B221" s="5"/>
      <c r="H221" s="16"/>
    </row>
    <row r="222" spans="2:8">
      <c r="B222" s="5"/>
      <c r="H222" s="16"/>
    </row>
    <row r="223" spans="2:8">
      <c r="B223" s="5"/>
      <c r="H223" s="16"/>
    </row>
    <row r="224" spans="2:8">
      <c r="B224" s="5"/>
      <c r="H224" s="16"/>
    </row>
    <row r="225" spans="2:8">
      <c r="B225" s="5"/>
      <c r="H225" s="16"/>
    </row>
    <row r="226" spans="2:8">
      <c r="B226" s="5"/>
      <c r="H226" s="16"/>
    </row>
    <row r="227" spans="2:8">
      <c r="B227" s="5"/>
      <c r="H227" s="16"/>
    </row>
    <row r="228" spans="2:8">
      <c r="B228" s="5"/>
      <c r="H228" s="16"/>
    </row>
    <row r="229" spans="2:8">
      <c r="B229" s="5"/>
      <c r="H229" s="16"/>
    </row>
    <row r="230" spans="2:8">
      <c r="B230" s="5"/>
      <c r="H230" s="16"/>
    </row>
    <row r="231" spans="2:8">
      <c r="B231" s="5"/>
      <c r="H231" s="16"/>
    </row>
    <row r="232" spans="2:8">
      <c r="B232" s="5"/>
      <c r="H232" s="16"/>
    </row>
    <row r="233" spans="2:8">
      <c r="B233" s="5"/>
      <c r="H233" s="16"/>
    </row>
    <row r="234" spans="2:8">
      <c r="B234" s="5"/>
      <c r="H234" s="16"/>
    </row>
    <row r="235" spans="2:8">
      <c r="B235" s="5"/>
      <c r="H235" s="16"/>
    </row>
    <row r="236" spans="2:8">
      <c r="B236" s="5"/>
      <c r="H236" s="16"/>
    </row>
    <row r="237" spans="2:8">
      <c r="B237" s="5"/>
      <c r="H237" s="16"/>
    </row>
    <row r="238" spans="2:8">
      <c r="B238" s="5"/>
      <c r="H238" s="16"/>
    </row>
    <row r="239" spans="2:8">
      <c r="B239" s="5"/>
      <c r="H239" s="16"/>
    </row>
    <row r="240" spans="2:8">
      <c r="B240" s="5"/>
      <c r="H240" s="16"/>
    </row>
    <row r="241" spans="2:8">
      <c r="B241" s="5"/>
      <c r="H241" s="16"/>
    </row>
    <row r="242" spans="2:8">
      <c r="B242" s="5"/>
      <c r="H242" s="16"/>
    </row>
    <row r="243" spans="2:8">
      <c r="B243" s="5"/>
      <c r="H243" s="16"/>
    </row>
    <row r="244" spans="2:8">
      <c r="B244" s="5"/>
      <c r="H244" s="16"/>
    </row>
    <row r="245" spans="2:8">
      <c r="B245" s="5"/>
      <c r="H245" s="16"/>
    </row>
    <row r="246" spans="2:8">
      <c r="B246" s="5"/>
      <c r="H246" s="16"/>
    </row>
    <row r="247" spans="2:8">
      <c r="B247" s="5"/>
      <c r="H247" s="16"/>
    </row>
    <row r="248" spans="2:8">
      <c r="B248" s="5"/>
      <c r="H248" s="16"/>
    </row>
    <row r="249" spans="2:8">
      <c r="B249" s="5"/>
      <c r="H249" s="16"/>
    </row>
    <row r="250" spans="2:8">
      <c r="B250" s="5"/>
      <c r="H250" s="16"/>
    </row>
    <row r="251" spans="2:8">
      <c r="B251" s="5"/>
      <c r="H251" s="16"/>
    </row>
    <row r="252" spans="2:8">
      <c r="B252" s="5"/>
      <c r="H252" s="16"/>
    </row>
    <row r="253" spans="2:8">
      <c r="B253" s="5"/>
      <c r="H253" s="16"/>
    </row>
    <row r="254" spans="2:8">
      <c r="B254" s="5"/>
      <c r="H254" s="16"/>
    </row>
    <row r="255" spans="2:8">
      <c r="B255" s="5"/>
      <c r="H255" s="16"/>
    </row>
    <row r="256" spans="2:8">
      <c r="B256" s="5"/>
      <c r="H256" s="16"/>
    </row>
    <row r="257" spans="2:8">
      <c r="B257" s="5"/>
      <c r="H257" s="16"/>
    </row>
    <row r="258" spans="2:8">
      <c r="B258" s="5"/>
      <c r="H258" s="16"/>
    </row>
    <row r="259" spans="2:8">
      <c r="B259" s="5"/>
      <c r="H259" s="16"/>
    </row>
    <row r="260" spans="2:8">
      <c r="B260" s="5"/>
      <c r="H260" s="16"/>
    </row>
    <row r="261" spans="2:8">
      <c r="B261" s="5"/>
      <c r="H261" s="16"/>
    </row>
    <row r="262" spans="2:8">
      <c r="B262" s="5"/>
      <c r="H262" s="16"/>
    </row>
    <row r="263" spans="2:8">
      <c r="B263" s="5"/>
      <c r="H263" s="16"/>
    </row>
    <row r="264" spans="2:8">
      <c r="B264" s="5"/>
      <c r="H264" s="16"/>
    </row>
    <row r="265" spans="2:8">
      <c r="B265" s="5"/>
      <c r="H265" s="16"/>
    </row>
    <row r="266" spans="2:8">
      <c r="B266" s="5"/>
      <c r="H266" s="16"/>
    </row>
    <row r="267" spans="2:8">
      <c r="B267" s="5"/>
      <c r="H267" s="16"/>
    </row>
    <row r="268" spans="2:8">
      <c r="B268" s="5"/>
      <c r="H268" s="16"/>
    </row>
    <row r="269" spans="2:8">
      <c r="B269" s="5"/>
      <c r="H269" s="16"/>
    </row>
    <row r="270" spans="2:8">
      <c r="B270" s="5"/>
      <c r="H270" s="16"/>
    </row>
    <row r="271" spans="2:8">
      <c r="B271" s="5"/>
      <c r="H271" s="16"/>
    </row>
    <row r="272" spans="2:8">
      <c r="B272" s="5"/>
      <c r="H272" s="16"/>
    </row>
    <row r="273" spans="2:8">
      <c r="B273" s="5"/>
      <c r="H273" s="16"/>
    </row>
    <row r="274" spans="2:8">
      <c r="B274" s="5"/>
      <c r="H274" s="16"/>
    </row>
    <row r="275" spans="2:8">
      <c r="B275" s="5"/>
      <c r="H275" s="16"/>
    </row>
    <row r="276" spans="2:8">
      <c r="B276" s="5"/>
      <c r="H276" s="16"/>
    </row>
    <row r="277" spans="2:8">
      <c r="B277" s="5"/>
      <c r="H277" s="16"/>
    </row>
    <row r="278" spans="2:8">
      <c r="B278" s="5"/>
      <c r="H278" s="16"/>
    </row>
    <row r="279" spans="2:8">
      <c r="B279" s="5"/>
      <c r="H279" s="16"/>
    </row>
    <row r="280" spans="2:8">
      <c r="B280" s="5"/>
      <c r="H280" s="16"/>
    </row>
    <row r="281" spans="2:8">
      <c r="B281" s="5"/>
      <c r="H281" s="16"/>
    </row>
    <row r="282" spans="2:8">
      <c r="B282" s="5"/>
      <c r="H282" s="16"/>
    </row>
    <row r="283" spans="2:8">
      <c r="B283" s="5"/>
      <c r="H283" s="16"/>
    </row>
    <row r="284" spans="2:8">
      <c r="B284" s="5"/>
      <c r="H284" s="16"/>
    </row>
    <row r="285" spans="2:8">
      <c r="B285" s="5"/>
      <c r="H285" s="16"/>
    </row>
    <row r="286" spans="2:8">
      <c r="B286" s="5"/>
      <c r="H286" s="16"/>
    </row>
    <row r="287" spans="2:8">
      <c r="B287" s="5"/>
      <c r="H287" s="16"/>
    </row>
    <row r="288" spans="2:8">
      <c r="B288" s="5"/>
      <c r="H288" s="16"/>
    </row>
    <row r="289" spans="2:8">
      <c r="B289" s="5"/>
      <c r="H289" s="16"/>
    </row>
    <row r="290" spans="2:8">
      <c r="B290" s="5"/>
      <c r="H290" s="16"/>
    </row>
    <row r="291" spans="2:8">
      <c r="B291" s="5"/>
      <c r="H291" s="16"/>
    </row>
    <row r="292" spans="2:8">
      <c r="B292" s="5"/>
      <c r="H292" s="16"/>
    </row>
    <row r="293" spans="2:8">
      <c r="B293" s="5"/>
      <c r="H293" s="16"/>
    </row>
    <row r="294" spans="2:8">
      <c r="B294" s="5"/>
      <c r="H294" s="16"/>
    </row>
    <row r="295" spans="2:8">
      <c r="B295" s="5"/>
      <c r="H295" s="16"/>
    </row>
    <row r="296" spans="2:8">
      <c r="B296" s="5"/>
      <c r="H296" s="16"/>
    </row>
    <row r="297" spans="2:8">
      <c r="B297" s="5"/>
      <c r="H297" s="16"/>
    </row>
    <row r="298" spans="2:8">
      <c r="B298" s="5"/>
      <c r="H298" s="16"/>
    </row>
    <row r="299" spans="2:8">
      <c r="B299" s="5"/>
      <c r="H299" s="16"/>
    </row>
    <row r="300" spans="2:8">
      <c r="B300" s="5"/>
      <c r="H300" s="16"/>
    </row>
    <row r="301" spans="2:8">
      <c r="B301" s="5"/>
      <c r="H301" s="16"/>
    </row>
    <row r="302" spans="2:8">
      <c r="B302" s="5"/>
      <c r="H302" s="16"/>
    </row>
    <row r="303" spans="2:8">
      <c r="B303" s="5"/>
      <c r="H303" s="16"/>
    </row>
    <row r="304" spans="2:8">
      <c r="B304" s="5"/>
      <c r="H304" s="16"/>
    </row>
    <row r="305" spans="2:8">
      <c r="B305" s="5"/>
      <c r="H305" s="16"/>
    </row>
    <row r="306" spans="2:8">
      <c r="B306" s="5"/>
      <c r="H306" s="16"/>
    </row>
    <row r="307" spans="2:8">
      <c r="B307" s="5"/>
      <c r="H307" s="16"/>
    </row>
    <row r="308" spans="2:8">
      <c r="B308" s="5"/>
      <c r="H308" s="16"/>
    </row>
    <row r="309" spans="2:8">
      <c r="B309" s="5"/>
      <c r="H309" s="16"/>
    </row>
    <row r="310" spans="2:8">
      <c r="B310" s="5"/>
      <c r="H310" s="16"/>
    </row>
    <row r="311" spans="2:8">
      <c r="B311" s="5"/>
      <c r="H311" s="16"/>
    </row>
    <row r="312" spans="2:8">
      <c r="B312" s="5"/>
      <c r="H312" s="16"/>
    </row>
    <row r="313" spans="2:8">
      <c r="B313" s="5"/>
      <c r="H313" s="16"/>
    </row>
    <row r="314" spans="2:8">
      <c r="B314" s="5"/>
      <c r="H314" s="16"/>
    </row>
    <row r="315" spans="2:8">
      <c r="B315" s="5"/>
      <c r="H315" s="16"/>
    </row>
    <row r="316" spans="2:8">
      <c r="B316" s="5"/>
      <c r="H316" s="16"/>
    </row>
    <row r="317" spans="2:8">
      <c r="B317" s="5"/>
      <c r="H317" s="16"/>
    </row>
    <row r="318" spans="2:8">
      <c r="B318" s="5"/>
      <c r="H318" s="16"/>
    </row>
    <row r="319" spans="2:8">
      <c r="B319" s="5"/>
      <c r="H319" s="16"/>
    </row>
    <row r="320" spans="2:8">
      <c r="B320" s="5"/>
      <c r="H320" s="16"/>
    </row>
    <row r="321" spans="2:8">
      <c r="B321" s="5"/>
      <c r="H321" s="16"/>
    </row>
    <row r="322" spans="2:8">
      <c r="B322" s="5"/>
      <c r="H322" s="16"/>
    </row>
    <row r="323" spans="2:8">
      <c r="B323" s="5"/>
      <c r="H323" s="16"/>
    </row>
    <row r="324" spans="2:8">
      <c r="B324" s="5"/>
      <c r="H324" s="16"/>
    </row>
    <row r="325" spans="2:8">
      <c r="B325" s="5"/>
      <c r="H325" s="16"/>
    </row>
    <row r="326" spans="2:8">
      <c r="B326" s="5"/>
      <c r="H326" s="16"/>
    </row>
    <row r="327" spans="2:8">
      <c r="B327" s="5"/>
      <c r="H327" s="16"/>
    </row>
    <row r="328" spans="2:8">
      <c r="B328" s="5"/>
      <c r="H328" s="16"/>
    </row>
    <row r="329" spans="2:8">
      <c r="B329" s="5"/>
      <c r="H329" s="16"/>
    </row>
    <row r="330" spans="2:8">
      <c r="B330" s="5"/>
      <c r="H330" s="16"/>
    </row>
    <row r="331" spans="2:8">
      <c r="B331" s="5"/>
      <c r="H331" s="16"/>
    </row>
    <row r="332" spans="2:8">
      <c r="B332" s="5"/>
      <c r="H332" s="16"/>
    </row>
    <row r="333" spans="2:8">
      <c r="B333" s="5"/>
      <c r="H333" s="16"/>
    </row>
    <row r="334" spans="2:8">
      <c r="B334" s="5"/>
      <c r="H334" s="16"/>
    </row>
    <row r="335" spans="2:8">
      <c r="B335" s="5"/>
      <c r="H335" s="16"/>
    </row>
    <row r="336" spans="2:8">
      <c r="B336" s="5"/>
      <c r="H336" s="16"/>
    </row>
    <row r="337" spans="2:8">
      <c r="B337" s="5"/>
      <c r="H337" s="16"/>
    </row>
    <row r="338" spans="2:8">
      <c r="B338" s="5"/>
      <c r="H338" s="16"/>
    </row>
    <row r="339" spans="2:8">
      <c r="B339" s="5"/>
      <c r="H339" s="16"/>
    </row>
    <row r="340" spans="2:8">
      <c r="B340" s="5"/>
      <c r="H340" s="16"/>
    </row>
    <row r="341" spans="2:8">
      <c r="B341" s="5"/>
      <c r="H341" s="16"/>
    </row>
    <row r="342" spans="2:8">
      <c r="B342" s="5"/>
      <c r="H342" s="16"/>
    </row>
    <row r="343" spans="2:8">
      <c r="B343" s="5"/>
      <c r="H343" s="16"/>
    </row>
    <row r="344" spans="2:8">
      <c r="B344" s="5"/>
      <c r="H344" s="16"/>
    </row>
    <row r="345" spans="2:8">
      <c r="B345" s="5"/>
      <c r="H345" s="16"/>
    </row>
    <row r="346" spans="2:8">
      <c r="B346" s="5"/>
      <c r="H346" s="16"/>
    </row>
    <row r="347" spans="2:8">
      <c r="B347" s="5"/>
      <c r="H347" s="16"/>
    </row>
    <row r="348" spans="2:8">
      <c r="B348" s="5"/>
      <c r="H348" s="16"/>
    </row>
    <row r="349" spans="2:8">
      <c r="B349" s="5"/>
      <c r="H349" s="16"/>
    </row>
    <row r="350" spans="2:8">
      <c r="B350" s="5"/>
      <c r="H350" s="16"/>
    </row>
    <row r="351" spans="2:8">
      <c r="B351" s="5"/>
      <c r="H351" s="16"/>
    </row>
    <row r="352" spans="2:8">
      <c r="B352" s="5"/>
      <c r="H352" s="16"/>
    </row>
    <row r="353" spans="2:8">
      <c r="B353" s="5"/>
      <c r="H353" s="16"/>
    </row>
    <row r="354" spans="2:8">
      <c r="B354" s="5"/>
      <c r="H354" s="16"/>
    </row>
    <row r="355" spans="2:8">
      <c r="B355" s="5"/>
      <c r="H355" s="16"/>
    </row>
    <row r="356" spans="2:8">
      <c r="B356" s="5"/>
      <c r="H356" s="16"/>
    </row>
    <row r="357" spans="2:8">
      <c r="B357" s="5"/>
      <c r="H357" s="16"/>
    </row>
    <row r="358" spans="2:8">
      <c r="B358" s="5"/>
      <c r="H358" s="16"/>
    </row>
    <row r="359" spans="2:8">
      <c r="B359" s="5"/>
      <c r="H359" s="16"/>
    </row>
    <row r="360" spans="2:8">
      <c r="B360" s="5"/>
      <c r="H360" s="16"/>
    </row>
    <row r="361" spans="2:8">
      <c r="B361" s="5"/>
      <c r="H361" s="16"/>
    </row>
    <row r="362" spans="2:8">
      <c r="B362" s="5"/>
      <c r="H362" s="16"/>
    </row>
    <row r="363" spans="2:8">
      <c r="B363" s="5"/>
      <c r="H363" s="16"/>
    </row>
    <row r="364" spans="2:8">
      <c r="B364" s="5"/>
      <c r="H364" s="16"/>
    </row>
    <row r="365" spans="2:8">
      <c r="B365" s="5"/>
      <c r="H365" s="16"/>
    </row>
    <row r="366" spans="2:8">
      <c r="B366" s="5"/>
      <c r="H366" s="16"/>
    </row>
    <row r="367" spans="2:8">
      <c r="B367" s="5"/>
      <c r="H367" s="16"/>
    </row>
    <row r="368" spans="2:8">
      <c r="B368" s="5"/>
      <c r="H368" s="16"/>
    </row>
    <row r="369" spans="2:8">
      <c r="B369" s="5"/>
      <c r="H369" s="16"/>
    </row>
    <row r="370" spans="2:8">
      <c r="B370" s="5"/>
      <c r="H370" s="16"/>
    </row>
    <row r="371" spans="2:8">
      <c r="B371" s="5"/>
      <c r="H371" s="16"/>
    </row>
    <row r="372" spans="2:8">
      <c r="B372" s="5"/>
      <c r="H372" s="16"/>
    </row>
    <row r="373" spans="2:8">
      <c r="B373" s="5"/>
      <c r="H373" s="16"/>
    </row>
    <row r="374" spans="2:8">
      <c r="B374" s="5"/>
      <c r="H374" s="16"/>
    </row>
    <row r="375" spans="2:8">
      <c r="B375" s="5"/>
      <c r="H375" s="16"/>
    </row>
    <row r="376" spans="2:8">
      <c r="B376" s="5"/>
      <c r="H376" s="16"/>
    </row>
    <row r="377" spans="2:8">
      <c r="B377" s="5"/>
      <c r="H377" s="16"/>
    </row>
    <row r="378" spans="2:8">
      <c r="B378" s="5"/>
      <c r="H378" s="16"/>
    </row>
    <row r="379" spans="2:8">
      <c r="B379" s="5"/>
      <c r="H379" s="16"/>
    </row>
    <row r="380" spans="2:8">
      <c r="B380" s="5"/>
      <c r="H380" s="16"/>
    </row>
    <row r="381" spans="2:8">
      <c r="B381" s="5"/>
      <c r="H381" s="16"/>
    </row>
    <row r="382" spans="2:8">
      <c r="B382" s="5"/>
      <c r="H382" s="16"/>
    </row>
    <row r="383" spans="2:8">
      <c r="B383" s="5"/>
      <c r="H383" s="16"/>
    </row>
    <row r="384" spans="2:8">
      <c r="B384" s="5"/>
      <c r="H384" s="16"/>
    </row>
    <row r="385" spans="2:8">
      <c r="B385" s="5"/>
      <c r="H385" s="16"/>
    </row>
    <row r="386" spans="2:8">
      <c r="B386" s="5"/>
      <c r="H386" s="16"/>
    </row>
    <row r="387" spans="2:8">
      <c r="B387" s="5"/>
      <c r="H387" s="16"/>
    </row>
    <row r="388" spans="2:8">
      <c r="B388" s="5"/>
      <c r="H388" s="16"/>
    </row>
    <row r="389" spans="2:8">
      <c r="B389" s="5"/>
      <c r="H389" s="16"/>
    </row>
    <row r="390" spans="2:8">
      <c r="B390" s="5"/>
      <c r="H390" s="16"/>
    </row>
    <row r="391" spans="2:8">
      <c r="B391" s="5"/>
      <c r="H391" s="16"/>
    </row>
    <row r="392" spans="2:8">
      <c r="B392" s="5"/>
      <c r="H392" s="16"/>
    </row>
    <row r="393" spans="2:8">
      <c r="B393" s="5"/>
      <c r="H393" s="16"/>
    </row>
    <row r="394" spans="2:8">
      <c r="B394" s="5"/>
      <c r="H394" s="16"/>
    </row>
    <row r="395" spans="2:8">
      <c r="B395" s="5"/>
      <c r="H395" s="16"/>
    </row>
    <row r="396" spans="2:8">
      <c r="B396" s="5"/>
      <c r="H396" s="16"/>
    </row>
    <row r="397" spans="2:8">
      <c r="B397" s="5"/>
      <c r="H397" s="16"/>
    </row>
    <row r="398" spans="2:8">
      <c r="B398" s="5"/>
      <c r="H398" s="16"/>
    </row>
    <row r="399" spans="2:8">
      <c r="B399" s="5"/>
      <c r="H399" s="16"/>
    </row>
    <row r="400" spans="2:8">
      <c r="B400" s="5"/>
      <c r="H400" s="16"/>
    </row>
    <row r="401" spans="2:8">
      <c r="B401" s="5"/>
      <c r="H401" s="16"/>
    </row>
    <row r="402" spans="2:8">
      <c r="B402" s="5"/>
      <c r="H402" s="16"/>
    </row>
    <row r="403" spans="2:8">
      <c r="B403" s="5"/>
      <c r="H403" s="16"/>
    </row>
    <row r="404" spans="2:8">
      <c r="B404" s="5"/>
      <c r="H404" s="16"/>
    </row>
    <row r="405" spans="2:8">
      <c r="B405" s="5"/>
      <c r="H405" s="16"/>
    </row>
    <row r="406" spans="2:8">
      <c r="B406" s="5"/>
      <c r="H406" s="16"/>
    </row>
    <row r="407" spans="2:8">
      <c r="B407" s="5"/>
      <c r="H407" s="16"/>
    </row>
    <row r="408" spans="2:8">
      <c r="B408" s="5"/>
      <c r="H408" s="16"/>
    </row>
    <row r="409" spans="2:8">
      <c r="B409" s="5"/>
      <c r="H409" s="16"/>
    </row>
    <row r="410" spans="2:8">
      <c r="B410" s="5"/>
      <c r="H410" s="16"/>
    </row>
    <row r="411" spans="2:8">
      <c r="B411" s="5"/>
      <c r="H411" s="16"/>
    </row>
    <row r="412" spans="2:8">
      <c r="B412" s="5"/>
      <c r="H412" s="16"/>
    </row>
    <row r="413" spans="2:8">
      <c r="B413" s="5"/>
      <c r="H413" s="16"/>
    </row>
    <row r="414" spans="2:8">
      <c r="B414" s="5"/>
      <c r="H414" s="16"/>
    </row>
    <row r="415" spans="2:8">
      <c r="B415" s="5"/>
      <c r="H415" s="16"/>
    </row>
    <row r="416" spans="2:8">
      <c r="B416" s="5"/>
      <c r="H416" s="16"/>
    </row>
    <row r="417" spans="2:8">
      <c r="B417" s="5"/>
      <c r="H417" s="16"/>
    </row>
    <row r="418" spans="2:8">
      <c r="B418" s="5"/>
      <c r="H418" s="16"/>
    </row>
    <row r="419" spans="2:8">
      <c r="B419" s="5"/>
      <c r="H419" s="16"/>
    </row>
    <row r="420" spans="2:8">
      <c r="B420" s="5"/>
      <c r="H420" s="16"/>
    </row>
    <row r="421" spans="2:8">
      <c r="B421" s="5"/>
      <c r="H421" s="16"/>
    </row>
    <row r="422" spans="2:8">
      <c r="B422" s="5"/>
      <c r="H422" s="16"/>
    </row>
    <row r="423" spans="2:8">
      <c r="B423" s="5"/>
      <c r="H423" s="16"/>
    </row>
    <row r="424" spans="2:8">
      <c r="B424" s="5"/>
      <c r="H424" s="16"/>
    </row>
    <row r="425" spans="2:8">
      <c r="B425" s="5"/>
      <c r="H425" s="16"/>
    </row>
    <row r="426" spans="2:8">
      <c r="B426" s="5"/>
      <c r="H426" s="16"/>
    </row>
    <row r="427" spans="2:8">
      <c r="B427" s="5"/>
      <c r="H427" s="16"/>
    </row>
    <row r="428" spans="2:8">
      <c r="B428" s="5"/>
      <c r="H428" s="16"/>
    </row>
    <row r="429" spans="2:8">
      <c r="B429" s="5"/>
      <c r="H429" s="16"/>
    </row>
    <row r="430" spans="2:8">
      <c r="B430" s="5"/>
      <c r="H430" s="16"/>
    </row>
    <row r="431" spans="2:8">
      <c r="B431" s="5"/>
      <c r="H431" s="16"/>
    </row>
    <row r="432" spans="2:8">
      <c r="B432" s="5"/>
      <c r="H432" s="16"/>
    </row>
    <row r="433" spans="2:8">
      <c r="B433" s="5"/>
      <c r="H433" s="16"/>
    </row>
    <row r="434" spans="2:8">
      <c r="B434" s="5"/>
      <c r="H434" s="16"/>
    </row>
    <row r="435" spans="2:8">
      <c r="B435" s="5"/>
      <c r="H435" s="16"/>
    </row>
    <row r="436" spans="2:8">
      <c r="B436" s="5"/>
      <c r="H436" s="16"/>
    </row>
    <row r="437" spans="2:8">
      <c r="B437" s="5"/>
      <c r="H437" s="16"/>
    </row>
    <row r="438" spans="2:8">
      <c r="B438" s="5"/>
      <c r="H438" s="16"/>
    </row>
    <row r="439" spans="2:8">
      <c r="B439" s="5"/>
      <c r="H439" s="16"/>
    </row>
    <row r="440" spans="2:8">
      <c r="B440" s="5"/>
      <c r="H440" s="16"/>
    </row>
    <row r="441" spans="2:8">
      <c r="B441" s="5"/>
      <c r="H441" s="16"/>
    </row>
    <row r="442" spans="2:8">
      <c r="B442" s="5"/>
      <c r="H442" s="16"/>
    </row>
    <row r="443" spans="2:8">
      <c r="B443" s="5"/>
      <c r="H443" s="16"/>
    </row>
    <row r="444" spans="2:8">
      <c r="B444" s="5"/>
      <c r="H444" s="16"/>
    </row>
    <row r="445" spans="2:8">
      <c r="B445" s="5"/>
      <c r="H445" s="16"/>
    </row>
    <row r="446" spans="2:8">
      <c r="B446" s="5"/>
      <c r="H446" s="16"/>
    </row>
    <row r="447" spans="2:8">
      <c r="B447" s="5"/>
      <c r="H447" s="16"/>
    </row>
    <row r="448" spans="2:8">
      <c r="B448" s="5"/>
      <c r="H448" s="16"/>
    </row>
    <row r="449" spans="2:8">
      <c r="B449" s="5"/>
      <c r="H449" s="16"/>
    </row>
    <row r="450" spans="2:8">
      <c r="B450" s="5"/>
      <c r="H450" s="16"/>
    </row>
    <row r="451" spans="2:8">
      <c r="B451" s="5"/>
      <c r="H451" s="16"/>
    </row>
    <row r="452" spans="2:8">
      <c r="B452" s="5"/>
      <c r="H452" s="16"/>
    </row>
    <row r="453" spans="2:8">
      <c r="B453" s="5"/>
      <c r="H453" s="16"/>
    </row>
    <row r="454" spans="2:8">
      <c r="B454" s="5"/>
      <c r="H454" s="16"/>
    </row>
    <row r="455" spans="2:8">
      <c r="B455" s="5"/>
      <c r="H455" s="16"/>
    </row>
    <row r="456" spans="2:8">
      <c r="B456" s="5"/>
      <c r="H456" s="16"/>
    </row>
    <row r="457" spans="2:8">
      <c r="B457" s="5"/>
      <c r="H457" s="16"/>
    </row>
    <row r="458" spans="2:8">
      <c r="B458" s="5"/>
      <c r="H458" s="16"/>
    </row>
    <row r="459" spans="2:8">
      <c r="B459" s="5"/>
      <c r="H459" s="16"/>
    </row>
    <row r="460" spans="2:8">
      <c r="B460" s="5"/>
      <c r="H460" s="16"/>
    </row>
    <row r="461" spans="2:8">
      <c r="B461" s="5"/>
      <c r="H461" s="16"/>
    </row>
    <row r="462" spans="2:8">
      <c r="B462" s="5"/>
      <c r="H462" s="16"/>
    </row>
    <row r="463" spans="2:8">
      <c r="B463" s="5"/>
      <c r="H463" s="16"/>
    </row>
    <row r="464" spans="2:8">
      <c r="B464" s="5"/>
      <c r="H464" s="16"/>
    </row>
    <row r="465" spans="2:8">
      <c r="B465" s="5"/>
      <c r="H465" s="16"/>
    </row>
    <row r="466" spans="2:8">
      <c r="B466" s="5"/>
      <c r="H466" s="16"/>
    </row>
    <row r="467" spans="2:8">
      <c r="B467" s="5"/>
      <c r="H467" s="16"/>
    </row>
    <row r="468" spans="2:8">
      <c r="B468" s="5"/>
      <c r="H468" s="16"/>
    </row>
    <row r="469" spans="2:8">
      <c r="B469" s="5"/>
      <c r="H469" s="16"/>
    </row>
    <row r="470" spans="2:8">
      <c r="B470" s="5"/>
      <c r="H470" s="16"/>
    </row>
    <row r="471" spans="2:8">
      <c r="B471" s="5"/>
      <c r="H471" s="16"/>
    </row>
    <row r="472" spans="2:8">
      <c r="B472" s="5"/>
      <c r="H472" s="16"/>
    </row>
    <row r="473" spans="2:8">
      <c r="B473" s="5"/>
      <c r="H473" s="16"/>
    </row>
    <row r="474" spans="2:8">
      <c r="B474" s="5"/>
      <c r="H474" s="16"/>
    </row>
    <row r="475" spans="2:8">
      <c r="B475" s="5"/>
      <c r="H475" s="16"/>
    </row>
    <row r="476" spans="2:8">
      <c r="B476" s="5"/>
      <c r="H476" s="16"/>
    </row>
    <row r="477" spans="2:8">
      <c r="B477" s="5"/>
      <c r="H477" s="16"/>
    </row>
    <row r="478" spans="2:8">
      <c r="B478" s="5"/>
      <c r="H478" s="16"/>
    </row>
    <row r="479" spans="2:8">
      <c r="B479" s="5"/>
      <c r="H479" s="16"/>
    </row>
    <row r="480" spans="2:8">
      <c r="B480" s="5"/>
      <c r="H480" s="16"/>
    </row>
    <row r="481" spans="2:8">
      <c r="B481" s="5"/>
      <c r="H481" s="16"/>
    </row>
    <row r="482" spans="2:8">
      <c r="B482" s="5"/>
      <c r="H482" s="16"/>
    </row>
    <row r="483" spans="2:8">
      <c r="B483" s="5"/>
      <c r="H483" s="16"/>
    </row>
    <row r="484" spans="2:8">
      <c r="B484" s="5"/>
      <c r="H484" s="16"/>
    </row>
    <row r="485" spans="2:8">
      <c r="B485" s="5"/>
      <c r="H485" s="16"/>
    </row>
    <row r="486" spans="2:8">
      <c r="B486" s="5"/>
      <c r="H486" s="16"/>
    </row>
    <row r="487" spans="2:8">
      <c r="B487" s="5"/>
      <c r="H487" s="16"/>
    </row>
    <row r="488" spans="2:8">
      <c r="B488" s="5"/>
      <c r="H488" s="16"/>
    </row>
    <row r="489" spans="2:8">
      <c r="B489" s="5"/>
      <c r="H489" s="16"/>
    </row>
    <row r="490" spans="2:8">
      <c r="B490" s="5"/>
      <c r="H490" s="16"/>
    </row>
    <row r="491" spans="2:8">
      <c r="B491" s="5"/>
      <c r="H491" s="16"/>
    </row>
    <row r="492" spans="2:8">
      <c r="B492" s="5"/>
      <c r="H492" s="16"/>
    </row>
    <row r="493" spans="2:8">
      <c r="B493" s="5"/>
      <c r="H493" s="16"/>
    </row>
    <row r="494" spans="2:8">
      <c r="B494" s="5"/>
      <c r="H494" s="16"/>
    </row>
    <row r="495" spans="2:8">
      <c r="B495" s="5"/>
      <c r="H495" s="16"/>
    </row>
    <row r="496" spans="2:8">
      <c r="B496" s="5"/>
      <c r="H496" s="16"/>
    </row>
    <row r="497" spans="2:8">
      <c r="B497" s="5"/>
      <c r="H497" s="16"/>
    </row>
    <row r="498" spans="2:8">
      <c r="B498" s="5"/>
      <c r="H498" s="16"/>
    </row>
    <row r="499" spans="2:8">
      <c r="B499" s="5"/>
      <c r="H499" s="16"/>
    </row>
    <row r="500" spans="2:8">
      <c r="B500" s="5"/>
      <c r="H500" s="16"/>
    </row>
    <row r="501" spans="2:8">
      <c r="B501" s="5"/>
      <c r="H501" s="16"/>
    </row>
    <row r="502" spans="2:8">
      <c r="B502" s="5"/>
      <c r="H502" s="16"/>
    </row>
    <row r="503" spans="2:8">
      <c r="B503" s="5"/>
      <c r="H503" s="16"/>
    </row>
    <row r="504" spans="2:8">
      <c r="B504" s="5"/>
      <c r="H504" s="16"/>
    </row>
    <row r="505" spans="2:8">
      <c r="B505" s="5"/>
      <c r="H505" s="16"/>
    </row>
    <row r="506" spans="2:8">
      <c r="B506" s="5"/>
      <c r="H506" s="16"/>
    </row>
    <row r="507" spans="2:8">
      <c r="B507" s="5"/>
      <c r="H507" s="16"/>
    </row>
    <row r="508" spans="2:8">
      <c r="B508" s="5"/>
      <c r="H508" s="16"/>
    </row>
    <row r="509" spans="2:8">
      <c r="B509" s="5"/>
      <c r="H509" s="16"/>
    </row>
    <row r="510" spans="2:8">
      <c r="B510" s="5"/>
      <c r="H510" s="16"/>
    </row>
    <row r="511" spans="2:8">
      <c r="B511" s="5"/>
      <c r="H511" s="16"/>
    </row>
    <row r="512" spans="2:8">
      <c r="B512" s="5"/>
      <c r="H512" s="16"/>
    </row>
    <row r="513" spans="2:8">
      <c r="B513" s="5"/>
      <c r="H513" s="16"/>
    </row>
    <row r="514" spans="2:8">
      <c r="B514" s="5"/>
      <c r="H514" s="16"/>
    </row>
    <row r="515" spans="2:8">
      <c r="B515" s="5"/>
      <c r="H515" s="16"/>
    </row>
    <row r="516" spans="2:8">
      <c r="B516" s="5"/>
      <c r="H516" s="16"/>
    </row>
    <row r="517" spans="2:8">
      <c r="B517" s="5"/>
      <c r="H517" s="16"/>
    </row>
    <row r="518" spans="2:8">
      <c r="B518" s="5"/>
      <c r="H518" s="16"/>
    </row>
    <row r="519" spans="2:8">
      <c r="B519" s="5"/>
      <c r="H519" s="16"/>
    </row>
    <row r="520" spans="2:8">
      <c r="B520" s="5"/>
      <c r="H520" s="16"/>
    </row>
    <row r="521" spans="2:8">
      <c r="B521" s="5"/>
      <c r="H521" s="16"/>
    </row>
    <row r="522" spans="2:8">
      <c r="B522" s="5"/>
      <c r="H522" s="16"/>
    </row>
    <row r="523" spans="2:8">
      <c r="B523" s="5"/>
      <c r="H523" s="16"/>
    </row>
    <row r="524" spans="2:8">
      <c r="B524" s="5"/>
      <c r="H524" s="16"/>
    </row>
    <row r="525" spans="2:8">
      <c r="B525" s="5"/>
      <c r="H525" s="16"/>
    </row>
    <row r="526" spans="2:8">
      <c r="B526" s="5"/>
      <c r="H526" s="16"/>
    </row>
    <row r="527" spans="2:8">
      <c r="B527" s="5"/>
      <c r="H527" s="16"/>
    </row>
    <row r="528" spans="2:8">
      <c r="B528" s="5"/>
      <c r="H528" s="16"/>
    </row>
    <row r="529" spans="2:8">
      <c r="B529" s="5"/>
      <c r="H529" s="16"/>
    </row>
    <row r="530" spans="2:8">
      <c r="B530" s="5"/>
      <c r="H530" s="16"/>
    </row>
    <row r="531" spans="2:8">
      <c r="B531" s="5"/>
      <c r="H531" s="16"/>
    </row>
    <row r="532" spans="2:8">
      <c r="B532" s="5"/>
      <c r="H532" s="16"/>
    </row>
    <row r="533" spans="2:8">
      <c r="B533" s="5"/>
      <c r="H533" s="16"/>
    </row>
    <row r="534" spans="2:8">
      <c r="B534" s="5"/>
      <c r="H534" s="16"/>
    </row>
    <row r="535" spans="2:8">
      <c r="B535" s="5"/>
      <c r="H535" s="16"/>
    </row>
    <row r="536" spans="2:8">
      <c r="B536" s="5"/>
      <c r="H536" s="16"/>
    </row>
    <row r="537" spans="2:8">
      <c r="B537" s="5"/>
      <c r="H537" s="16"/>
    </row>
    <row r="538" spans="2:8">
      <c r="B538" s="5"/>
      <c r="H538" s="16"/>
    </row>
    <row r="539" spans="2:8">
      <c r="B539" s="5"/>
      <c r="H539" s="16"/>
    </row>
    <row r="540" spans="2:8">
      <c r="B540" s="5"/>
      <c r="H540" s="16"/>
    </row>
    <row r="541" spans="2:8">
      <c r="B541" s="5"/>
      <c r="H541" s="16"/>
    </row>
    <row r="542" spans="2:8">
      <c r="B542" s="5"/>
      <c r="H542" s="16"/>
    </row>
    <row r="543" spans="2:8">
      <c r="B543" s="5"/>
      <c r="H543" s="16"/>
    </row>
    <row r="544" spans="2:8">
      <c r="B544" s="5"/>
      <c r="H544" s="16"/>
    </row>
    <row r="545" spans="2:8">
      <c r="B545" s="5"/>
      <c r="H545" s="16"/>
    </row>
    <row r="546" spans="2:8">
      <c r="B546" s="5"/>
      <c r="H546" s="16"/>
    </row>
    <row r="547" spans="2:8">
      <c r="B547" s="5"/>
      <c r="H547" s="16"/>
    </row>
    <row r="548" spans="2:8">
      <c r="B548" s="5"/>
      <c r="H548" s="16"/>
    </row>
    <row r="549" spans="2:8">
      <c r="B549" s="5"/>
      <c r="H549" s="16"/>
    </row>
    <row r="550" spans="2:8">
      <c r="B550" s="5"/>
      <c r="H550" s="16"/>
    </row>
    <row r="551" spans="2:8">
      <c r="B551" s="5"/>
      <c r="H551" s="16"/>
    </row>
    <row r="552" spans="2:8">
      <c r="B552" s="5"/>
      <c r="H552" s="16"/>
    </row>
    <row r="553" spans="2:8">
      <c r="B553" s="5"/>
      <c r="H553" s="16"/>
    </row>
    <row r="554" spans="2:8">
      <c r="B554" s="5"/>
      <c r="H554" s="16"/>
    </row>
    <row r="555" spans="2:8">
      <c r="B555" s="5"/>
      <c r="H555" s="16"/>
    </row>
    <row r="556" spans="2:8">
      <c r="B556" s="5"/>
      <c r="H556" s="16"/>
    </row>
    <row r="557" spans="2:8">
      <c r="B557" s="5"/>
      <c r="H557" s="16"/>
    </row>
    <row r="558" spans="2:8">
      <c r="B558" s="5"/>
      <c r="H558" s="16"/>
    </row>
    <row r="559" spans="2:8">
      <c r="B559" s="5"/>
      <c r="H559" s="16"/>
    </row>
    <row r="560" spans="2:8">
      <c r="B560" s="5"/>
      <c r="H560" s="16"/>
    </row>
    <row r="561" spans="2:8">
      <c r="B561" s="5"/>
      <c r="H561" s="16"/>
    </row>
    <row r="562" spans="2:8">
      <c r="B562" s="5"/>
      <c r="H562" s="16"/>
    </row>
    <row r="563" spans="2:8">
      <c r="B563" s="5"/>
      <c r="H563" s="16"/>
    </row>
    <row r="564" spans="2:8">
      <c r="B564" s="5"/>
      <c r="H564" s="16"/>
    </row>
    <row r="565" spans="2:8">
      <c r="B565" s="5"/>
      <c r="H565" s="16"/>
    </row>
    <row r="566" spans="2:8">
      <c r="B566" s="5"/>
      <c r="H566" s="16"/>
    </row>
    <row r="567" spans="2:8">
      <c r="B567" s="5"/>
      <c r="H567" s="16"/>
    </row>
    <row r="568" spans="2:8">
      <c r="B568" s="5"/>
      <c r="H568" s="16"/>
    </row>
    <row r="569" spans="2:8">
      <c r="B569" s="5"/>
      <c r="H569" s="16"/>
    </row>
    <row r="570" spans="2:8">
      <c r="B570" s="5"/>
      <c r="H570" s="16"/>
    </row>
    <row r="571" spans="2:8">
      <c r="B571" s="5"/>
      <c r="H571" s="16"/>
    </row>
    <row r="572" spans="2:8">
      <c r="B572" s="5"/>
      <c r="H572" s="16"/>
    </row>
    <row r="573" spans="2:8">
      <c r="B573" s="5"/>
      <c r="H573" s="16"/>
    </row>
    <row r="574" spans="2:8">
      <c r="B574" s="5"/>
      <c r="H574" s="16"/>
    </row>
    <row r="575" spans="2:8">
      <c r="B575" s="5"/>
      <c r="H575" s="16"/>
    </row>
    <row r="576" spans="2:8">
      <c r="B576" s="5"/>
      <c r="H576" s="16"/>
    </row>
    <row r="577" spans="2:8">
      <c r="B577" s="5"/>
      <c r="H577" s="16"/>
    </row>
    <row r="578" spans="2:8">
      <c r="B578" s="5"/>
      <c r="H578" s="16"/>
    </row>
    <row r="579" spans="2:8">
      <c r="B579" s="5"/>
      <c r="H579" s="16"/>
    </row>
    <row r="580" spans="2:8">
      <c r="B580" s="5"/>
      <c r="H580" s="16"/>
    </row>
    <row r="581" spans="2:8">
      <c r="B581" s="5"/>
      <c r="H581" s="16"/>
    </row>
    <row r="582" spans="2:8">
      <c r="B582" s="5"/>
      <c r="H582" s="16"/>
    </row>
    <row r="583" spans="2:8">
      <c r="B583" s="5"/>
      <c r="H583" s="16"/>
    </row>
    <row r="584" spans="2:8">
      <c r="B584" s="5"/>
      <c r="H584" s="16"/>
    </row>
    <row r="585" spans="2:8">
      <c r="B585" s="5"/>
      <c r="H585" s="16"/>
    </row>
    <row r="586" spans="2:8">
      <c r="B586" s="5"/>
      <c r="H586" s="16"/>
    </row>
    <row r="587" spans="2:8">
      <c r="B587" s="5"/>
      <c r="H587" s="16"/>
    </row>
    <row r="588" spans="2:8">
      <c r="B588" s="5"/>
      <c r="H588" s="16"/>
    </row>
    <row r="589" spans="2:8">
      <c r="B589" s="5"/>
      <c r="H589" s="16"/>
    </row>
    <row r="590" spans="2:8">
      <c r="B590" s="5"/>
      <c r="H590" s="16"/>
    </row>
    <row r="591" spans="2:8">
      <c r="B591" s="5"/>
      <c r="H591" s="16"/>
    </row>
    <row r="592" spans="2:8">
      <c r="B592" s="5"/>
      <c r="H592" s="16"/>
    </row>
    <row r="593" spans="2:8">
      <c r="B593" s="5"/>
      <c r="H593" s="16"/>
    </row>
    <row r="594" spans="2:8">
      <c r="B594" s="5"/>
      <c r="H594" s="16"/>
    </row>
    <row r="595" spans="2:8">
      <c r="B595" s="5"/>
      <c r="H595" s="16"/>
    </row>
    <row r="596" spans="2:8">
      <c r="B596" s="5"/>
      <c r="H596" s="16"/>
    </row>
    <row r="597" spans="2:8">
      <c r="B597" s="5"/>
      <c r="H597" s="16"/>
    </row>
    <row r="598" spans="2:8">
      <c r="B598" s="5"/>
      <c r="H598" s="16"/>
    </row>
    <row r="599" spans="2:8">
      <c r="B599" s="5"/>
      <c r="H599" s="16"/>
    </row>
    <row r="600" spans="2:8">
      <c r="B600" s="5"/>
      <c r="H600" s="16"/>
    </row>
    <row r="601" spans="2:8">
      <c r="B601" s="5"/>
      <c r="H601" s="16"/>
    </row>
    <row r="602" spans="2:8">
      <c r="B602" s="5"/>
      <c r="H602" s="16"/>
    </row>
    <row r="603" spans="2:8">
      <c r="B603" s="5"/>
      <c r="H603" s="16"/>
    </row>
    <row r="604" spans="2:8">
      <c r="B604" s="5"/>
      <c r="H604" s="16"/>
    </row>
    <row r="605" spans="2:8">
      <c r="B605" s="5"/>
      <c r="H605" s="16"/>
    </row>
    <row r="606" spans="2:8">
      <c r="B606" s="5"/>
      <c r="H606" s="16"/>
    </row>
    <row r="607" spans="2:8">
      <c r="B607" s="5"/>
      <c r="H607" s="16"/>
    </row>
    <row r="608" spans="2:8">
      <c r="B608" s="5"/>
      <c r="H608" s="16"/>
    </row>
    <row r="609" spans="2:8">
      <c r="B609" s="5"/>
      <c r="H609" s="16"/>
    </row>
    <row r="610" spans="2:8">
      <c r="B610" s="5"/>
      <c r="H610" s="16"/>
    </row>
    <row r="611" spans="2:8">
      <c r="B611" s="5"/>
      <c r="H611" s="16"/>
    </row>
    <row r="612" spans="2:8">
      <c r="B612" s="5"/>
      <c r="H612" s="16"/>
    </row>
    <row r="613" spans="2:8">
      <c r="B613" s="5"/>
      <c r="H613" s="16"/>
    </row>
    <row r="614" spans="2:8">
      <c r="B614" s="5"/>
      <c r="H614" s="16"/>
    </row>
    <row r="615" spans="2:8">
      <c r="B615" s="5"/>
      <c r="H615" s="16"/>
    </row>
    <row r="616" spans="2:8">
      <c r="B616" s="5"/>
      <c r="H616" s="16"/>
    </row>
    <row r="617" spans="2:8">
      <c r="B617" s="5"/>
      <c r="H617" s="16"/>
    </row>
    <row r="618" spans="2:8">
      <c r="B618" s="5"/>
      <c r="H618" s="16"/>
    </row>
    <row r="619" spans="2:8">
      <c r="B619" s="5"/>
      <c r="H619" s="16"/>
    </row>
    <row r="620" spans="2:8">
      <c r="B620" s="5"/>
      <c r="H620" s="16"/>
    </row>
    <row r="621" spans="2:8">
      <c r="B621" s="5"/>
      <c r="H621" s="16"/>
    </row>
    <row r="622" spans="2:8">
      <c r="B622" s="5"/>
      <c r="H622" s="16"/>
    </row>
    <row r="623" spans="2:8">
      <c r="B623" s="5"/>
      <c r="H623" s="16"/>
    </row>
    <row r="624" spans="2:8">
      <c r="B624" s="5"/>
      <c r="H624" s="16"/>
    </row>
    <row r="625" spans="2:8">
      <c r="B625" s="5"/>
      <c r="H625" s="16"/>
    </row>
    <row r="626" spans="2:8">
      <c r="B626" s="5"/>
      <c r="H626" s="16"/>
    </row>
    <row r="627" spans="2:8">
      <c r="B627" s="5"/>
      <c r="H627" s="16"/>
    </row>
    <row r="628" spans="2:8">
      <c r="B628" s="5"/>
      <c r="H628" s="16"/>
    </row>
    <row r="629" spans="2:8">
      <c r="B629" s="5"/>
      <c r="H629" s="16"/>
    </row>
    <row r="630" spans="2:8">
      <c r="B630" s="5"/>
      <c r="H630" s="16"/>
    </row>
    <row r="631" spans="2:8">
      <c r="B631" s="5"/>
      <c r="H631" s="16"/>
    </row>
    <row r="632" spans="2:8">
      <c r="B632" s="5"/>
      <c r="H632" s="16"/>
    </row>
    <row r="633" spans="2:8">
      <c r="B633" s="5"/>
      <c r="H633" s="16"/>
    </row>
    <row r="634" spans="2:8">
      <c r="B634" s="5"/>
      <c r="H634" s="16"/>
    </row>
    <row r="635" spans="2:8">
      <c r="B635" s="5"/>
      <c r="H635" s="16"/>
    </row>
    <row r="636" spans="2:8">
      <c r="B636" s="5"/>
      <c r="H636" s="16"/>
    </row>
    <row r="637" spans="2:8">
      <c r="B637" s="5"/>
      <c r="H637" s="16"/>
    </row>
    <row r="638" spans="2:8">
      <c r="B638" s="5"/>
      <c r="H638" s="16"/>
    </row>
    <row r="639" spans="2:8">
      <c r="B639" s="5"/>
      <c r="H639" s="16"/>
    </row>
    <row r="640" spans="2:8">
      <c r="B640" s="5"/>
      <c r="H640" s="16"/>
    </row>
    <row r="641" spans="2:8">
      <c r="B641" s="5"/>
      <c r="H641" s="16"/>
    </row>
    <row r="642" spans="2:8">
      <c r="B642" s="5"/>
      <c r="H642" s="16"/>
    </row>
    <row r="643" spans="2:8">
      <c r="B643" s="5"/>
      <c r="H643" s="16"/>
    </row>
    <row r="644" spans="2:8">
      <c r="B644" s="5"/>
      <c r="H644" s="16"/>
    </row>
    <row r="645" spans="2:8">
      <c r="B645" s="5"/>
      <c r="H645" s="16"/>
    </row>
    <row r="646" spans="2:8">
      <c r="B646" s="5"/>
      <c r="H646" s="16"/>
    </row>
    <row r="647" spans="2:8">
      <c r="B647" s="5"/>
      <c r="H647" s="16"/>
    </row>
    <row r="648" spans="2:8">
      <c r="B648" s="5"/>
      <c r="H648" s="16"/>
    </row>
    <row r="649" spans="2:8">
      <c r="B649" s="5"/>
      <c r="H649" s="16"/>
    </row>
    <row r="650" spans="2:8">
      <c r="B650" s="5"/>
      <c r="H650" s="16"/>
    </row>
    <row r="651" spans="2:8">
      <c r="B651" s="5"/>
      <c r="H651" s="16"/>
    </row>
    <row r="652" spans="2:8">
      <c r="B652" s="5"/>
      <c r="H652" s="16"/>
    </row>
    <row r="653" spans="2:8">
      <c r="B653" s="5"/>
      <c r="H653" s="16"/>
    </row>
    <row r="654" spans="2:8">
      <c r="B654" s="5"/>
      <c r="H654" s="16"/>
    </row>
    <row r="655" spans="2:8">
      <c r="B655" s="5"/>
      <c r="H655" s="16"/>
    </row>
    <row r="656" spans="2:8">
      <c r="B656" s="5"/>
      <c r="H656" s="16"/>
    </row>
    <row r="657" spans="2:8">
      <c r="B657" s="5"/>
      <c r="H657" s="16"/>
    </row>
    <row r="658" spans="2:8">
      <c r="B658" s="5"/>
      <c r="H658" s="16"/>
    </row>
    <row r="659" spans="2:8">
      <c r="B659" s="5"/>
      <c r="H659" s="16"/>
    </row>
    <row r="660" spans="2:8">
      <c r="B660" s="5"/>
      <c r="H660" s="16"/>
    </row>
    <row r="661" spans="2:8">
      <c r="B661" s="5"/>
      <c r="H661" s="16"/>
    </row>
    <row r="662" spans="2:8">
      <c r="B662" s="5"/>
      <c r="H662" s="16"/>
    </row>
    <row r="663" spans="2:8">
      <c r="B663" s="5"/>
      <c r="H663" s="16"/>
    </row>
    <row r="664" spans="2:8">
      <c r="B664" s="5"/>
      <c r="H664" s="16"/>
    </row>
    <row r="665" spans="2:8">
      <c r="B665" s="5"/>
      <c r="H665" s="16"/>
    </row>
    <row r="666" spans="2:8">
      <c r="B666" s="5"/>
      <c r="H666" s="16"/>
    </row>
    <row r="667" spans="2:8">
      <c r="B667" s="5"/>
      <c r="H667" s="16"/>
    </row>
    <row r="668" spans="2:8">
      <c r="B668" s="5"/>
      <c r="H668" s="16"/>
    </row>
    <row r="669" spans="2:8">
      <c r="B669" s="5"/>
      <c r="H669" s="16"/>
    </row>
    <row r="670" spans="2:8">
      <c r="B670" s="5"/>
      <c r="H670" s="16"/>
    </row>
    <row r="671" spans="2:8">
      <c r="B671" s="5"/>
      <c r="H671" s="16"/>
    </row>
    <row r="672" spans="2:8">
      <c r="B672" s="5"/>
      <c r="H672" s="16"/>
    </row>
    <row r="673" spans="2:8">
      <c r="B673" s="5"/>
      <c r="H673" s="16"/>
    </row>
    <row r="674" spans="2:8">
      <c r="B674" s="5"/>
      <c r="H674" s="16"/>
    </row>
    <row r="675" spans="2:8">
      <c r="B675" s="5"/>
      <c r="H675" s="16"/>
    </row>
    <row r="676" spans="2:8">
      <c r="B676" s="5"/>
      <c r="H676" s="16"/>
    </row>
    <row r="677" spans="2:8">
      <c r="B677" s="5"/>
      <c r="H677" s="16"/>
    </row>
    <row r="678" spans="2:8">
      <c r="B678" s="5"/>
      <c r="H678" s="16"/>
    </row>
    <row r="679" spans="2:8">
      <c r="B679" s="5"/>
      <c r="H679" s="16"/>
    </row>
    <row r="680" spans="2:8">
      <c r="B680" s="5"/>
      <c r="H680" s="16"/>
    </row>
    <row r="681" spans="2:8">
      <c r="B681" s="5"/>
      <c r="H681" s="16"/>
    </row>
    <row r="682" spans="2:8">
      <c r="B682" s="5"/>
      <c r="H682" s="16"/>
    </row>
    <row r="683" spans="2:8">
      <c r="B683" s="5"/>
      <c r="H683" s="16"/>
    </row>
    <row r="684" spans="2:8">
      <c r="B684" s="5"/>
      <c r="H684" s="16"/>
    </row>
    <row r="685" spans="2:8">
      <c r="B685" s="5"/>
      <c r="H685" s="16"/>
    </row>
    <row r="686" spans="2:8">
      <c r="B686" s="5"/>
      <c r="H686" s="16"/>
    </row>
    <row r="687" spans="2:8">
      <c r="B687" s="5"/>
      <c r="H687" s="16"/>
    </row>
    <row r="688" spans="2:8">
      <c r="B688" s="5"/>
      <c r="H688" s="16"/>
    </row>
    <row r="689" spans="2:8">
      <c r="B689" s="5"/>
      <c r="H689" s="16"/>
    </row>
    <row r="690" spans="2:8">
      <c r="B690" s="5"/>
      <c r="H690" s="16"/>
    </row>
    <row r="691" spans="2:8">
      <c r="B691" s="5"/>
      <c r="H691" s="16"/>
    </row>
    <row r="692" spans="2:8">
      <c r="B692" s="5"/>
      <c r="H692" s="16"/>
    </row>
    <row r="693" spans="2:8">
      <c r="B693" s="5"/>
      <c r="H693" s="16"/>
    </row>
    <row r="694" spans="2:8">
      <c r="B694" s="5"/>
      <c r="H694" s="16"/>
    </row>
    <row r="695" spans="2:8">
      <c r="B695" s="5"/>
      <c r="H695" s="16"/>
    </row>
    <row r="696" spans="2:8">
      <c r="B696" s="5"/>
      <c r="H696" s="16"/>
    </row>
    <row r="697" spans="2:8">
      <c r="B697" s="5"/>
      <c r="H697" s="16"/>
    </row>
    <row r="698" spans="2:8">
      <c r="B698" s="5"/>
      <c r="H698" s="16"/>
    </row>
    <row r="699" spans="2:8">
      <c r="B699" s="5"/>
      <c r="H699" s="16"/>
    </row>
    <row r="700" spans="2:8">
      <c r="B700" s="5"/>
      <c r="H700" s="16"/>
    </row>
    <row r="701" spans="2:8">
      <c r="B701" s="5"/>
      <c r="H701" s="16"/>
    </row>
    <row r="702" spans="2:8">
      <c r="B702" s="5"/>
      <c r="H702" s="16"/>
    </row>
    <row r="703" spans="2:8">
      <c r="B703" s="5"/>
      <c r="H703" s="16"/>
    </row>
    <row r="704" spans="2:8">
      <c r="B704" s="5"/>
      <c r="H704" s="16"/>
    </row>
    <row r="705" spans="2:8">
      <c r="B705" s="5"/>
      <c r="H705" s="16"/>
    </row>
    <row r="706" spans="2:8">
      <c r="B706" s="5"/>
      <c r="H706" s="16"/>
    </row>
    <row r="707" spans="2:8">
      <c r="B707" s="5"/>
      <c r="H707" s="16"/>
    </row>
    <row r="708" spans="2:8">
      <c r="B708" s="5"/>
      <c r="H708" s="16"/>
    </row>
    <row r="709" spans="2:8">
      <c r="B709" s="5"/>
      <c r="H709" s="16"/>
    </row>
    <row r="710" spans="2:8">
      <c r="B710" s="5"/>
      <c r="H710" s="16"/>
    </row>
    <row r="711" spans="2:8">
      <c r="B711" s="5"/>
      <c r="H711" s="16"/>
    </row>
    <row r="712" spans="2:8">
      <c r="B712" s="5"/>
      <c r="H712" s="16"/>
    </row>
    <row r="713" spans="2:8">
      <c r="B713" s="5"/>
      <c r="H713" s="16"/>
    </row>
    <row r="714" spans="2:8">
      <c r="B714" s="5"/>
      <c r="H714" s="16"/>
    </row>
    <row r="715" spans="2:8">
      <c r="B715" s="5"/>
      <c r="H715" s="16"/>
    </row>
    <row r="716" spans="2:8">
      <c r="B716" s="5"/>
      <c r="H716" s="16"/>
    </row>
    <row r="717" spans="2:8">
      <c r="B717" s="5"/>
      <c r="H717" s="16"/>
    </row>
    <row r="718" spans="2:8">
      <c r="B718" s="5"/>
      <c r="H718" s="16"/>
    </row>
    <row r="719" spans="2:8">
      <c r="B719" s="5"/>
      <c r="H719" s="16"/>
    </row>
    <row r="720" spans="2:8">
      <c r="B720" s="5"/>
      <c r="H720" s="16"/>
    </row>
    <row r="721" spans="2:8">
      <c r="B721" s="5"/>
      <c r="H721" s="16"/>
    </row>
    <row r="722" spans="2:8">
      <c r="B722" s="5"/>
      <c r="H722" s="16"/>
    </row>
    <row r="723" spans="2:8">
      <c r="B723" s="5"/>
      <c r="H723" s="16"/>
    </row>
    <row r="724" spans="2:8">
      <c r="B724" s="5"/>
      <c r="H724" s="16"/>
    </row>
    <row r="725" spans="2:8">
      <c r="B725" s="5"/>
      <c r="H725" s="16"/>
    </row>
    <row r="726" spans="2:8">
      <c r="B726" s="5"/>
      <c r="H726" s="16"/>
    </row>
    <row r="727" spans="2:8">
      <c r="B727" s="5"/>
      <c r="H727" s="16"/>
    </row>
    <row r="728" spans="2:8">
      <c r="B728" s="5"/>
      <c r="H728" s="16"/>
    </row>
    <row r="729" spans="2:8">
      <c r="B729" s="5"/>
      <c r="H729" s="16"/>
    </row>
    <row r="730" spans="2:8">
      <c r="B730" s="5"/>
      <c r="H730" s="16"/>
    </row>
    <row r="731" spans="2:8">
      <c r="B731" s="5"/>
      <c r="H731" s="16"/>
    </row>
    <row r="732" spans="2:8">
      <c r="B732" s="5"/>
      <c r="H732" s="16"/>
    </row>
    <row r="733" spans="2:8">
      <c r="B733" s="5"/>
      <c r="H733" s="16"/>
    </row>
    <row r="734" spans="2:8">
      <c r="B734" s="5"/>
      <c r="H734" s="16"/>
    </row>
    <row r="735" spans="2:8">
      <c r="B735" s="5"/>
      <c r="H735" s="16"/>
    </row>
    <row r="736" spans="2:8">
      <c r="B736" s="5"/>
      <c r="H736" s="16"/>
    </row>
    <row r="737" spans="2:8">
      <c r="B737" s="5"/>
      <c r="H737" s="16"/>
    </row>
    <row r="738" spans="2:8">
      <c r="B738" s="5"/>
      <c r="H738" s="16"/>
    </row>
    <row r="739" spans="2:8">
      <c r="B739" s="5"/>
      <c r="H739" s="16"/>
    </row>
    <row r="740" spans="2:8">
      <c r="B740" s="5"/>
      <c r="H740" s="16"/>
    </row>
    <row r="741" spans="2:8">
      <c r="B741" s="5"/>
      <c r="H741" s="16"/>
    </row>
    <row r="742" spans="2:8">
      <c r="B742" s="5"/>
      <c r="H742" s="16"/>
    </row>
    <row r="743" spans="2:8">
      <c r="B743" s="5"/>
      <c r="H743" s="16"/>
    </row>
    <row r="744" spans="2:8">
      <c r="B744" s="5"/>
      <c r="H744" s="16"/>
    </row>
    <row r="745" spans="2:8">
      <c r="B745" s="5"/>
      <c r="H745" s="16"/>
    </row>
    <row r="746" spans="2:8">
      <c r="B746" s="5"/>
      <c r="H746" s="16"/>
    </row>
    <row r="747" spans="2:8">
      <c r="B747" s="5"/>
      <c r="H747" s="16"/>
    </row>
    <row r="748" spans="2:8">
      <c r="B748" s="5"/>
      <c r="H748" s="16"/>
    </row>
    <row r="749" spans="2:8">
      <c r="B749" s="5"/>
      <c r="H749" s="16"/>
    </row>
    <row r="750" spans="2:8">
      <c r="B750" s="5"/>
      <c r="H750" s="16"/>
    </row>
    <row r="751" spans="2:8">
      <c r="B751" s="5"/>
      <c r="H751" s="16"/>
    </row>
    <row r="752" spans="2:8">
      <c r="B752" s="5"/>
      <c r="H752" s="16"/>
    </row>
    <row r="753" spans="2:8">
      <c r="B753" s="5"/>
      <c r="H753" s="16"/>
    </row>
    <row r="754" spans="2:8">
      <c r="B754" s="5"/>
      <c r="H754" s="16"/>
    </row>
    <row r="755" spans="2:8">
      <c r="B755" s="5"/>
      <c r="H755" s="16"/>
    </row>
    <row r="756" spans="2:8">
      <c r="B756" s="5"/>
      <c r="H756" s="16"/>
    </row>
    <row r="757" spans="2:8">
      <c r="B757" s="5"/>
      <c r="H757" s="16"/>
    </row>
    <row r="758" spans="2:8">
      <c r="B758" s="5"/>
      <c r="H758" s="16"/>
    </row>
    <row r="759" spans="2:8">
      <c r="B759" s="5"/>
      <c r="H759" s="16"/>
    </row>
    <row r="760" spans="2:8">
      <c r="B760" s="5"/>
      <c r="H760" s="16"/>
    </row>
    <row r="761" spans="2:8">
      <c r="B761" s="5"/>
      <c r="H761" s="16"/>
    </row>
    <row r="762" spans="2:8">
      <c r="B762" s="5"/>
      <c r="H762" s="16"/>
    </row>
    <row r="763" spans="2:8">
      <c r="B763" s="5"/>
      <c r="H763" s="16"/>
    </row>
    <row r="764" spans="2:8">
      <c r="B764" s="5"/>
      <c r="H764" s="16"/>
    </row>
    <row r="765" spans="2:8">
      <c r="B765" s="5"/>
      <c r="H765" s="16"/>
    </row>
    <row r="766" spans="2:8">
      <c r="B766" s="5"/>
      <c r="H766" s="16"/>
    </row>
    <row r="767" spans="2:8">
      <c r="B767" s="5"/>
      <c r="H767" s="16"/>
    </row>
    <row r="768" spans="2:8">
      <c r="B768" s="5"/>
      <c r="H768" s="16"/>
    </row>
    <row r="769" spans="2:8">
      <c r="B769" s="5"/>
      <c r="H769" s="16"/>
    </row>
    <row r="770" spans="2:8">
      <c r="B770" s="5"/>
      <c r="H770" s="16"/>
    </row>
    <row r="771" spans="2:8">
      <c r="B771" s="5"/>
      <c r="H771" s="16"/>
    </row>
    <row r="772" spans="2:8">
      <c r="B772" s="5"/>
      <c r="H772" s="16"/>
    </row>
    <row r="773" spans="2:8">
      <c r="B773" s="5"/>
      <c r="H773" s="16"/>
    </row>
    <row r="774" spans="2:8">
      <c r="B774" s="5"/>
      <c r="H774" s="16"/>
    </row>
    <row r="775" spans="2:8">
      <c r="B775" s="5"/>
      <c r="H775" s="16"/>
    </row>
    <row r="776" spans="2:8">
      <c r="B776" s="5"/>
      <c r="H776" s="16"/>
    </row>
    <row r="777" spans="2:8">
      <c r="B777" s="5"/>
      <c r="H777" s="16"/>
    </row>
    <row r="778" spans="2:8">
      <c r="B778" s="5"/>
      <c r="H778" s="16"/>
    </row>
    <row r="779" spans="2:8">
      <c r="B779" s="5"/>
      <c r="H779" s="16"/>
    </row>
    <row r="780" spans="2:8">
      <c r="B780" s="5"/>
      <c r="H780" s="16"/>
    </row>
    <row r="781" spans="2:8">
      <c r="B781" s="5"/>
      <c r="H781" s="16"/>
    </row>
    <row r="782" spans="2:8">
      <c r="B782" s="5"/>
      <c r="H782" s="16"/>
    </row>
    <row r="783" spans="2:8">
      <c r="B783" s="5"/>
      <c r="H783" s="16"/>
    </row>
    <row r="784" spans="2:8">
      <c r="B784" s="5"/>
      <c r="H784" s="16"/>
    </row>
    <row r="785" spans="2:8">
      <c r="B785" s="5"/>
      <c r="H785" s="16"/>
    </row>
    <row r="786" spans="2:8">
      <c r="B786" s="5"/>
      <c r="H786" s="16"/>
    </row>
    <row r="787" spans="2:8">
      <c r="B787" s="5"/>
      <c r="H787" s="16"/>
    </row>
    <row r="788" spans="2:8">
      <c r="B788" s="5"/>
      <c r="H788" s="16"/>
    </row>
    <row r="789" spans="2:8">
      <c r="B789" s="5"/>
      <c r="H789" s="16"/>
    </row>
    <row r="790" spans="2:8">
      <c r="B790" s="5"/>
      <c r="H790" s="16"/>
    </row>
    <row r="791" spans="2:8">
      <c r="B791" s="5"/>
      <c r="H791" s="16"/>
    </row>
    <row r="792" spans="2:8">
      <c r="B792" s="5"/>
      <c r="H792" s="16"/>
    </row>
    <row r="793" spans="2:8">
      <c r="B793" s="5"/>
      <c r="H793" s="16"/>
    </row>
    <row r="794" spans="2:8">
      <c r="B794" s="5"/>
      <c r="H794" s="16"/>
    </row>
    <row r="795" spans="2:8">
      <c r="B795" s="5"/>
      <c r="H795" s="16"/>
    </row>
    <row r="796" spans="2:8">
      <c r="B796" s="5"/>
      <c r="H796" s="16"/>
    </row>
    <row r="797" spans="2:8">
      <c r="B797" s="5"/>
      <c r="H797" s="16"/>
    </row>
    <row r="798" spans="2:8">
      <c r="B798" s="5"/>
      <c r="H798" s="16"/>
    </row>
    <row r="799" spans="2:8">
      <c r="B799" s="5"/>
      <c r="H799" s="16"/>
    </row>
    <row r="800" spans="2:8">
      <c r="B800" s="5"/>
      <c r="H800" s="16"/>
    </row>
    <row r="801" spans="2:8">
      <c r="B801" s="5"/>
      <c r="H801" s="16"/>
    </row>
    <row r="802" spans="2:8">
      <c r="B802" s="5"/>
      <c r="H802" s="16"/>
    </row>
    <row r="803" spans="2:8">
      <c r="B803" s="5"/>
      <c r="H803" s="16"/>
    </row>
    <row r="804" spans="2:8">
      <c r="B804" s="5"/>
      <c r="H804" s="16"/>
    </row>
    <row r="805" spans="2:8">
      <c r="B805" s="5"/>
      <c r="H805" s="16"/>
    </row>
    <row r="806" spans="2:8">
      <c r="B806" s="5"/>
      <c r="H806" s="16"/>
    </row>
    <row r="807" spans="2:8">
      <c r="B807" s="5"/>
      <c r="H807" s="16"/>
    </row>
    <row r="808" spans="2:8">
      <c r="B808" s="5"/>
      <c r="H808" s="16"/>
    </row>
    <row r="809" spans="2:8">
      <c r="B809" s="5"/>
      <c r="H809" s="16"/>
    </row>
    <row r="810" spans="2:8">
      <c r="B810" s="5"/>
      <c r="H810" s="16"/>
    </row>
    <row r="811" spans="2:8">
      <c r="B811" s="5"/>
      <c r="H811" s="16"/>
    </row>
    <row r="812" spans="2:8">
      <c r="B812" s="5"/>
      <c r="H812" s="16"/>
    </row>
    <row r="813" spans="2:8">
      <c r="B813" s="5"/>
      <c r="H813" s="16"/>
    </row>
    <row r="814" spans="2:8">
      <c r="B814" s="5"/>
      <c r="H814" s="16"/>
    </row>
    <row r="815" spans="2:8">
      <c r="B815" s="5"/>
      <c r="H815" s="16"/>
    </row>
    <row r="816" spans="2:8">
      <c r="B816" s="5"/>
      <c r="H816" s="16"/>
    </row>
    <row r="817" spans="2:8">
      <c r="B817" s="5"/>
      <c r="H817" s="16"/>
    </row>
    <row r="818" spans="2:8">
      <c r="B818" s="5"/>
      <c r="H818" s="16"/>
    </row>
    <row r="819" spans="2:8">
      <c r="B819" s="5"/>
      <c r="H819" s="16"/>
    </row>
    <row r="820" spans="2:8">
      <c r="B820" s="5"/>
      <c r="H820" s="16"/>
    </row>
    <row r="821" spans="2:8">
      <c r="B821" s="5"/>
      <c r="H821" s="16"/>
    </row>
    <row r="822" spans="2:8">
      <c r="B822" s="5"/>
      <c r="H822" s="16"/>
    </row>
    <row r="823" spans="2:8">
      <c r="B823" s="5"/>
      <c r="H823" s="16"/>
    </row>
    <row r="824" spans="2:8">
      <c r="B824" s="5"/>
      <c r="H824" s="16"/>
    </row>
    <row r="825" spans="2:8">
      <c r="B825" s="5"/>
      <c r="H825" s="16"/>
    </row>
    <row r="826" spans="2:8">
      <c r="B826" s="5"/>
      <c r="H826" s="16"/>
    </row>
    <row r="827" spans="2:8">
      <c r="B827" s="5"/>
      <c r="H827" s="16"/>
    </row>
    <row r="828" spans="2:8">
      <c r="B828" s="5"/>
      <c r="H828" s="16"/>
    </row>
    <row r="829" spans="2:8">
      <c r="B829" s="5"/>
      <c r="H829" s="16"/>
    </row>
    <row r="830" spans="2:8">
      <c r="B830" s="5"/>
      <c r="H830" s="16"/>
    </row>
    <row r="831" spans="2:8">
      <c r="B831" s="5"/>
      <c r="H831" s="16"/>
    </row>
    <row r="832" spans="2:8">
      <c r="B832" s="5"/>
      <c r="H832" s="16"/>
    </row>
    <row r="833" spans="2:8">
      <c r="B833" s="5"/>
      <c r="H833" s="16"/>
    </row>
    <row r="834" spans="2:8">
      <c r="B834" s="5"/>
      <c r="H834" s="16"/>
    </row>
    <row r="835" spans="2:8">
      <c r="B835" s="5"/>
      <c r="H835" s="16"/>
    </row>
    <row r="836" spans="2:8">
      <c r="B836" s="5"/>
      <c r="H836" s="16"/>
    </row>
    <row r="837" spans="2:8">
      <c r="B837" s="5"/>
      <c r="H837" s="16"/>
    </row>
    <row r="838" spans="2:8">
      <c r="B838" s="5"/>
      <c r="H838" s="16"/>
    </row>
    <row r="839" spans="2:8">
      <c r="B839" s="5"/>
      <c r="H839" s="16"/>
    </row>
    <row r="840" spans="2:8">
      <c r="B840" s="5"/>
      <c r="H840" s="16"/>
    </row>
    <row r="841" spans="2:8">
      <c r="B841" s="5"/>
      <c r="H841" s="16"/>
    </row>
    <row r="842" spans="2:8">
      <c r="B842" s="5"/>
      <c r="H842" s="16"/>
    </row>
    <row r="843" spans="2:8">
      <c r="B843" s="5"/>
      <c r="H843" s="16"/>
    </row>
    <row r="844" spans="2:8">
      <c r="B844" s="5"/>
      <c r="H844" s="16"/>
    </row>
    <row r="845" spans="2:8">
      <c r="B845" s="5"/>
      <c r="H845" s="16"/>
    </row>
    <row r="846" spans="2:8">
      <c r="B846" s="5"/>
      <c r="H846" s="16"/>
    </row>
    <row r="847" spans="2:8">
      <c r="B847" s="5"/>
      <c r="H847" s="16"/>
    </row>
    <row r="848" spans="2:8">
      <c r="B848" s="5"/>
      <c r="H848" s="16"/>
    </row>
    <row r="849" spans="2:8">
      <c r="B849" s="5"/>
      <c r="H849" s="16"/>
    </row>
    <row r="850" spans="2:8">
      <c r="B850" s="5"/>
      <c r="H850" s="16"/>
    </row>
    <row r="851" spans="2:8">
      <c r="B851" s="5"/>
      <c r="H851" s="16"/>
    </row>
    <row r="852" spans="2:8">
      <c r="B852" s="5"/>
      <c r="H852" s="16"/>
    </row>
    <row r="853" spans="2:8">
      <c r="B853" s="5"/>
      <c r="H853" s="16"/>
    </row>
    <row r="854" spans="2:8">
      <c r="B854" s="5"/>
      <c r="H854" s="16"/>
    </row>
    <row r="855" spans="2:8">
      <c r="B855" s="5"/>
      <c r="H855" s="16"/>
    </row>
    <row r="856" spans="2:8">
      <c r="B856" s="5"/>
      <c r="H856" s="16"/>
    </row>
    <row r="857" spans="2:8">
      <c r="B857" s="5"/>
      <c r="H857" s="16"/>
    </row>
    <row r="858" spans="2:8">
      <c r="B858" s="5"/>
      <c r="H858" s="16"/>
    </row>
    <row r="859" spans="2:8">
      <c r="B859" s="5"/>
      <c r="H859" s="16"/>
    </row>
    <row r="860" spans="2:8">
      <c r="B860" s="5"/>
      <c r="H860" s="16"/>
    </row>
    <row r="861" spans="2:8">
      <c r="B861" s="5"/>
      <c r="H861" s="16"/>
    </row>
    <row r="862" spans="2:8">
      <c r="B862" s="5"/>
      <c r="H862" s="16"/>
    </row>
    <row r="863" spans="2:8">
      <c r="B863" s="5"/>
      <c r="H863" s="16"/>
    </row>
    <row r="864" spans="2:8">
      <c r="B864" s="5"/>
      <c r="H864" s="16"/>
    </row>
    <row r="865" spans="2:8">
      <c r="B865" s="5"/>
      <c r="H865" s="16"/>
    </row>
    <row r="866" spans="2:8">
      <c r="B866" s="5"/>
      <c r="H866" s="16"/>
    </row>
    <row r="867" spans="2:8">
      <c r="B867" s="5"/>
      <c r="H867" s="16"/>
    </row>
    <row r="868" spans="2:8">
      <c r="B868" s="5"/>
      <c r="H868" s="16"/>
    </row>
    <row r="869" spans="2:8">
      <c r="B869" s="5"/>
      <c r="H869" s="16"/>
    </row>
    <row r="870" spans="2:8">
      <c r="B870" s="5"/>
      <c r="H870" s="16"/>
    </row>
    <row r="871" spans="2:8">
      <c r="B871" s="5"/>
      <c r="H871" s="16"/>
    </row>
    <row r="872" spans="2:8">
      <c r="B872" s="5"/>
      <c r="H872" s="16"/>
    </row>
    <row r="873" spans="2:8">
      <c r="B873" s="5"/>
      <c r="H873" s="16"/>
    </row>
    <row r="874" spans="2:8">
      <c r="B874" s="5"/>
      <c r="H874" s="16"/>
    </row>
    <row r="875" spans="2:8">
      <c r="B875" s="5"/>
      <c r="H875" s="16"/>
    </row>
    <row r="876" spans="2:8">
      <c r="B876" s="5"/>
      <c r="H876" s="16"/>
    </row>
    <row r="877" spans="2:8">
      <c r="B877" s="5"/>
      <c r="H877" s="16"/>
    </row>
    <row r="878" spans="2:8">
      <c r="B878" s="5"/>
      <c r="H878" s="16"/>
    </row>
    <row r="879" spans="2:8">
      <c r="B879" s="5"/>
      <c r="H879" s="16"/>
    </row>
    <row r="880" spans="2:8">
      <c r="B880" s="5"/>
      <c r="H880" s="16"/>
    </row>
    <row r="881" spans="2:8">
      <c r="B881" s="5"/>
      <c r="H881" s="16"/>
    </row>
    <row r="882" spans="2:8">
      <c r="B882" s="5"/>
      <c r="H882" s="16"/>
    </row>
    <row r="883" spans="2:8">
      <c r="B883" s="5"/>
      <c r="H883" s="16"/>
    </row>
    <row r="884" spans="2:8">
      <c r="B884" s="5"/>
      <c r="H884" s="16"/>
    </row>
    <row r="885" spans="2:8">
      <c r="B885" s="5"/>
      <c r="H885" s="16"/>
    </row>
    <row r="886" spans="2:8">
      <c r="B886" s="5"/>
      <c r="H886" s="16"/>
    </row>
    <row r="887" spans="2:8">
      <c r="B887" s="5"/>
      <c r="H887" s="16"/>
    </row>
    <row r="888" spans="2:8">
      <c r="B888" s="5"/>
      <c r="H888" s="16"/>
    </row>
    <row r="889" spans="2:8">
      <c r="B889" s="5"/>
      <c r="H889" s="16"/>
    </row>
    <row r="890" spans="2:8">
      <c r="B890" s="5"/>
      <c r="H890" s="16"/>
    </row>
    <row r="891" spans="2:8">
      <c r="B891" s="5"/>
      <c r="H891" s="16"/>
    </row>
    <row r="892" spans="2:8">
      <c r="B892" s="5"/>
      <c r="H892" s="16"/>
    </row>
  </sheetData>
  <mergeCells count="27">
    <mergeCell ref="C43:F43"/>
    <mergeCell ref="G43:H43"/>
    <mergeCell ref="A4:H4"/>
    <mergeCell ref="A10:F10"/>
    <mergeCell ref="A17:F17"/>
    <mergeCell ref="A23:F23"/>
    <mergeCell ref="A29:F29"/>
    <mergeCell ref="A35:F35"/>
    <mergeCell ref="A38:F38"/>
    <mergeCell ref="C41:F41"/>
    <mergeCell ref="G41:H41"/>
    <mergeCell ref="C42:F42"/>
    <mergeCell ref="G42:H42"/>
    <mergeCell ref="C44:F44"/>
    <mergeCell ref="G44:H44"/>
    <mergeCell ref="C45:F45"/>
    <mergeCell ref="G45:H45"/>
    <mergeCell ref="C46:F46"/>
    <mergeCell ref="G46:H46"/>
    <mergeCell ref="C50:F50"/>
    <mergeCell ref="G50:H50"/>
    <mergeCell ref="C47:F47"/>
    <mergeCell ref="G47:H47"/>
    <mergeCell ref="C48:F48"/>
    <mergeCell ref="G48:H48"/>
    <mergeCell ref="C49:F49"/>
    <mergeCell ref="G49:H49"/>
  </mergeCells>
  <dataValidations count="1">
    <dataValidation type="list" allowBlank="1" showInputMessage="1" showErrorMessage="1" sqref="B42:B48" xr:uid="{49BA1BFB-732A-475E-8E0F-9C71BF753B9B}">
      <formula1>$L$41:$L$45</formula1>
    </dataValidation>
  </dataValidations>
  <pageMargins left="0.7" right="0.7" top="0.75" bottom="0.75" header="0.3" footer="0.3"/>
  <pageSetup scale="57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65DF9-218B-6F4B-AC31-D0B71A43A41D}">
  <sheetPr>
    <pageSetUpPr fitToPage="1"/>
  </sheetPr>
  <dimension ref="A1:L892"/>
  <sheetViews>
    <sheetView showZeros="0" topLeftCell="A2" zoomScale="80" zoomScaleNormal="80" workbookViewId="0">
      <selection activeCell="A11" sqref="A11"/>
    </sheetView>
  </sheetViews>
  <sheetFormatPr defaultColWidth="10.875" defaultRowHeight="18.95"/>
  <cols>
    <col min="1" max="1" width="35.625" customWidth="1"/>
    <col min="2" max="2" width="14.625" style="16" customWidth="1"/>
    <col min="3" max="7" width="15.875" style="5" customWidth="1"/>
    <col min="8" max="8" width="15.875" style="17" customWidth="1"/>
    <col min="9" max="9" width="10.875" style="5"/>
    <col min="10" max="10" width="10.875" style="5" customWidth="1"/>
    <col min="11" max="12" width="10.875" style="5" hidden="1" customWidth="1"/>
    <col min="13" max="13" width="0" style="5" hidden="1" customWidth="1"/>
    <col min="14" max="16384" width="10.875" style="5"/>
  </cols>
  <sheetData>
    <row r="1" spans="1:10" customFormat="1" ht="15.95">
      <c r="A1" s="41"/>
      <c r="B1" s="42"/>
      <c r="C1" s="43"/>
      <c r="D1" s="43"/>
      <c r="E1" s="45" t="s">
        <v>25</v>
      </c>
      <c r="F1" s="43"/>
      <c r="G1" s="45" t="s">
        <v>26</v>
      </c>
      <c r="H1" s="44"/>
    </row>
    <row r="2" spans="1:10">
      <c r="A2" s="30"/>
      <c r="B2" s="18" t="s">
        <v>27</v>
      </c>
      <c r="C2" s="19" t="s">
        <v>28</v>
      </c>
      <c r="D2" s="19" t="s">
        <v>29</v>
      </c>
      <c r="E2" s="18" t="s">
        <v>30</v>
      </c>
      <c r="F2" s="18" t="s">
        <v>31</v>
      </c>
      <c r="G2" s="18" t="s">
        <v>32</v>
      </c>
      <c r="H2" s="18" t="s">
        <v>33</v>
      </c>
    </row>
    <row r="3" spans="1:10" ht="21" customHeight="1">
      <c r="A3" s="31" t="s">
        <v>7</v>
      </c>
      <c r="B3" s="6">
        <v>45886</v>
      </c>
      <c r="C3" s="6">
        <f>B3+1</f>
        <v>45887</v>
      </c>
      <c r="D3" s="6">
        <f t="shared" ref="D3:H3" si="0">C3+1</f>
        <v>45888</v>
      </c>
      <c r="E3" s="6">
        <f t="shared" si="0"/>
        <v>45889</v>
      </c>
      <c r="F3" s="6">
        <f t="shared" si="0"/>
        <v>45890</v>
      </c>
      <c r="G3" s="6">
        <f t="shared" si="0"/>
        <v>45891</v>
      </c>
      <c r="H3" s="6">
        <f t="shared" si="0"/>
        <v>45892</v>
      </c>
    </row>
    <row r="4" spans="1:10" s="7" customFormat="1">
      <c r="A4" s="181" t="s">
        <v>34</v>
      </c>
      <c r="B4" s="181"/>
      <c r="C4" s="181"/>
      <c r="D4" s="181"/>
      <c r="E4" s="181"/>
      <c r="F4" s="181"/>
      <c r="G4" s="181"/>
      <c r="H4" s="181"/>
    </row>
    <row r="5" spans="1:10" s="7" customFormat="1" ht="26.1" customHeight="1">
      <c r="A5" s="32" t="s">
        <v>8</v>
      </c>
      <c r="B5" s="27"/>
      <c r="C5" s="27"/>
      <c r="D5" s="27"/>
      <c r="E5" s="153"/>
      <c r="F5" s="153"/>
      <c r="G5" s="153"/>
      <c r="H5" s="153"/>
    </row>
    <row r="6" spans="1:10" s="7" customFormat="1" ht="26.1" customHeight="1">
      <c r="A6" s="4" t="s">
        <v>23</v>
      </c>
      <c r="B6" s="62"/>
      <c r="C6" s="62"/>
      <c r="D6" s="62"/>
      <c r="E6" s="154"/>
      <c r="F6" s="154"/>
      <c r="G6" s="154"/>
      <c r="H6" s="154"/>
    </row>
    <row r="7" spans="1:10" s="7" customFormat="1" ht="21.95" customHeight="1">
      <c r="A7" s="32" t="s">
        <v>35</v>
      </c>
      <c r="B7" s="27"/>
      <c r="C7" s="28"/>
      <c r="D7" s="28"/>
      <c r="E7" s="153"/>
      <c r="F7" s="153"/>
      <c r="G7" s="153"/>
      <c r="H7" s="153"/>
    </row>
    <row r="8" spans="1:10" s="7" customFormat="1" ht="24.95" customHeight="1" thickBot="1">
      <c r="A8" s="83" t="s">
        <v>36</v>
      </c>
      <c r="B8" s="84">
        <f t="shared" ref="B8:H8" si="1">B5+B6+B7</f>
        <v>0</v>
      </c>
      <c r="C8" s="84">
        <f t="shared" si="1"/>
        <v>0</v>
      </c>
      <c r="D8" s="84">
        <f t="shared" si="1"/>
        <v>0</v>
      </c>
      <c r="E8" s="155">
        <f t="shared" si="1"/>
        <v>0</v>
      </c>
      <c r="F8" s="155">
        <f t="shared" si="1"/>
        <v>0</v>
      </c>
      <c r="G8" s="155">
        <f t="shared" si="1"/>
        <v>0</v>
      </c>
      <c r="H8" s="155">
        <f t="shared" si="1"/>
        <v>0</v>
      </c>
    </row>
    <row r="9" spans="1:10" s="7" customFormat="1" ht="24.95" customHeight="1" thickBot="1">
      <c r="A9" s="33"/>
      <c r="B9" s="29"/>
      <c r="C9" s="29"/>
      <c r="D9" s="29"/>
      <c r="E9" s="29"/>
      <c r="F9" s="29"/>
      <c r="G9" s="63" t="s">
        <v>37</v>
      </c>
      <c r="H9" s="64">
        <f>SUM(B8:H8)</f>
        <v>0</v>
      </c>
    </row>
    <row r="10" spans="1:10" s="7" customFormat="1" ht="21" thickTop="1" thickBot="1">
      <c r="A10" s="182" t="s">
        <v>38</v>
      </c>
      <c r="B10" s="183"/>
      <c r="C10" s="183"/>
      <c r="D10" s="183"/>
      <c r="E10" s="183"/>
      <c r="F10" s="183"/>
      <c r="G10" s="65" t="s">
        <v>39</v>
      </c>
      <c r="H10" s="66">
        <v>-0.08</v>
      </c>
      <c r="I10" s="5"/>
      <c r="J10" s="26"/>
    </row>
    <row r="11" spans="1:10" s="7" customFormat="1" ht="30" customHeight="1">
      <c r="A11" s="39" t="s">
        <v>8</v>
      </c>
      <c r="B11" s="9"/>
      <c r="C11" s="9"/>
      <c r="D11" s="67"/>
      <c r="E11" s="153"/>
      <c r="F11" s="153"/>
      <c r="G11" s="153"/>
      <c r="H11" s="153"/>
    </row>
    <row r="12" spans="1:10" s="7" customFormat="1" ht="30" customHeight="1">
      <c r="A12" s="70" t="s">
        <v>23</v>
      </c>
      <c r="B12" s="59"/>
      <c r="C12" s="58"/>
      <c r="D12" s="58"/>
      <c r="E12" s="154"/>
      <c r="F12" s="154"/>
      <c r="G12" s="154"/>
      <c r="H12" s="154"/>
    </row>
    <row r="13" spans="1:10" s="7" customFormat="1" ht="30" customHeight="1">
      <c r="A13" s="3" t="s">
        <v>35</v>
      </c>
      <c r="B13" s="8"/>
      <c r="C13" s="8"/>
      <c r="D13" s="8"/>
      <c r="E13" s="153"/>
      <c r="F13" s="153"/>
      <c r="G13" s="153"/>
      <c r="H13" s="153"/>
    </row>
    <row r="14" spans="1:10" s="7" customFormat="1" ht="27" customHeight="1" thickBot="1">
      <c r="A14" s="85" t="s">
        <v>36</v>
      </c>
      <c r="B14" s="87">
        <f t="shared" ref="B14:H14" si="2">SUM(B11:B13)</f>
        <v>0</v>
      </c>
      <c r="C14" s="87">
        <f t="shared" si="2"/>
        <v>0</v>
      </c>
      <c r="D14" s="87">
        <f t="shared" si="2"/>
        <v>0</v>
      </c>
      <c r="E14" s="87">
        <f t="shared" si="2"/>
        <v>0</v>
      </c>
      <c r="F14" s="87">
        <f t="shared" si="2"/>
        <v>0</v>
      </c>
      <c r="G14" s="87">
        <f t="shared" si="2"/>
        <v>0</v>
      </c>
      <c r="H14" s="87">
        <f t="shared" si="2"/>
        <v>0</v>
      </c>
    </row>
    <row r="15" spans="1:10" s="7" customFormat="1" ht="24.95" customHeight="1" thickBot="1">
      <c r="A15" s="86" t="s">
        <v>40</v>
      </c>
      <c r="B15" s="92" t="e">
        <f t="shared" ref="B15:H15" si="3">(B14-B8)/B8</f>
        <v>#DIV/0!</v>
      </c>
      <c r="C15" s="93" t="e">
        <f t="shared" si="3"/>
        <v>#DIV/0!</v>
      </c>
      <c r="D15" s="93" t="e">
        <f t="shared" si="3"/>
        <v>#DIV/0!</v>
      </c>
      <c r="E15" s="93" t="e">
        <f t="shared" si="3"/>
        <v>#DIV/0!</v>
      </c>
      <c r="F15" s="93" t="e">
        <f t="shared" si="3"/>
        <v>#DIV/0!</v>
      </c>
      <c r="G15" s="93" t="e">
        <f t="shared" si="3"/>
        <v>#DIV/0!</v>
      </c>
      <c r="H15" s="94" t="e">
        <f t="shared" si="3"/>
        <v>#DIV/0!</v>
      </c>
      <c r="I15" s="71"/>
    </row>
    <row r="16" spans="1:10" ht="24" customHeight="1" thickBot="1">
      <c r="B16" s="88"/>
      <c r="C16" s="88"/>
      <c r="D16" s="88"/>
      <c r="E16" s="88"/>
      <c r="F16" s="89"/>
      <c r="G16" s="90" t="s">
        <v>37</v>
      </c>
      <c r="H16" s="91">
        <f>SUM(B14:H14)</f>
        <v>0</v>
      </c>
    </row>
    <row r="17" spans="1:8" s="7" customFormat="1" ht="21.95" thickTop="1" thickBot="1">
      <c r="A17" s="184" t="s">
        <v>41</v>
      </c>
      <c r="B17" s="185"/>
      <c r="C17" s="185"/>
      <c r="D17" s="185"/>
      <c r="E17" s="185"/>
      <c r="F17" s="185"/>
      <c r="G17" s="72" t="s">
        <v>42</v>
      </c>
      <c r="H17" s="66" t="e">
        <f>(H16-H9)/H9</f>
        <v>#DIV/0!</v>
      </c>
    </row>
    <row r="18" spans="1:8" s="7" customFormat="1" ht="30" customHeight="1">
      <c r="A18" s="35" t="s">
        <v>43</v>
      </c>
      <c r="B18" s="12"/>
      <c r="C18" s="12"/>
      <c r="D18" s="73"/>
      <c r="E18" s="73"/>
      <c r="F18" s="12"/>
      <c r="G18" s="24"/>
      <c r="H18" s="74"/>
    </row>
    <row r="19" spans="1:8" s="7" customFormat="1" ht="30" customHeight="1">
      <c r="A19" s="35" t="str">
        <f>'OPENING WEEK 1'!A19</f>
        <v>Non Meal Plan Meals</v>
      </c>
      <c r="B19" s="12"/>
      <c r="C19" s="12"/>
      <c r="D19" s="73"/>
      <c r="E19" s="73"/>
      <c r="F19" s="12"/>
      <c r="G19" s="24"/>
      <c r="H19" s="74"/>
    </row>
    <row r="20" spans="1:8" s="7" customFormat="1" ht="30" customHeight="1">
      <c r="A20" s="35" t="s">
        <v>44</v>
      </c>
      <c r="B20" s="95"/>
      <c r="C20" s="95"/>
      <c r="D20" s="67"/>
      <c r="E20" s="67"/>
      <c r="F20" s="95"/>
      <c r="G20" s="95"/>
      <c r="H20" s="75"/>
    </row>
    <row r="21" spans="1:8" s="7" customFormat="1" ht="24.95" customHeight="1" thickBot="1">
      <c r="A21" s="36" t="s">
        <v>45</v>
      </c>
      <c r="B21" s="77">
        <f t="shared" ref="B21:H21" si="4">SUM(B18:B20)</f>
        <v>0</v>
      </c>
      <c r="C21" s="77">
        <f t="shared" si="4"/>
        <v>0</v>
      </c>
      <c r="D21" s="133">
        <f t="shared" si="4"/>
        <v>0</v>
      </c>
      <c r="E21" s="133">
        <f t="shared" si="4"/>
        <v>0</v>
      </c>
      <c r="F21" s="77">
        <f t="shared" si="4"/>
        <v>0</v>
      </c>
      <c r="G21" s="77">
        <f t="shared" si="4"/>
        <v>0</v>
      </c>
      <c r="H21" s="77">
        <f t="shared" si="4"/>
        <v>0</v>
      </c>
    </row>
    <row r="22" spans="1:8" s="7" customFormat="1" ht="24.95" customHeight="1" thickBot="1">
      <c r="A22" s="34" t="s">
        <v>40</v>
      </c>
      <c r="B22" s="92" t="e">
        <f>(B21-B5)/B5</f>
        <v>#DIV/0!</v>
      </c>
      <c r="C22" s="93" t="e">
        <f>(C21-C5)/C5</f>
        <v>#DIV/0!</v>
      </c>
      <c r="D22" s="99"/>
      <c r="E22" s="99"/>
      <c r="F22" s="93" t="e">
        <f>(F21-F5)/F5</f>
        <v>#DIV/0!</v>
      </c>
      <c r="G22" s="93" t="e">
        <f>(G21-G5)/G5</f>
        <v>#DIV/0!</v>
      </c>
      <c r="H22" s="94" t="e">
        <f>(H21-H5)/H5</f>
        <v>#DIV/0!</v>
      </c>
    </row>
    <row r="23" spans="1:8" s="7" customFormat="1">
      <c r="A23" s="186" t="s">
        <v>46</v>
      </c>
      <c r="B23" s="187"/>
      <c r="C23" s="187"/>
      <c r="D23" s="187"/>
      <c r="E23" s="187"/>
      <c r="F23" s="188" t="s">
        <v>47</v>
      </c>
      <c r="G23" s="97"/>
      <c r="H23" s="98"/>
    </row>
    <row r="24" spans="1:8" s="7" customFormat="1" ht="30" customHeight="1">
      <c r="A24" s="35" t="s">
        <v>43</v>
      </c>
      <c r="B24" s="11"/>
      <c r="C24" s="12"/>
      <c r="D24" s="12"/>
      <c r="E24" s="12"/>
      <c r="F24" s="12"/>
      <c r="G24" s="12"/>
      <c r="H24" s="11"/>
    </row>
    <row r="25" spans="1:8" s="7" customFormat="1" ht="30" customHeight="1">
      <c r="A25" s="35" t="s">
        <v>48</v>
      </c>
      <c r="B25" s="117"/>
      <c r="C25" s="117"/>
      <c r="D25" s="117"/>
      <c r="E25" s="117"/>
      <c r="F25" s="117"/>
      <c r="G25" s="117"/>
      <c r="H25" s="117"/>
    </row>
    <row r="26" spans="1:8" s="7" customFormat="1" ht="30" customHeight="1">
      <c r="A26" s="35" t="s">
        <v>49</v>
      </c>
      <c r="B26" s="11"/>
      <c r="C26" s="11"/>
      <c r="D26" s="11"/>
      <c r="E26" s="11"/>
      <c r="F26" s="11"/>
      <c r="G26" s="11"/>
      <c r="H26" s="11"/>
    </row>
    <row r="27" spans="1:8" s="7" customFormat="1" ht="27.95" customHeight="1" thickBot="1">
      <c r="A27" s="36" t="s">
        <v>50</v>
      </c>
      <c r="B27" s="100">
        <f>SUM(B24:B26)</f>
        <v>0</v>
      </c>
      <c r="C27" s="100">
        <f t="shared" ref="C27:H27" si="5">C24+C25+C26</f>
        <v>0</v>
      </c>
      <c r="D27" s="100">
        <f t="shared" si="5"/>
        <v>0</v>
      </c>
      <c r="E27" s="100">
        <f t="shared" si="5"/>
        <v>0</v>
      </c>
      <c r="F27" s="100">
        <f t="shared" si="5"/>
        <v>0</v>
      </c>
      <c r="G27" s="100">
        <f t="shared" si="5"/>
        <v>0</v>
      </c>
      <c r="H27" s="100">
        <f t="shared" si="5"/>
        <v>0</v>
      </c>
    </row>
    <row r="28" spans="1:8" s="7" customFormat="1" ht="24.95" customHeight="1" thickBot="1">
      <c r="A28" s="34" t="s">
        <v>40</v>
      </c>
      <c r="B28" s="92" t="e">
        <f t="shared" ref="B28:H28" si="6">(B27-B6)/B6</f>
        <v>#DIV/0!</v>
      </c>
      <c r="C28" s="93" t="e">
        <f t="shared" si="6"/>
        <v>#DIV/0!</v>
      </c>
      <c r="D28" s="93" t="e">
        <f t="shared" si="6"/>
        <v>#DIV/0!</v>
      </c>
      <c r="E28" s="93" t="e">
        <f t="shared" si="6"/>
        <v>#DIV/0!</v>
      </c>
      <c r="F28" s="93" t="e">
        <f t="shared" si="6"/>
        <v>#DIV/0!</v>
      </c>
      <c r="G28" s="93" t="e">
        <f t="shared" si="6"/>
        <v>#DIV/0!</v>
      </c>
      <c r="H28" s="94" t="e">
        <f t="shared" si="6"/>
        <v>#DIV/0!</v>
      </c>
    </row>
    <row r="29" spans="1:8" s="7" customFormat="1">
      <c r="A29" s="189" t="s">
        <v>51</v>
      </c>
      <c r="B29" s="190"/>
      <c r="C29" s="190"/>
      <c r="D29" s="190"/>
      <c r="E29" s="190"/>
      <c r="F29" s="191" t="s">
        <v>35</v>
      </c>
      <c r="G29" s="101"/>
      <c r="H29" s="102"/>
    </row>
    <row r="30" spans="1:8" s="7" customFormat="1" ht="30" customHeight="1">
      <c r="A30" s="35" t="s">
        <v>43</v>
      </c>
      <c r="B30" s="10"/>
      <c r="C30" s="9"/>
      <c r="D30" s="9"/>
      <c r="E30" s="9"/>
      <c r="F30" s="9"/>
      <c r="G30" s="9"/>
      <c r="H30" s="10"/>
    </row>
    <row r="31" spans="1:8" s="7" customFormat="1" ht="30" customHeight="1">
      <c r="A31" s="35" t="s">
        <v>52</v>
      </c>
      <c r="B31" s="60"/>
      <c r="C31" s="60"/>
      <c r="D31" s="60"/>
      <c r="E31" s="60"/>
      <c r="F31" s="60"/>
      <c r="G31" s="60"/>
      <c r="H31" s="60"/>
    </row>
    <row r="32" spans="1:8" s="7" customFormat="1" ht="30" customHeight="1">
      <c r="A32" s="35" t="s">
        <v>44</v>
      </c>
      <c r="B32" s="10"/>
      <c r="C32" s="10"/>
      <c r="D32" s="10"/>
      <c r="E32" s="10"/>
      <c r="F32" s="10"/>
      <c r="G32" s="10"/>
      <c r="H32" s="10"/>
    </row>
    <row r="33" spans="1:12" s="7" customFormat="1" ht="30.95" customHeight="1" thickBot="1">
      <c r="A33" s="36" t="s">
        <v>53</v>
      </c>
      <c r="B33" s="103">
        <f t="shared" ref="B33:H33" si="7">SUM(B30:B32)</f>
        <v>0</v>
      </c>
      <c r="C33" s="103">
        <f t="shared" si="7"/>
        <v>0</v>
      </c>
      <c r="D33" s="103">
        <f t="shared" si="7"/>
        <v>0</v>
      </c>
      <c r="E33" s="103">
        <f t="shared" si="7"/>
        <v>0</v>
      </c>
      <c r="F33" s="103">
        <f t="shared" si="7"/>
        <v>0</v>
      </c>
      <c r="G33" s="103">
        <f t="shared" si="7"/>
        <v>0</v>
      </c>
      <c r="H33" s="103">
        <f t="shared" si="7"/>
        <v>0</v>
      </c>
    </row>
    <row r="34" spans="1:12" s="7" customFormat="1" ht="24.95" customHeight="1" thickBot="1">
      <c r="A34" s="34" t="s">
        <v>40</v>
      </c>
      <c r="B34" s="92" t="e">
        <f t="shared" ref="B34:H34" si="8">(B33-B7)/B7</f>
        <v>#DIV/0!</v>
      </c>
      <c r="C34" s="93" t="e">
        <f t="shared" si="8"/>
        <v>#DIV/0!</v>
      </c>
      <c r="D34" s="93" t="e">
        <f t="shared" si="8"/>
        <v>#DIV/0!</v>
      </c>
      <c r="E34" s="93" t="e">
        <f t="shared" si="8"/>
        <v>#DIV/0!</v>
      </c>
      <c r="F34" s="93" t="e">
        <f t="shared" si="8"/>
        <v>#DIV/0!</v>
      </c>
      <c r="G34" s="93" t="e">
        <f t="shared" si="8"/>
        <v>#DIV/0!</v>
      </c>
      <c r="H34" s="94" t="e">
        <f t="shared" si="8"/>
        <v>#DIV/0!</v>
      </c>
    </row>
    <row r="35" spans="1:12" s="7" customFormat="1">
      <c r="A35" s="192" t="s">
        <v>54</v>
      </c>
      <c r="B35" s="193"/>
      <c r="C35" s="193"/>
      <c r="D35" s="193"/>
      <c r="E35" s="193"/>
      <c r="F35" s="194" t="s">
        <v>35</v>
      </c>
      <c r="G35" s="104"/>
      <c r="H35" s="105"/>
    </row>
    <row r="36" spans="1:12" s="7" customFormat="1" ht="30.95" customHeight="1" thickBot="1">
      <c r="A36" s="78" t="s">
        <v>55</v>
      </c>
      <c r="B36" s="77">
        <f t="shared" ref="B36:H36" si="9">B33+B27+B21</f>
        <v>0</v>
      </c>
      <c r="C36" s="77">
        <f t="shared" si="9"/>
        <v>0</v>
      </c>
      <c r="D36" s="77">
        <f t="shared" si="9"/>
        <v>0</v>
      </c>
      <c r="E36" s="77">
        <f t="shared" si="9"/>
        <v>0</v>
      </c>
      <c r="F36" s="77">
        <f t="shared" si="9"/>
        <v>0</v>
      </c>
      <c r="G36" s="77">
        <f t="shared" si="9"/>
        <v>0</v>
      </c>
      <c r="H36" s="77">
        <f t="shared" si="9"/>
        <v>0</v>
      </c>
    </row>
    <row r="37" spans="1:12" s="7" customFormat="1" ht="24.95" customHeight="1" thickBot="1">
      <c r="A37" s="34" t="s">
        <v>40</v>
      </c>
      <c r="B37" s="92" t="e">
        <f t="shared" ref="B37:H37" si="10">(B36-B8)/B8</f>
        <v>#DIV/0!</v>
      </c>
      <c r="C37" s="93" t="e">
        <f t="shared" si="10"/>
        <v>#DIV/0!</v>
      </c>
      <c r="D37" s="93" t="e">
        <f t="shared" si="10"/>
        <v>#DIV/0!</v>
      </c>
      <c r="E37" s="93" t="e">
        <f t="shared" si="10"/>
        <v>#DIV/0!</v>
      </c>
      <c r="F37" s="93" t="e">
        <f t="shared" si="10"/>
        <v>#DIV/0!</v>
      </c>
      <c r="G37" s="93" t="e">
        <f t="shared" si="10"/>
        <v>#DIV/0!</v>
      </c>
      <c r="H37" s="94" t="e">
        <f t="shared" si="10"/>
        <v>#DIV/0!</v>
      </c>
    </row>
    <row r="38" spans="1:12" ht="24" customHeight="1" thickBot="1">
      <c r="A38" s="195"/>
      <c r="B38" s="196"/>
      <c r="C38" s="196"/>
      <c r="D38" s="196"/>
      <c r="E38" s="196"/>
      <c r="F38" s="196"/>
      <c r="G38" s="106" t="s">
        <v>37</v>
      </c>
      <c r="H38" s="107">
        <f>SUM(B36:H36)</f>
        <v>0</v>
      </c>
    </row>
    <row r="39" spans="1:12" s="7" customFormat="1" ht="24.95" customHeight="1" thickTop="1">
      <c r="A39" s="37"/>
      <c r="B39" s="25"/>
      <c r="C39" s="25"/>
      <c r="D39" s="25"/>
      <c r="E39" s="25"/>
      <c r="F39" s="25"/>
      <c r="G39" s="79" t="s">
        <v>40</v>
      </c>
      <c r="H39" s="80" t="e">
        <f>(H38-H9)/H9</f>
        <v>#DIV/0!</v>
      </c>
    </row>
    <row r="40" spans="1:12" s="7" customFormat="1" ht="24.95" customHeight="1" thickBot="1">
      <c r="A40" s="37"/>
      <c r="B40" s="25"/>
      <c r="C40" s="25"/>
      <c r="D40" s="25"/>
      <c r="E40" s="25"/>
      <c r="F40" s="25"/>
      <c r="G40" s="81" t="s">
        <v>56</v>
      </c>
      <c r="H40" s="82" t="e">
        <f>(H38-H16)/H16</f>
        <v>#DIV/0!</v>
      </c>
    </row>
    <row r="41" spans="1:12" s="46" customFormat="1" ht="23.1" customHeight="1">
      <c r="A41" s="40"/>
      <c r="B41" s="47" t="s">
        <v>57</v>
      </c>
      <c r="C41" s="197" t="s">
        <v>58</v>
      </c>
      <c r="D41" s="197"/>
      <c r="E41" s="197"/>
      <c r="F41" s="197"/>
      <c r="G41" s="198">
        <v>2020</v>
      </c>
      <c r="H41" s="199"/>
      <c r="L41" s="56" t="s">
        <v>59</v>
      </c>
    </row>
    <row r="42" spans="1:12" ht="40.5" customHeight="1">
      <c r="A42" s="1" t="s">
        <v>60</v>
      </c>
      <c r="B42" s="57" t="s">
        <v>59</v>
      </c>
      <c r="C42" s="180"/>
      <c r="D42" s="180"/>
      <c r="E42" s="180"/>
      <c r="F42" s="180"/>
      <c r="G42" s="178"/>
      <c r="H42" s="179"/>
      <c r="L42" s="7" t="s">
        <v>61</v>
      </c>
    </row>
    <row r="43" spans="1:12" ht="33" customHeight="1">
      <c r="A43" s="1" t="s">
        <v>1</v>
      </c>
      <c r="B43" s="57" t="s">
        <v>59</v>
      </c>
      <c r="C43" s="180"/>
      <c r="D43" s="180"/>
      <c r="E43" s="180"/>
      <c r="F43" s="180"/>
      <c r="G43" s="178"/>
      <c r="H43" s="179"/>
      <c r="L43" s="5" t="s">
        <v>62</v>
      </c>
    </row>
    <row r="44" spans="1:12" ht="30" customHeight="1">
      <c r="A44" s="1" t="s">
        <v>2</v>
      </c>
      <c r="B44" s="57" t="s">
        <v>59</v>
      </c>
      <c r="C44" s="175"/>
      <c r="D44" s="175"/>
      <c r="E44" s="175"/>
      <c r="F44" s="175"/>
      <c r="G44" s="178"/>
      <c r="H44" s="179"/>
      <c r="L44" s="5" t="s">
        <v>63</v>
      </c>
    </row>
    <row r="45" spans="1:12" ht="23.25" customHeight="1">
      <c r="A45" s="1" t="s">
        <v>3</v>
      </c>
      <c r="B45" s="57" t="s">
        <v>59</v>
      </c>
      <c r="C45" s="175"/>
      <c r="D45" s="175"/>
      <c r="E45" s="175"/>
      <c r="F45" s="175"/>
      <c r="G45" s="176"/>
      <c r="H45" s="177"/>
      <c r="L45" s="5" t="s">
        <v>64</v>
      </c>
    </row>
    <row r="46" spans="1:12" ht="24.75" customHeight="1">
      <c r="A46" s="1" t="s">
        <v>4</v>
      </c>
      <c r="B46" s="57" t="s">
        <v>59</v>
      </c>
      <c r="C46" s="175"/>
      <c r="D46" s="175"/>
      <c r="E46" s="175"/>
      <c r="F46" s="175"/>
      <c r="G46" s="178"/>
      <c r="H46" s="179"/>
    </row>
    <row r="47" spans="1:12" ht="30" customHeight="1">
      <c r="A47" s="1" t="s">
        <v>5</v>
      </c>
      <c r="B47" s="57" t="s">
        <v>59</v>
      </c>
      <c r="C47" s="175"/>
      <c r="D47" s="175"/>
      <c r="E47" s="175"/>
      <c r="F47" s="175"/>
      <c r="G47" s="176"/>
      <c r="H47" s="177"/>
    </row>
    <row r="48" spans="1:12" ht="36.75" customHeight="1">
      <c r="A48" s="1" t="s">
        <v>6</v>
      </c>
      <c r="B48" s="57" t="s">
        <v>59</v>
      </c>
      <c r="C48" s="175"/>
      <c r="D48" s="175"/>
      <c r="E48" s="175"/>
      <c r="F48" s="175"/>
      <c r="G48" s="176"/>
      <c r="H48" s="177"/>
    </row>
    <row r="49" spans="1:8" ht="20.25" customHeight="1">
      <c r="A49" s="1"/>
      <c r="B49" s="14"/>
      <c r="C49" s="175"/>
      <c r="D49" s="175"/>
      <c r="E49" s="175"/>
      <c r="F49" s="175"/>
      <c r="G49" s="176"/>
      <c r="H49" s="177"/>
    </row>
    <row r="50" spans="1:8" ht="19.5" customHeight="1">
      <c r="A50" s="2"/>
      <c r="B50" s="14"/>
      <c r="C50" s="175"/>
      <c r="D50" s="175"/>
      <c r="E50" s="175"/>
      <c r="F50" s="175"/>
      <c r="G50" s="176"/>
      <c r="H50" s="177"/>
    </row>
    <row r="51" spans="1:8">
      <c r="A51" s="30"/>
      <c r="B51" s="18" t="s">
        <v>27</v>
      </c>
      <c r="C51" s="18" t="s">
        <v>28</v>
      </c>
      <c r="D51" s="18" t="s">
        <v>65</v>
      </c>
      <c r="E51" s="18" t="s">
        <v>30</v>
      </c>
      <c r="F51" s="18" t="s">
        <v>66</v>
      </c>
      <c r="G51" s="18" t="s">
        <v>32</v>
      </c>
      <c r="H51" s="18" t="s">
        <v>33</v>
      </c>
    </row>
    <row r="52" spans="1:8">
      <c r="A52" s="38" t="s">
        <v>67</v>
      </c>
      <c r="B52" s="108"/>
      <c r="C52" s="109"/>
      <c r="D52" s="20"/>
      <c r="E52" s="20"/>
      <c r="F52" s="20"/>
      <c r="G52" s="20"/>
      <c r="H52" s="15"/>
    </row>
    <row r="53" spans="1:8" customFormat="1" ht="15.95">
      <c r="A53" s="48" t="s">
        <v>68</v>
      </c>
      <c r="B53" s="22"/>
      <c r="C53" s="21"/>
      <c r="D53" s="21"/>
      <c r="E53" s="21"/>
      <c r="F53" s="21"/>
      <c r="G53" s="23" t="s">
        <v>37</v>
      </c>
      <c r="H53" s="23">
        <f>SUM(B52:H52)</f>
        <v>0</v>
      </c>
    </row>
    <row r="54" spans="1:8">
      <c r="A54" s="30"/>
      <c r="B54" s="18" t="s">
        <v>27</v>
      </c>
      <c r="C54" s="18" t="s">
        <v>28</v>
      </c>
      <c r="D54" s="18" t="s">
        <v>65</v>
      </c>
      <c r="E54" s="18" t="s">
        <v>30</v>
      </c>
      <c r="F54" s="18" t="s">
        <v>66</v>
      </c>
      <c r="G54" s="18" t="s">
        <v>32</v>
      </c>
      <c r="H54" s="18" t="s">
        <v>33</v>
      </c>
    </row>
    <row r="55" spans="1:8">
      <c r="A55" s="38" t="s">
        <v>69</v>
      </c>
      <c r="B55" s="51"/>
      <c r="C55" s="52"/>
      <c r="D55" s="52"/>
      <c r="E55" s="52"/>
      <c r="F55" s="52"/>
      <c r="G55" s="20"/>
      <c r="H55" s="15"/>
    </row>
    <row r="56" spans="1:8" customFormat="1" ht="15.95">
      <c r="A56" s="49" t="s">
        <v>70</v>
      </c>
      <c r="B56" s="53"/>
      <c r="C56" s="53" t="s">
        <v>71</v>
      </c>
      <c r="D56" s="54"/>
      <c r="E56" s="54"/>
      <c r="F56" s="55"/>
      <c r="G56" s="50" t="s">
        <v>37</v>
      </c>
      <c r="H56" s="23"/>
    </row>
    <row r="57" spans="1:8">
      <c r="H57" s="16"/>
    </row>
    <row r="58" spans="1:8">
      <c r="H58" s="16"/>
    </row>
    <row r="59" spans="1:8">
      <c r="H59" s="16"/>
    </row>
    <row r="60" spans="1:8">
      <c r="H60" s="16"/>
    </row>
    <row r="61" spans="1:8">
      <c r="H61" s="16"/>
    </row>
    <row r="62" spans="1:8">
      <c r="H62" s="16"/>
    </row>
    <row r="63" spans="1:8">
      <c r="H63" s="16"/>
    </row>
    <row r="64" spans="1:8">
      <c r="B64" s="5"/>
      <c r="H64" s="16"/>
    </row>
    <row r="65" spans="2:8">
      <c r="B65" s="5"/>
      <c r="H65" s="16"/>
    </row>
    <row r="66" spans="2:8">
      <c r="B66" s="5"/>
      <c r="H66" s="16"/>
    </row>
    <row r="67" spans="2:8">
      <c r="B67" s="5"/>
      <c r="H67" s="16"/>
    </row>
    <row r="68" spans="2:8">
      <c r="B68" s="5"/>
      <c r="H68" s="16"/>
    </row>
    <row r="69" spans="2:8">
      <c r="B69" s="5"/>
      <c r="H69" s="16"/>
    </row>
    <row r="70" spans="2:8">
      <c r="B70" s="5"/>
      <c r="H70" s="16"/>
    </row>
    <row r="71" spans="2:8">
      <c r="B71" s="5"/>
      <c r="H71" s="16"/>
    </row>
    <row r="72" spans="2:8">
      <c r="B72" s="5"/>
      <c r="H72" s="16"/>
    </row>
    <row r="73" spans="2:8">
      <c r="B73" s="5"/>
      <c r="H73" s="16"/>
    </row>
    <row r="74" spans="2:8">
      <c r="B74" s="5"/>
      <c r="H74" s="16"/>
    </row>
    <row r="75" spans="2:8">
      <c r="B75" s="5"/>
      <c r="H75" s="16"/>
    </row>
    <row r="76" spans="2:8">
      <c r="B76" s="5"/>
      <c r="H76" s="16"/>
    </row>
    <row r="77" spans="2:8">
      <c r="B77" s="5"/>
      <c r="H77" s="16"/>
    </row>
    <row r="78" spans="2:8">
      <c r="B78" s="5"/>
      <c r="H78" s="16"/>
    </row>
    <row r="79" spans="2:8">
      <c r="B79" s="5"/>
      <c r="H79" s="16"/>
    </row>
    <row r="80" spans="2:8">
      <c r="B80" s="5"/>
      <c r="H80" s="16"/>
    </row>
    <row r="81" spans="2:8">
      <c r="B81" s="5"/>
      <c r="H81" s="16"/>
    </row>
    <row r="82" spans="2:8">
      <c r="B82" s="5"/>
      <c r="H82" s="16"/>
    </row>
    <row r="83" spans="2:8">
      <c r="B83" s="5"/>
      <c r="H83" s="16"/>
    </row>
    <row r="84" spans="2:8">
      <c r="B84" s="5"/>
      <c r="H84" s="16"/>
    </row>
    <row r="85" spans="2:8">
      <c r="B85" s="5"/>
      <c r="H85" s="16"/>
    </row>
    <row r="86" spans="2:8">
      <c r="B86" s="5"/>
      <c r="H86" s="16"/>
    </row>
    <row r="87" spans="2:8">
      <c r="B87" s="5"/>
      <c r="H87" s="16"/>
    </row>
    <row r="88" spans="2:8">
      <c r="B88" s="5"/>
      <c r="H88" s="16"/>
    </row>
    <row r="89" spans="2:8">
      <c r="B89" s="5"/>
      <c r="H89" s="16"/>
    </row>
    <row r="90" spans="2:8">
      <c r="B90" s="5"/>
      <c r="H90" s="16"/>
    </row>
    <row r="91" spans="2:8">
      <c r="B91" s="5"/>
      <c r="H91" s="16"/>
    </row>
    <row r="92" spans="2:8">
      <c r="B92" s="5"/>
      <c r="H92" s="16"/>
    </row>
    <row r="93" spans="2:8">
      <c r="B93" s="5"/>
      <c r="H93" s="16"/>
    </row>
    <row r="94" spans="2:8">
      <c r="B94" s="5"/>
      <c r="H94" s="16"/>
    </row>
    <row r="95" spans="2:8">
      <c r="B95" s="5"/>
      <c r="H95" s="16"/>
    </row>
    <row r="96" spans="2:8">
      <c r="B96" s="5"/>
      <c r="H96" s="16"/>
    </row>
    <row r="97" spans="2:8">
      <c r="B97" s="5"/>
      <c r="H97" s="16"/>
    </row>
    <row r="98" spans="2:8">
      <c r="B98" s="5"/>
      <c r="H98" s="16"/>
    </row>
    <row r="99" spans="2:8">
      <c r="B99" s="5"/>
      <c r="H99" s="16"/>
    </row>
    <row r="100" spans="2:8">
      <c r="B100" s="5"/>
      <c r="H100" s="16"/>
    </row>
    <row r="101" spans="2:8">
      <c r="B101" s="5"/>
      <c r="H101" s="16"/>
    </row>
    <row r="102" spans="2:8">
      <c r="B102" s="5"/>
      <c r="H102" s="16"/>
    </row>
    <row r="103" spans="2:8">
      <c r="B103" s="5"/>
      <c r="H103" s="16"/>
    </row>
    <row r="104" spans="2:8">
      <c r="B104" s="5"/>
      <c r="H104" s="16"/>
    </row>
    <row r="105" spans="2:8">
      <c r="B105" s="5"/>
      <c r="H105" s="16"/>
    </row>
    <row r="106" spans="2:8">
      <c r="B106" s="5"/>
      <c r="H106" s="16"/>
    </row>
    <row r="107" spans="2:8">
      <c r="B107" s="5"/>
      <c r="H107" s="16"/>
    </row>
    <row r="108" spans="2:8">
      <c r="B108" s="5"/>
      <c r="H108" s="16"/>
    </row>
    <row r="109" spans="2:8">
      <c r="B109" s="5"/>
      <c r="H109" s="16"/>
    </row>
    <row r="110" spans="2:8">
      <c r="B110" s="5"/>
      <c r="H110" s="16"/>
    </row>
    <row r="111" spans="2:8">
      <c r="B111" s="5"/>
      <c r="H111" s="16"/>
    </row>
    <row r="112" spans="2:8">
      <c r="B112" s="5"/>
      <c r="H112" s="16"/>
    </row>
    <row r="113" spans="2:8">
      <c r="B113" s="5"/>
      <c r="H113" s="16"/>
    </row>
    <row r="114" spans="2:8">
      <c r="B114" s="5"/>
      <c r="H114" s="16"/>
    </row>
    <row r="115" spans="2:8">
      <c r="B115" s="5"/>
      <c r="H115" s="16"/>
    </row>
    <row r="116" spans="2:8">
      <c r="B116" s="5"/>
      <c r="H116" s="16"/>
    </row>
    <row r="117" spans="2:8">
      <c r="B117" s="5"/>
      <c r="H117" s="16"/>
    </row>
    <row r="118" spans="2:8">
      <c r="B118" s="5"/>
      <c r="H118" s="16"/>
    </row>
    <row r="119" spans="2:8">
      <c r="B119" s="5"/>
      <c r="H119" s="16"/>
    </row>
    <row r="120" spans="2:8">
      <c r="B120" s="5"/>
      <c r="H120" s="16"/>
    </row>
    <row r="121" spans="2:8">
      <c r="B121" s="5"/>
      <c r="H121" s="16"/>
    </row>
    <row r="122" spans="2:8">
      <c r="B122" s="5"/>
      <c r="H122" s="16"/>
    </row>
    <row r="123" spans="2:8">
      <c r="B123" s="5"/>
      <c r="H123" s="16"/>
    </row>
    <row r="124" spans="2:8">
      <c r="B124" s="5"/>
      <c r="H124" s="16"/>
    </row>
    <row r="125" spans="2:8">
      <c r="B125" s="5"/>
      <c r="H125" s="16"/>
    </row>
    <row r="126" spans="2:8">
      <c r="B126" s="5"/>
      <c r="H126" s="16"/>
    </row>
    <row r="127" spans="2:8">
      <c r="B127" s="5"/>
      <c r="H127" s="16"/>
    </row>
    <row r="128" spans="2:8">
      <c r="B128" s="5"/>
      <c r="H128" s="16"/>
    </row>
    <row r="129" spans="2:8">
      <c r="B129" s="5"/>
      <c r="H129" s="16"/>
    </row>
    <row r="130" spans="2:8">
      <c r="B130" s="5"/>
      <c r="H130" s="16"/>
    </row>
    <row r="131" spans="2:8">
      <c r="B131" s="5"/>
      <c r="H131" s="16"/>
    </row>
    <row r="132" spans="2:8">
      <c r="B132" s="5"/>
      <c r="H132" s="16"/>
    </row>
    <row r="133" spans="2:8">
      <c r="B133" s="5"/>
      <c r="H133" s="16"/>
    </row>
    <row r="134" spans="2:8">
      <c r="B134" s="5"/>
      <c r="H134" s="16"/>
    </row>
    <row r="135" spans="2:8">
      <c r="B135" s="5"/>
      <c r="H135" s="16"/>
    </row>
    <row r="136" spans="2:8">
      <c r="B136" s="5"/>
      <c r="H136" s="16"/>
    </row>
    <row r="137" spans="2:8">
      <c r="B137" s="5"/>
      <c r="H137" s="16"/>
    </row>
    <row r="138" spans="2:8">
      <c r="B138" s="5"/>
      <c r="H138" s="16"/>
    </row>
    <row r="139" spans="2:8">
      <c r="B139" s="5"/>
      <c r="H139" s="16"/>
    </row>
    <row r="140" spans="2:8">
      <c r="B140" s="5"/>
      <c r="H140" s="16"/>
    </row>
    <row r="141" spans="2:8">
      <c r="B141" s="5"/>
      <c r="H141" s="16"/>
    </row>
    <row r="142" spans="2:8">
      <c r="B142" s="5"/>
      <c r="H142" s="16"/>
    </row>
    <row r="143" spans="2:8">
      <c r="B143" s="5"/>
      <c r="H143" s="16"/>
    </row>
    <row r="144" spans="2:8">
      <c r="B144" s="5"/>
      <c r="H144" s="16"/>
    </row>
    <row r="145" spans="2:8">
      <c r="B145" s="5"/>
      <c r="H145" s="16"/>
    </row>
    <row r="146" spans="2:8">
      <c r="B146" s="5"/>
      <c r="H146" s="16"/>
    </row>
    <row r="147" spans="2:8">
      <c r="B147" s="5"/>
      <c r="H147" s="16"/>
    </row>
    <row r="148" spans="2:8">
      <c r="B148" s="5"/>
      <c r="H148" s="16"/>
    </row>
    <row r="149" spans="2:8">
      <c r="B149" s="5"/>
      <c r="H149" s="16"/>
    </row>
    <row r="150" spans="2:8">
      <c r="B150" s="5"/>
      <c r="H150" s="16"/>
    </row>
    <row r="151" spans="2:8">
      <c r="B151" s="5"/>
      <c r="H151" s="16"/>
    </row>
    <row r="152" spans="2:8">
      <c r="B152" s="5"/>
      <c r="H152" s="16"/>
    </row>
    <row r="153" spans="2:8">
      <c r="B153" s="5"/>
      <c r="H153" s="16"/>
    </row>
    <row r="154" spans="2:8">
      <c r="B154" s="5"/>
      <c r="H154" s="16"/>
    </row>
    <row r="155" spans="2:8">
      <c r="B155" s="5"/>
      <c r="H155" s="16"/>
    </row>
    <row r="156" spans="2:8">
      <c r="B156" s="5"/>
      <c r="H156" s="16"/>
    </row>
    <row r="157" spans="2:8">
      <c r="B157" s="5"/>
      <c r="H157" s="16"/>
    </row>
    <row r="158" spans="2:8">
      <c r="B158" s="5"/>
      <c r="H158" s="16"/>
    </row>
    <row r="159" spans="2:8">
      <c r="B159" s="5"/>
      <c r="H159" s="16"/>
    </row>
    <row r="160" spans="2:8">
      <c r="B160" s="5"/>
      <c r="H160" s="16"/>
    </row>
    <row r="161" spans="2:8">
      <c r="B161" s="5"/>
      <c r="H161" s="16"/>
    </row>
    <row r="162" spans="2:8">
      <c r="B162" s="5"/>
      <c r="H162" s="16"/>
    </row>
    <row r="163" spans="2:8">
      <c r="B163" s="5"/>
      <c r="H163" s="16"/>
    </row>
    <row r="164" spans="2:8">
      <c r="B164" s="5"/>
      <c r="H164" s="16"/>
    </row>
    <row r="165" spans="2:8">
      <c r="B165" s="5"/>
      <c r="H165" s="16"/>
    </row>
    <row r="166" spans="2:8">
      <c r="B166" s="5"/>
      <c r="H166" s="16"/>
    </row>
    <row r="167" spans="2:8">
      <c r="B167" s="5"/>
      <c r="H167" s="16"/>
    </row>
    <row r="168" spans="2:8">
      <c r="B168" s="5"/>
      <c r="H168" s="16"/>
    </row>
    <row r="169" spans="2:8">
      <c r="B169" s="5"/>
      <c r="H169" s="16"/>
    </row>
    <row r="170" spans="2:8">
      <c r="B170" s="5"/>
      <c r="H170" s="16"/>
    </row>
    <row r="171" spans="2:8">
      <c r="B171" s="5"/>
      <c r="H171" s="16"/>
    </row>
    <row r="172" spans="2:8">
      <c r="B172" s="5"/>
      <c r="H172" s="16"/>
    </row>
    <row r="173" spans="2:8">
      <c r="B173" s="5"/>
      <c r="H173" s="16"/>
    </row>
    <row r="174" spans="2:8">
      <c r="B174" s="5"/>
      <c r="H174" s="16"/>
    </row>
    <row r="175" spans="2:8">
      <c r="B175" s="5"/>
      <c r="H175" s="16"/>
    </row>
    <row r="176" spans="2:8">
      <c r="B176" s="5"/>
      <c r="H176" s="16"/>
    </row>
    <row r="177" spans="2:8">
      <c r="B177" s="5"/>
      <c r="H177" s="16"/>
    </row>
    <row r="178" spans="2:8">
      <c r="B178" s="5"/>
      <c r="H178" s="16"/>
    </row>
    <row r="179" spans="2:8">
      <c r="B179" s="5"/>
      <c r="H179" s="16"/>
    </row>
    <row r="180" spans="2:8">
      <c r="B180" s="5"/>
      <c r="H180" s="16"/>
    </row>
    <row r="181" spans="2:8">
      <c r="B181" s="5"/>
      <c r="H181" s="16"/>
    </row>
    <row r="182" spans="2:8">
      <c r="B182" s="5"/>
      <c r="H182" s="16"/>
    </row>
    <row r="183" spans="2:8">
      <c r="B183" s="5"/>
      <c r="H183" s="16"/>
    </row>
    <row r="184" spans="2:8">
      <c r="B184" s="5"/>
      <c r="H184" s="16"/>
    </row>
    <row r="185" spans="2:8">
      <c r="B185" s="5"/>
      <c r="H185" s="16"/>
    </row>
    <row r="186" spans="2:8">
      <c r="B186" s="5"/>
      <c r="H186" s="16"/>
    </row>
    <row r="187" spans="2:8">
      <c r="B187" s="5"/>
      <c r="H187" s="16"/>
    </row>
    <row r="188" spans="2:8">
      <c r="B188" s="5"/>
      <c r="H188" s="16"/>
    </row>
    <row r="189" spans="2:8">
      <c r="B189" s="5"/>
      <c r="H189" s="16"/>
    </row>
    <row r="190" spans="2:8">
      <c r="B190" s="5"/>
      <c r="H190" s="16"/>
    </row>
    <row r="191" spans="2:8">
      <c r="B191" s="5"/>
      <c r="H191" s="16"/>
    </row>
    <row r="192" spans="2:8">
      <c r="B192" s="5"/>
      <c r="H192" s="16"/>
    </row>
    <row r="193" spans="2:8">
      <c r="B193" s="5"/>
      <c r="H193" s="16"/>
    </row>
    <row r="194" spans="2:8">
      <c r="B194" s="5"/>
      <c r="H194" s="16"/>
    </row>
    <row r="195" spans="2:8">
      <c r="B195" s="5"/>
      <c r="H195" s="16"/>
    </row>
    <row r="196" spans="2:8">
      <c r="B196" s="5"/>
      <c r="H196" s="16"/>
    </row>
    <row r="197" spans="2:8">
      <c r="B197" s="5"/>
      <c r="H197" s="16"/>
    </row>
    <row r="198" spans="2:8">
      <c r="B198" s="5"/>
      <c r="H198" s="16"/>
    </row>
    <row r="199" spans="2:8">
      <c r="B199" s="5"/>
      <c r="H199" s="16"/>
    </row>
    <row r="200" spans="2:8">
      <c r="B200" s="5"/>
      <c r="H200" s="16"/>
    </row>
    <row r="201" spans="2:8">
      <c r="B201" s="5"/>
      <c r="H201" s="16"/>
    </row>
    <row r="202" spans="2:8">
      <c r="B202" s="5"/>
      <c r="H202" s="16"/>
    </row>
    <row r="203" spans="2:8">
      <c r="B203" s="5"/>
      <c r="H203" s="16"/>
    </row>
    <row r="204" spans="2:8">
      <c r="B204" s="5"/>
      <c r="H204" s="16"/>
    </row>
    <row r="205" spans="2:8">
      <c r="B205" s="5"/>
      <c r="H205" s="16"/>
    </row>
    <row r="206" spans="2:8">
      <c r="B206" s="5"/>
      <c r="H206" s="16"/>
    </row>
    <row r="207" spans="2:8">
      <c r="B207" s="5"/>
      <c r="H207" s="16"/>
    </row>
    <row r="208" spans="2:8">
      <c r="B208" s="5"/>
      <c r="H208" s="16"/>
    </row>
    <row r="209" spans="2:8">
      <c r="B209" s="5"/>
      <c r="H209" s="16"/>
    </row>
    <row r="210" spans="2:8">
      <c r="B210" s="5"/>
      <c r="H210" s="16"/>
    </row>
    <row r="211" spans="2:8">
      <c r="B211" s="5"/>
      <c r="H211" s="16"/>
    </row>
    <row r="212" spans="2:8">
      <c r="B212" s="5"/>
      <c r="H212" s="16"/>
    </row>
    <row r="213" spans="2:8">
      <c r="B213" s="5"/>
      <c r="H213" s="16"/>
    </row>
    <row r="214" spans="2:8">
      <c r="B214" s="5"/>
      <c r="H214" s="16"/>
    </row>
    <row r="215" spans="2:8">
      <c r="B215" s="5"/>
      <c r="H215" s="16"/>
    </row>
    <row r="216" spans="2:8">
      <c r="B216" s="5"/>
      <c r="H216" s="16"/>
    </row>
    <row r="217" spans="2:8">
      <c r="B217" s="5"/>
      <c r="H217" s="16"/>
    </row>
    <row r="218" spans="2:8">
      <c r="B218" s="5"/>
      <c r="H218" s="16"/>
    </row>
    <row r="219" spans="2:8">
      <c r="B219" s="5"/>
      <c r="H219" s="16"/>
    </row>
    <row r="220" spans="2:8">
      <c r="B220" s="5"/>
      <c r="H220" s="16"/>
    </row>
    <row r="221" spans="2:8">
      <c r="B221" s="5"/>
      <c r="H221" s="16"/>
    </row>
    <row r="222" spans="2:8">
      <c r="B222" s="5"/>
      <c r="H222" s="16"/>
    </row>
    <row r="223" spans="2:8">
      <c r="B223" s="5"/>
      <c r="H223" s="16"/>
    </row>
    <row r="224" spans="2:8">
      <c r="B224" s="5"/>
      <c r="H224" s="16"/>
    </row>
    <row r="225" spans="2:8">
      <c r="B225" s="5"/>
      <c r="H225" s="16"/>
    </row>
    <row r="226" spans="2:8">
      <c r="B226" s="5"/>
      <c r="H226" s="16"/>
    </row>
    <row r="227" spans="2:8">
      <c r="B227" s="5"/>
      <c r="H227" s="16"/>
    </row>
    <row r="228" spans="2:8">
      <c r="B228" s="5"/>
      <c r="H228" s="16"/>
    </row>
    <row r="229" spans="2:8">
      <c r="B229" s="5"/>
      <c r="H229" s="16"/>
    </row>
    <row r="230" spans="2:8">
      <c r="B230" s="5"/>
      <c r="H230" s="16"/>
    </row>
    <row r="231" spans="2:8">
      <c r="B231" s="5"/>
      <c r="H231" s="16"/>
    </row>
    <row r="232" spans="2:8">
      <c r="B232" s="5"/>
      <c r="H232" s="16"/>
    </row>
    <row r="233" spans="2:8">
      <c r="B233" s="5"/>
      <c r="H233" s="16"/>
    </row>
    <row r="234" spans="2:8">
      <c r="B234" s="5"/>
      <c r="H234" s="16"/>
    </row>
    <row r="235" spans="2:8">
      <c r="B235" s="5"/>
      <c r="H235" s="16"/>
    </row>
    <row r="236" spans="2:8">
      <c r="B236" s="5"/>
      <c r="H236" s="16"/>
    </row>
    <row r="237" spans="2:8">
      <c r="B237" s="5"/>
      <c r="H237" s="16"/>
    </row>
    <row r="238" spans="2:8">
      <c r="B238" s="5"/>
      <c r="H238" s="16"/>
    </row>
    <row r="239" spans="2:8">
      <c r="B239" s="5"/>
      <c r="H239" s="16"/>
    </row>
    <row r="240" spans="2:8">
      <c r="B240" s="5"/>
      <c r="H240" s="16"/>
    </row>
    <row r="241" spans="2:8">
      <c r="B241" s="5"/>
      <c r="H241" s="16"/>
    </row>
    <row r="242" spans="2:8">
      <c r="B242" s="5"/>
      <c r="H242" s="16"/>
    </row>
    <row r="243" spans="2:8">
      <c r="B243" s="5"/>
      <c r="H243" s="16"/>
    </row>
    <row r="244" spans="2:8">
      <c r="B244" s="5"/>
      <c r="H244" s="16"/>
    </row>
    <row r="245" spans="2:8">
      <c r="B245" s="5"/>
      <c r="H245" s="16"/>
    </row>
    <row r="246" spans="2:8">
      <c r="B246" s="5"/>
      <c r="H246" s="16"/>
    </row>
    <row r="247" spans="2:8">
      <c r="B247" s="5"/>
      <c r="H247" s="16"/>
    </row>
    <row r="248" spans="2:8">
      <c r="B248" s="5"/>
      <c r="H248" s="16"/>
    </row>
    <row r="249" spans="2:8">
      <c r="B249" s="5"/>
      <c r="H249" s="16"/>
    </row>
    <row r="250" spans="2:8">
      <c r="B250" s="5"/>
      <c r="H250" s="16"/>
    </row>
    <row r="251" spans="2:8">
      <c r="B251" s="5"/>
      <c r="H251" s="16"/>
    </row>
    <row r="252" spans="2:8">
      <c r="B252" s="5"/>
      <c r="H252" s="16"/>
    </row>
    <row r="253" spans="2:8">
      <c r="B253" s="5"/>
      <c r="H253" s="16"/>
    </row>
    <row r="254" spans="2:8">
      <c r="B254" s="5"/>
      <c r="H254" s="16"/>
    </row>
    <row r="255" spans="2:8">
      <c r="B255" s="5"/>
      <c r="H255" s="16"/>
    </row>
    <row r="256" spans="2:8">
      <c r="B256" s="5"/>
      <c r="H256" s="16"/>
    </row>
    <row r="257" spans="2:8">
      <c r="B257" s="5"/>
      <c r="H257" s="16"/>
    </row>
    <row r="258" spans="2:8">
      <c r="B258" s="5"/>
      <c r="H258" s="16"/>
    </row>
    <row r="259" spans="2:8">
      <c r="B259" s="5"/>
      <c r="H259" s="16"/>
    </row>
    <row r="260" spans="2:8">
      <c r="B260" s="5"/>
      <c r="H260" s="16"/>
    </row>
    <row r="261" spans="2:8">
      <c r="B261" s="5"/>
      <c r="H261" s="16"/>
    </row>
    <row r="262" spans="2:8">
      <c r="B262" s="5"/>
      <c r="H262" s="16"/>
    </row>
    <row r="263" spans="2:8">
      <c r="B263" s="5"/>
      <c r="H263" s="16"/>
    </row>
    <row r="264" spans="2:8">
      <c r="B264" s="5"/>
      <c r="H264" s="16"/>
    </row>
    <row r="265" spans="2:8">
      <c r="B265" s="5"/>
      <c r="H265" s="16"/>
    </row>
    <row r="266" spans="2:8">
      <c r="B266" s="5"/>
      <c r="H266" s="16"/>
    </row>
    <row r="267" spans="2:8">
      <c r="B267" s="5"/>
      <c r="H267" s="16"/>
    </row>
    <row r="268" spans="2:8">
      <c r="B268" s="5"/>
      <c r="H268" s="16"/>
    </row>
    <row r="269" spans="2:8">
      <c r="B269" s="5"/>
      <c r="H269" s="16"/>
    </row>
    <row r="270" spans="2:8">
      <c r="B270" s="5"/>
      <c r="H270" s="16"/>
    </row>
    <row r="271" spans="2:8">
      <c r="B271" s="5"/>
      <c r="H271" s="16"/>
    </row>
    <row r="272" spans="2:8">
      <c r="B272" s="5"/>
      <c r="H272" s="16"/>
    </row>
    <row r="273" spans="2:8">
      <c r="B273" s="5"/>
      <c r="H273" s="16"/>
    </row>
    <row r="274" spans="2:8">
      <c r="B274" s="5"/>
      <c r="H274" s="16"/>
    </row>
    <row r="275" spans="2:8">
      <c r="B275" s="5"/>
      <c r="H275" s="16"/>
    </row>
    <row r="276" spans="2:8">
      <c r="B276" s="5"/>
      <c r="H276" s="16"/>
    </row>
    <row r="277" spans="2:8">
      <c r="B277" s="5"/>
      <c r="H277" s="16"/>
    </row>
    <row r="278" spans="2:8">
      <c r="B278" s="5"/>
      <c r="H278" s="16"/>
    </row>
    <row r="279" spans="2:8">
      <c r="B279" s="5"/>
      <c r="H279" s="16"/>
    </row>
    <row r="280" spans="2:8">
      <c r="B280" s="5"/>
      <c r="H280" s="16"/>
    </row>
    <row r="281" spans="2:8">
      <c r="B281" s="5"/>
      <c r="H281" s="16"/>
    </row>
    <row r="282" spans="2:8">
      <c r="B282" s="5"/>
      <c r="H282" s="16"/>
    </row>
    <row r="283" spans="2:8">
      <c r="B283" s="5"/>
      <c r="H283" s="16"/>
    </row>
    <row r="284" spans="2:8">
      <c r="B284" s="5"/>
      <c r="H284" s="16"/>
    </row>
    <row r="285" spans="2:8">
      <c r="B285" s="5"/>
      <c r="H285" s="16"/>
    </row>
    <row r="286" spans="2:8">
      <c r="B286" s="5"/>
      <c r="H286" s="16"/>
    </row>
    <row r="287" spans="2:8">
      <c r="B287" s="5"/>
      <c r="H287" s="16"/>
    </row>
    <row r="288" spans="2:8">
      <c r="B288" s="5"/>
      <c r="H288" s="16"/>
    </row>
    <row r="289" spans="2:8">
      <c r="B289" s="5"/>
      <c r="H289" s="16"/>
    </row>
    <row r="290" spans="2:8">
      <c r="B290" s="5"/>
      <c r="H290" s="16"/>
    </row>
    <row r="291" spans="2:8">
      <c r="B291" s="5"/>
      <c r="H291" s="16"/>
    </row>
    <row r="292" spans="2:8">
      <c r="B292" s="5"/>
      <c r="H292" s="16"/>
    </row>
    <row r="293" spans="2:8">
      <c r="B293" s="5"/>
      <c r="H293" s="16"/>
    </row>
    <row r="294" spans="2:8">
      <c r="B294" s="5"/>
      <c r="H294" s="16"/>
    </row>
    <row r="295" spans="2:8">
      <c r="B295" s="5"/>
      <c r="H295" s="16"/>
    </row>
    <row r="296" spans="2:8">
      <c r="B296" s="5"/>
      <c r="H296" s="16"/>
    </row>
    <row r="297" spans="2:8">
      <c r="B297" s="5"/>
      <c r="H297" s="16"/>
    </row>
    <row r="298" spans="2:8">
      <c r="B298" s="5"/>
      <c r="H298" s="16"/>
    </row>
    <row r="299" spans="2:8">
      <c r="B299" s="5"/>
      <c r="H299" s="16"/>
    </row>
    <row r="300" spans="2:8">
      <c r="B300" s="5"/>
      <c r="H300" s="16"/>
    </row>
    <row r="301" spans="2:8">
      <c r="B301" s="5"/>
      <c r="H301" s="16"/>
    </row>
    <row r="302" spans="2:8">
      <c r="B302" s="5"/>
      <c r="H302" s="16"/>
    </row>
    <row r="303" spans="2:8">
      <c r="B303" s="5"/>
      <c r="H303" s="16"/>
    </row>
    <row r="304" spans="2:8">
      <c r="B304" s="5"/>
      <c r="H304" s="16"/>
    </row>
    <row r="305" spans="2:8">
      <c r="B305" s="5"/>
      <c r="H305" s="16"/>
    </row>
    <row r="306" spans="2:8">
      <c r="B306" s="5"/>
      <c r="H306" s="16"/>
    </row>
    <row r="307" spans="2:8">
      <c r="B307" s="5"/>
      <c r="H307" s="16"/>
    </row>
    <row r="308" spans="2:8">
      <c r="B308" s="5"/>
      <c r="H308" s="16"/>
    </row>
    <row r="309" spans="2:8">
      <c r="B309" s="5"/>
      <c r="H309" s="16"/>
    </row>
    <row r="310" spans="2:8">
      <c r="B310" s="5"/>
      <c r="H310" s="16"/>
    </row>
    <row r="311" spans="2:8">
      <c r="B311" s="5"/>
      <c r="H311" s="16"/>
    </row>
    <row r="312" spans="2:8">
      <c r="B312" s="5"/>
      <c r="H312" s="16"/>
    </row>
    <row r="313" spans="2:8">
      <c r="B313" s="5"/>
      <c r="H313" s="16"/>
    </row>
    <row r="314" spans="2:8">
      <c r="B314" s="5"/>
      <c r="H314" s="16"/>
    </row>
    <row r="315" spans="2:8">
      <c r="B315" s="5"/>
      <c r="H315" s="16"/>
    </row>
    <row r="316" spans="2:8">
      <c r="B316" s="5"/>
      <c r="H316" s="16"/>
    </row>
    <row r="317" spans="2:8">
      <c r="B317" s="5"/>
      <c r="H317" s="16"/>
    </row>
    <row r="318" spans="2:8">
      <c r="B318" s="5"/>
      <c r="H318" s="16"/>
    </row>
    <row r="319" spans="2:8">
      <c r="B319" s="5"/>
      <c r="H319" s="16"/>
    </row>
    <row r="320" spans="2:8">
      <c r="B320" s="5"/>
      <c r="H320" s="16"/>
    </row>
    <row r="321" spans="2:8">
      <c r="B321" s="5"/>
      <c r="H321" s="16"/>
    </row>
    <row r="322" spans="2:8">
      <c r="B322" s="5"/>
      <c r="H322" s="16"/>
    </row>
    <row r="323" spans="2:8">
      <c r="B323" s="5"/>
      <c r="H323" s="16"/>
    </row>
    <row r="324" spans="2:8">
      <c r="B324" s="5"/>
      <c r="H324" s="16"/>
    </row>
    <row r="325" spans="2:8">
      <c r="B325" s="5"/>
      <c r="H325" s="16"/>
    </row>
    <row r="326" spans="2:8">
      <c r="B326" s="5"/>
      <c r="H326" s="16"/>
    </row>
    <row r="327" spans="2:8">
      <c r="B327" s="5"/>
      <c r="H327" s="16"/>
    </row>
    <row r="328" spans="2:8">
      <c r="B328" s="5"/>
      <c r="H328" s="16"/>
    </row>
    <row r="329" spans="2:8">
      <c r="B329" s="5"/>
      <c r="H329" s="16"/>
    </row>
    <row r="330" spans="2:8">
      <c r="B330" s="5"/>
      <c r="H330" s="16"/>
    </row>
    <row r="331" spans="2:8">
      <c r="B331" s="5"/>
      <c r="H331" s="16"/>
    </row>
    <row r="332" spans="2:8">
      <c r="B332" s="5"/>
      <c r="H332" s="16"/>
    </row>
    <row r="333" spans="2:8">
      <c r="B333" s="5"/>
      <c r="H333" s="16"/>
    </row>
    <row r="334" spans="2:8">
      <c r="B334" s="5"/>
      <c r="H334" s="16"/>
    </row>
    <row r="335" spans="2:8">
      <c r="B335" s="5"/>
      <c r="H335" s="16"/>
    </row>
    <row r="336" spans="2:8">
      <c r="B336" s="5"/>
      <c r="H336" s="16"/>
    </row>
    <row r="337" spans="2:8">
      <c r="B337" s="5"/>
      <c r="H337" s="16"/>
    </row>
    <row r="338" spans="2:8">
      <c r="B338" s="5"/>
      <c r="H338" s="16"/>
    </row>
    <row r="339" spans="2:8">
      <c r="B339" s="5"/>
      <c r="H339" s="16"/>
    </row>
    <row r="340" spans="2:8">
      <c r="B340" s="5"/>
      <c r="H340" s="16"/>
    </row>
    <row r="341" spans="2:8">
      <c r="B341" s="5"/>
      <c r="H341" s="16"/>
    </row>
    <row r="342" spans="2:8">
      <c r="B342" s="5"/>
      <c r="H342" s="16"/>
    </row>
    <row r="343" spans="2:8">
      <c r="B343" s="5"/>
      <c r="H343" s="16"/>
    </row>
    <row r="344" spans="2:8">
      <c r="B344" s="5"/>
      <c r="H344" s="16"/>
    </row>
    <row r="345" spans="2:8">
      <c r="B345" s="5"/>
      <c r="H345" s="16"/>
    </row>
    <row r="346" spans="2:8">
      <c r="B346" s="5"/>
      <c r="H346" s="16"/>
    </row>
    <row r="347" spans="2:8">
      <c r="B347" s="5"/>
      <c r="H347" s="16"/>
    </row>
    <row r="348" spans="2:8">
      <c r="B348" s="5"/>
      <c r="H348" s="16"/>
    </row>
    <row r="349" spans="2:8">
      <c r="B349" s="5"/>
      <c r="H349" s="16"/>
    </row>
    <row r="350" spans="2:8">
      <c r="B350" s="5"/>
      <c r="H350" s="16"/>
    </row>
    <row r="351" spans="2:8">
      <c r="B351" s="5"/>
      <c r="H351" s="16"/>
    </row>
    <row r="352" spans="2:8">
      <c r="B352" s="5"/>
      <c r="H352" s="16"/>
    </row>
    <row r="353" spans="2:8">
      <c r="B353" s="5"/>
      <c r="H353" s="16"/>
    </row>
    <row r="354" spans="2:8">
      <c r="B354" s="5"/>
      <c r="H354" s="16"/>
    </row>
    <row r="355" spans="2:8">
      <c r="B355" s="5"/>
      <c r="H355" s="16"/>
    </row>
    <row r="356" spans="2:8">
      <c r="B356" s="5"/>
      <c r="H356" s="16"/>
    </row>
    <row r="357" spans="2:8">
      <c r="B357" s="5"/>
      <c r="H357" s="16"/>
    </row>
    <row r="358" spans="2:8">
      <c r="B358" s="5"/>
      <c r="H358" s="16"/>
    </row>
    <row r="359" spans="2:8">
      <c r="B359" s="5"/>
      <c r="H359" s="16"/>
    </row>
    <row r="360" spans="2:8">
      <c r="B360" s="5"/>
      <c r="H360" s="16"/>
    </row>
    <row r="361" spans="2:8">
      <c r="B361" s="5"/>
      <c r="H361" s="16"/>
    </row>
    <row r="362" spans="2:8">
      <c r="B362" s="5"/>
      <c r="H362" s="16"/>
    </row>
    <row r="363" spans="2:8">
      <c r="B363" s="5"/>
      <c r="H363" s="16"/>
    </row>
    <row r="364" spans="2:8">
      <c r="B364" s="5"/>
      <c r="H364" s="16"/>
    </row>
    <row r="365" spans="2:8">
      <c r="B365" s="5"/>
      <c r="H365" s="16"/>
    </row>
    <row r="366" spans="2:8">
      <c r="B366" s="5"/>
      <c r="H366" s="16"/>
    </row>
    <row r="367" spans="2:8">
      <c r="B367" s="5"/>
      <c r="H367" s="16"/>
    </row>
    <row r="368" spans="2:8">
      <c r="B368" s="5"/>
      <c r="H368" s="16"/>
    </row>
    <row r="369" spans="2:8">
      <c r="B369" s="5"/>
      <c r="H369" s="16"/>
    </row>
    <row r="370" spans="2:8">
      <c r="B370" s="5"/>
      <c r="H370" s="16"/>
    </row>
    <row r="371" spans="2:8">
      <c r="B371" s="5"/>
      <c r="H371" s="16"/>
    </row>
    <row r="372" spans="2:8">
      <c r="B372" s="5"/>
      <c r="H372" s="16"/>
    </row>
    <row r="373" spans="2:8">
      <c r="B373" s="5"/>
      <c r="H373" s="16"/>
    </row>
    <row r="374" spans="2:8">
      <c r="B374" s="5"/>
      <c r="H374" s="16"/>
    </row>
    <row r="375" spans="2:8">
      <c r="B375" s="5"/>
      <c r="H375" s="16"/>
    </row>
    <row r="376" spans="2:8">
      <c r="B376" s="5"/>
      <c r="H376" s="16"/>
    </row>
    <row r="377" spans="2:8">
      <c r="B377" s="5"/>
      <c r="H377" s="16"/>
    </row>
    <row r="378" spans="2:8">
      <c r="B378" s="5"/>
      <c r="H378" s="16"/>
    </row>
    <row r="379" spans="2:8">
      <c r="B379" s="5"/>
      <c r="H379" s="16"/>
    </row>
    <row r="380" spans="2:8">
      <c r="B380" s="5"/>
      <c r="H380" s="16"/>
    </row>
    <row r="381" spans="2:8">
      <c r="B381" s="5"/>
      <c r="H381" s="16"/>
    </row>
    <row r="382" spans="2:8">
      <c r="B382" s="5"/>
      <c r="H382" s="16"/>
    </row>
    <row r="383" spans="2:8">
      <c r="B383" s="5"/>
      <c r="H383" s="16"/>
    </row>
    <row r="384" spans="2:8">
      <c r="B384" s="5"/>
      <c r="H384" s="16"/>
    </row>
    <row r="385" spans="2:8">
      <c r="B385" s="5"/>
      <c r="H385" s="16"/>
    </row>
    <row r="386" spans="2:8">
      <c r="B386" s="5"/>
      <c r="H386" s="16"/>
    </row>
    <row r="387" spans="2:8">
      <c r="B387" s="5"/>
      <c r="H387" s="16"/>
    </row>
    <row r="388" spans="2:8">
      <c r="B388" s="5"/>
      <c r="H388" s="16"/>
    </row>
    <row r="389" spans="2:8">
      <c r="B389" s="5"/>
      <c r="H389" s="16"/>
    </row>
    <row r="390" spans="2:8">
      <c r="B390" s="5"/>
      <c r="H390" s="16"/>
    </row>
    <row r="391" spans="2:8">
      <c r="B391" s="5"/>
      <c r="H391" s="16"/>
    </row>
    <row r="392" spans="2:8">
      <c r="B392" s="5"/>
      <c r="H392" s="16"/>
    </row>
    <row r="393" spans="2:8">
      <c r="B393" s="5"/>
      <c r="H393" s="16"/>
    </row>
    <row r="394" spans="2:8">
      <c r="B394" s="5"/>
      <c r="H394" s="16"/>
    </row>
    <row r="395" spans="2:8">
      <c r="B395" s="5"/>
      <c r="H395" s="16"/>
    </row>
    <row r="396" spans="2:8">
      <c r="B396" s="5"/>
      <c r="H396" s="16"/>
    </row>
    <row r="397" spans="2:8">
      <c r="B397" s="5"/>
      <c r="H397" s="16"/>
    </row>
    <row r="398" spans="2:8">
      <c r="B398" s="5"/>
      <c r="H398" s="16"/>
    </row>
    <row r="399" spans="2:8">
      <c r="B399" s="5"/>
      <c r="H399" s="16"/>
    </row>
    <row r="400" spans="2:8">
      <c r="B400" s="5"/>
      <c r="H400" s="16"/>
    </row>
    <row r="401" spans="2:8">
      <c r="B401" s="5"/>
      <c r="H401" s="16"/>
    </row>
    <row r="402" spans="2:8">
      <c r="B402" s="5"/>
      <c r="H402" s="16"/>
    </row>
    <row r="403" spans="2:8">
      <c r="B403" s="5"/>
      <c r="H403" s="16"/>
    </row>
    <row r="404" spans="2:8">
      <c r="B404" s="5"/>
      <c r="H404" s="16"/>
    </row>
    <row r="405" spans="2:8">
      <c r="B405" s="5"/>
      <c r="H405" s="16"/>
    </row>
    <row r="406" spans="2:8">
      <c r="B406" s="5"/>
      <c r="H406" s="16"/>
    </row>
    <row r="407" spans="2:8">
      <c r="B407" s="5"/>
      <c r="H407" s="16"/>
    </row>
    <row r="408" spans="2:8">
      <c r="B408" s="5"/>
      <c r="H408" s="16"/>
    </row>
    <row r="409" spans="2:8">
      <c r="B409" s="5"/>
      <c r="H409" s="16"/>
    </row>
    <row r="410" spans="2:8">
      <c r="B410" s="5"/>
      <c r="H410" s="16"/>
    </row>
    <row r="411" spans="2:8">
      <c r="B411" s="5"/>
      <c r="H411" s="16"/>
    </row>
    <row r="412" spans="2:8">
      <c r="B412" s="5"/>
      <c r="H412" s="16"/>
    </row>
    <row r="413" spans="2:8">
      <c r="B413" s="5"/>
      <c r="H413" s="16"/>
    </row>
    <row r="414" spans="2:8">
      <c r="B414" s="5"/>
      <c r="H414" s="16"/>
    </row>
    <row r="415" spans="2:8">
      <c r="B415" s="5"/>
      <c r="H415" s="16"/>
    </row>
    <row r="416" spans="2:8">
      <c r="B416" s="5"/>
      <c r="H416" s="16"/>
    </row>
    <row r="417" spans="2:8">
      <c r="B417" s="5"/>
      <c r="H417" s="16"/>
    </row>
    <row r="418" spans="2:8">
      <c r="B418" s="5"/>
      <c r="H418" s="16"/>
    </row>
    <row r="419" spans="2:8">
      <c r="B419" s="5"/>
      <c r="H419" s="16"/>
    </row>
    <row r="420" spans="2:8">
      <c r="B420" s="5"/>
      <c r="H420" s="16"/>
    </row>
    <row r="421" spans="2:8">
      <c r="B421" s="5"/>
      <c r="H421" s="16"/>
    </row>
    <row r="422" spans="2:8">
      <c r="B422" s="5"/>
      <c r="H422" s="16"/>
    </row>
    <row r="423" spans="2:8">
      <c r="B423" s="5"/>
      <c r="H423" s="16"/>
    </row>
    <row r="424" spans="2:8">
      <c r="B424" s="5"/>
      <c r="H424" s="16"/>
    </row>
    <row r="425" spans="2:8">
      <c r="B425" s="5"/>
      <c r="H425" s="16"/>
    </row>
    <row r="426" spans="2:8">
      <c r="B426" s="5"/>
      <c r="H426" s="16"/>
    </row>
    <row r="427" spans="2:8">
      <c r="B427" s="5"/>
      <c r="H427" s="16"/>
    </row>
    <row r="428" spans="2:8">
      <c r="B428" s="5"/>
      <c r="H428" s="16"/>
    </row>
    <row r="429" spans="2:8">
      <c r="B429" s="5"/>
      <c r="H429" s="16"/>
    </row>
    <row r="430" spans="2:8">
      <c r="B430" s="5"/>
      <c r="H430" s="16"/>
    </row>
    <row r="431" spans="2:8">
      <c r="B431" s="5"/>
      <c r="H431" s="16"/>
    </row>
    <row r="432" spans="2:8">
      <c r="B432" s="5"/>
      <c r="H432" s="16"/>
    </row>
    <row r="433" spans="2:8">
      <c r="B433" s="5"/>
      <c r="H433" s="16"/>
    </row>
    <row r="434" spans="2:8">
      <c r="B434" s="5"/>
      <c r="H434" s="16"/>
    </row>
    <row r="435" spans="2:8">
      <c r="B435" s="5"/>
      <c r="H435" s="16"/>
    </row>
    <row r="436" spans="2:8">
      <c r="B436" s="5"/>
      <c r="H436" s="16"/>
    </row>
    <row r="437" spans="2:8">
      <c r="B437" s="5"/>
      <c r="H437" s="16"/>
    </row>
    <row r="438" spans="2:8">
      <c r="B438" s="5"/>
      <c r="H438" s="16"/>
    </row>
    <row r="439" spans="2:8">
      <c r="B439" s="5"/>
      <c r="H439" s="16"/>
    </row>
    <row r="440" spans="2:8">
      <c r="B440" s="5"/>
      <c r="H440" s="16"/>
    </row>
    <row r="441" spans="2:8">
      <c r="B441" s="5"/>
      <c r="H441" s="16"/>
    </row>
    <row r="442" spans="2:8">
      <c r="B442" s="5"/>
      <c r="H442" s="16"/>
    </row>
    <row r="443" spans="2:8">
      <c r="B443" s="5"/>
      <c r="H443" s="16"/>
    </row>
    <row r="444" spans="2:8">
      <c r="B444" s="5"/>
      <c r="H444" s="16"/>
    </row>
    <row r="445" spans="2:8">
      <c r="B445" s="5"/>
      <c r="H445" s="16"/>
    </row>
    <row r="446" spans="2:8">
      <c r="B446" s="5"/>
      <c r="H446" s="16"/>
    </row>
    <row r="447" spans="2:8">
      <c r="B447" s="5"/>
      <c r="H447" s="16"/>
    </row>
    <row r="448" spans="2:8">
      <c r="B448" s="5"/>
      <c r="H448" s="16"/>
    </row>
    <row r="449" spans="2:8">
      <c r="B449" s="5"/>
      <c r="H449" s="16"/>
    </row>
    <row r="450" spans="2:8">
      <c r="B450" s="5"/>
      <c r="H450" s="16"/>
    </row>
    <row r="451" spans="2:8">
      <c r="B451" s="5"/>
      <c r="H451" s="16"/>
    </row>
    <row r="452" spans="2:8">
      <c r="B452" s="5"/>
      <c r="H452" s="16"/>
    </row>
    <row r="453" spans="2:8">
      <c r="B453" s="5"/>
      <c r="H453" s="16"/>
    </row>
    <row r="454" spans="2:8">
      <c r="B454" s="5"/>
      <c r="H454" s="16"/>
    </row>
    <row r="455" spans="2:8">
      <c r="B455" s="5"/>
      <c r="H455" s="16"/>
    </row>
    <row r="456" spans="2:8">
      <c r="B456" s="5"/>
      <c r="H456" s="16"/>
    </row>
    <row r="457" spans="2:8">
      <c r="B457" s="5"/>
      <c r="H457" s="16"/>
    </row>
    <row r="458" spans="2:8">
      <c r="B458" s="5"/>
      <c r="H458" s="16"/>
    </row>
    <row r="459" spans="2:8">
      <c r="B459" s="5"/>
      <c r="H459" s="16"/>
    </row>
    <row r="460" spans="2:8">
      <c r="B460" s="5"/>
      <c r="H460" s="16"/>
    </row>
    <row r="461" spans="2:8">
      <c r="B461" s="5"/>
      <c r="H461" s="16"/>
    </row>
    <row r="462" spans="2:8">
      <c r="B462" s="5"/>
      <c r="H462" s="16"/>
    </row>
    <row r="463" spans="2:8">
      <c r="B463" s="5"/>
      <c r="H463" s="16"/>
    </row>
    <row r="464" spans="2:8">
      <c r="B464" s="5"/>
      <c r="H464" s="16"/>
    </row>
    <row r="465" spans="2:8">
      <c r="B465" s="5"/>
      <c r="H465" s="16"/>
    </row>
    <row r="466" spans="2:8">
      <c r="B466" s="5"/>
      <c r="H466" s="16"/>
    </row>
    <row r="467" spans="2:8">
      <c r="B467" s="5"/>
      <c r="H467" s="16"/>
    </row>
    <row r="468" spans="2:8">
      <c r="B468" s="5"/>
      <c r="H468" s="16"/>
    </row>
    <row r="469" spans="2:8">
      <c r="B469" s="5"/>
      <c r="H469" s="16"/>
    </row>
    <row r="470" spans="2:8">
      <c r="B470" s="5"/>
      <c r="H470" s="16"/>
    </row>
    <row r="471" spans="2:8">
      <c r="B471" s="5"/>
      <c r="H471" s="16"/>
    </row>
    <row r="472" spans="2:8">
      <c r="B472" s="5"/>
      <c r="H472" s="16"/>
    </row>
    <row r="473" spans="2:8">
      <c r="B473" s="5"/>
      <c r="H473" s="16"/>
    </row>
    <row r="474" spans="2:8">
      <c r="B474" s="5"/>
      <c r="H474" s="16"/>
    </row>
    <row r="475" spans="2:8">
      <c r="B475" s="5"/>
      <c r="H475" s="16"/>
    </row>
    <row r="476" spans="2:8">
      <c r="B476" s="5"/>
      <c r="H476" s="16"/>
    </row>
    <row r="477" spans="2:8">
      <c r="B477" s="5"/>
      <c r="H477" s="16"/>
    </row>
    <row r="478" spans="2:8">
      <c r="B478" s="5"/>
      <c r="H478" s="16"/>
    </row>
    <row r="479" spans="2:8">
      <c r="B479" s="5"/>
      <c r="H479" s="16"/>
    </row>
    <row r="480" spans="2:8">
      <c r="B480" s="5"/>
      <c r="H480" s="16"/>
    </row>
    <row r="481" spans="2:8">
      <c r="B481" s="5"/>
      <c r="H481" s="16"/>
    </row>
    <row r="482" spans="2:8">
      <c r="B482" s="5"/>
      <c r="H482" s="16"/>
    </row>
    <row r="483" spans="2:8">
      <c r="B483" s="5"/>
      <c r="H483" s="16"/>
    </row>
    <row r="484" spans="2:8">
      <c r="B484" s="5"/>
      <c r="H484" s="16"/>
    </row>
    <row r="485" spans="2:8">
      <c r="B485" s="5"/>
      <c r="H485" s="16"/>
    </row>
    <row r="486" spans="2:8">
      <c r="B486" s="5"/>
      <c r="H486" s="16"/>
    </row>
    <row r="487" spans="2:8">
      <c r="B487" s="5"/>
      <c r="H487" s="16"/>
    </row>
    <row r="488" spans="2:8">
      <c r="B488" s="5"/>
      <c r="H488" s="16"/>
    </row>
    <row r="489" spans="2:8">
      <c r="B489" s="5"/>
      <c r="H489" s="16"/>
    </row>
    <row r="490" spans="2:8">
      <c r="B490" s="5"/>
      <c r="H490" s="16"/>
    </row>
    <row r="491" spans="2:8">
      <c r="B491" s="5"/>
      <c r="H491" s="16"/>
    </row>
    <row r="492" spans="2:8">
      <c r="B492" s="5"/>
      <c r="H492" s="16"/>
    </row>
    <row r="493" spans="2:8">
      <c r="B493" s="5"/>
      <c r="H493" s="16"/>
    </row>
    <row r="494" spans="2:8">
      <c r="B494" s="5"/>
      <c r="H494" s="16"/>
    </row>
    <row r="495" spans="2:8">
      <c r="B495" s="5"/>
      <c r="H495" s="16"/>
    </row>
    <row r="496" spans="2:8">
      <c r="B496" s="5"/>
      <c r="H496" s="16"/>
    </row>
    <row r="497" spans="2:8">
      <c r="B497" s="5"/>
      <c r="H497" s="16"/>
    </row>
    <row r="498" spans="2:8">
      <c r="B498" s="5"/>
      <c r="H498" s="16"/>
    </row>
    <row r="499" spans="2:8">
      <c r="B499" s="5"/>
      <c r="H499" s="16"/>
    </row>
    <row r="500" spans="2:8">
      <c r="B500" s="5"/>
      <c r="H500" s="16"/>
    </row>
    <row r="501" spans="2:8">
      <c r="B501" s="5"/>
      <c r="H501" s="16"/>
    </row>
    <row r="502" spans="2:8">
      <c r="B502" s="5"/>
      <c r="H502" s="16"/>
    </row>
    <row r="503" spans="2:8">
      <c r="B503" s="5"/>
      <c r="H503" s="16"/>
    </row>
    <row r="504" spans="2:8">
      <c r="B504" s="5"/>
      <c r="H504" s="16"/>
    </row>
    <row r="505" spans="2:8">
      <c r="B505" s="5"/>
      <c r="H505" s="16"/>
    </row>
    <row r="506" spans="2:8">
      <c r="B506" s="5"/>
      <c r="H506" s="16"/>
    </row>
    <row r="507" spans="2:8">
      <c r="B507" s="5"/>
      <c r="H507" s="16"/>
    </row>
    <row r="508" spans="2:8">
      <c r="B508" s="5"/>
      <c r="H508" s="16"/>
    </row>
    <row r="509" spans="2:8">
      <c r="B509" s="5"/>
      <c r="H509" s="16"/>
    </row>
    <row r="510" spans="2:8">
      <c r="B510" s="5"/>
      <c r="H510" s="16"/>
    </row>
    <row r="511" spans="2:8">
      <c r="B511" s="5"/>
      <c r="H511" s="16"/>
    </row>
    <row r="512" spans="2:8">
      <c r="B512" s="5"/>
      <c r="H512" s="16"/>
    </row>
    <row r="513" spans="2:8">
      <c r="B513" s="5"/>
      <c r="H513" s="16"/>
    </row>
    <row r="514" spans="2:8">
      <c r="B514" s="5"/>
      <c r="H514" s="16"/>
    </row>
    <row r="515" spans="2:8">
      <c r="B515" s="5"/>
      <c r="H515" s="16"/>
    </row>
    <row r="516" spans="2:8">
      <c r="B516" s="5"/>
      <c r="H516" s="16"/>
    </row>
    <row r="517" spans="2:8">
      <c r="B517" s="5"/>
      <c r="H517" s="16"/>
    </row>
    <row r="518" spans="2:8">
      <c r="B518" s="5"/>
      <c r="H518" s="16"/>
    </row>
    <row r="519" spans="2:8">
      <c r="B519" s="5"/>
      <c r="H519" s="16"/>
    </row>
    <row r="520" spans="2:8">
      <c r="B520" s="5"/>
      <c r="H520" s="16"/>
    </row>
    <row r="521" spans="2:8">
      <c r="B521" s="5"/>
      <c r="H521" s="16"/>
    </row>
    <row r="522" spans="2:8">
      <c r="B522" s="5"/>
      <c r="H522" s="16"/>
    </row>
    <row r="523" spans="2:8">
      <c r="B523" s="5"/>
      <c r="H523" s="16"/>
    </row>
    <row r="524" spans="2:8">
      <c r="B524" s="5"/>
      <c r="H524" s="16"/>
    </row>
    <row r="525" spans="2:8">
      <c r="B525" s="5"/>
      <c r="H525" s="16"/>
    </row>
    <row r="526" spans="2:8">
      <c r="B526" s="5"/>
      <c r="H526" s="16"/>
    </row>
    <row r="527" spans="2:8">
      <c r="B527" s="5"/>
      <c r="H527" s="16"/>
    </row>
    <row r="528" spans="2:8">
      <c r="B528" s="5"/>
      <c r="H528" s="16"/>
    </row>
    <row r="529" spans="2:8">
      <c r="B529" s="5"/>
      <c r="H529" s="16"/>
    </row>
    <row r="530" spans="2:8">
      <c r="B530" s="5"/>
      <c r="H530" s="16"/>
    </row>
    <row r="531" spans="2:8">
      <c r="B531" s="5"/>
      <c r="H531" s="16"/>
    </row>
    <row r="532" spans="2:8">
      <c r="B532" s="5"/>
      <c r="H532" s="16"/>
    </row>
    <row r="533" spans="2:8">
      <c r="B533" s="5"/>
      <c r="H533" s="16"/>
    </row>
    <row r="534" spans="2:8">
      <c r="B534" s="5"/>
      <c r="H534" s="16"/>
    </row>
    <row r="535" spans="2:8">
      <c r="B535" s="5"/>
      <c r="H535" s="16"/>
    </row>
    <row r="536" spans="2:8">
      <c r="B536" s="5"/>
      <c r="H536" s="16"/>
    </row>
    <row r="537" spans="2:8">
      <c r="B537" s="5"/>
      <c r="H537" s="16"/>
    </row>
    <row r="538" spans="2:8">
      <c r="B538" s="5"/>
      <c r="H538" s="16"/>
    </row>
    <row r="539" spans="2:8">
      <c r="B539" s="5"/>
      <c r="H539" s="16"/>
    </row>
    <row r="540" spans="2:8">
      <c r="B540" s="5"/>
      <c r="H540" s="16"/>
    </row>
    <row r="541" spans="2:8">
      <c r="B541" s="5"/>
      <c r="H541" s="16"/>
    </row>
    <row r="542" spans="2:8">
      <c r="B542" s="5"/>
      <c r="H542" s="16"/>
    </row>
    <row r="543" spans="2:8">
      <c r="B543" s="5"/>
      <c r="H543" s="16"/>
    </row>
    <row r="544" spans="2:8">
      <c r="B544" s="5"/>
      <c r="H544" s="16"/>
    </row>
    <row r="545" spans="2:8">
      <c r="B545" s="5"/>
      <c r="H545" s="16"/>
    </row>
    <row r="546" spans="2:8">
      <c r="B546" s="5"/>
      <c r="H546" s="16"/>
    </row>
    <row r="547" spans="2:8">
      <c r="B547" s="5"/>
      <c r="H547" s="16"/>
    </row>
    <row r="548" spans="2:8">
      <c r="B548" s="5"/>
      <c r="H548" s="16"/>
    </row>
    <row r="549" spans="2:8">
      <c r="B549" s="5"/>
      <c r="H549" s="16"/>
    </row>
    <row r="550" spans="2:8">
      <c r="B550" s="5"/>
      <c r="H550" s="16"/>
    </row>
    <row r="551" spans="2:8">
      <c r="B551" s="5"/>
      <c r="H551" s="16"/>
    </row>
    <row r="552" spans="2:8">
      <c r="B552" s="5"/>
      <c r="H552" s="16"/>
    </row>
    <row r="553" spans="2:8">
      <c r="B553" s="5"/>
      <c r="H553" s="16"/>
    </row>
    <row r="554" spans="2:8">
      <c r="B554" s="5"/>
      <c r="H554" s="16"/>
    </row>
    <row r="555" spans="2:8">
      <c r="B555" s="5"/>
      <c r="H555" s="16"/>
    </row>
    <row r="556" spans="2:8">
      <c r="B556" s="5"/>
      <c r="H556" s="16"/>
    </row>
    <row r="557" spans="2:8">
      <c r="B557" s="5"/>
      <c r="H557" s="16"/>
    </row>
    <row r="558" spans="2:8">
      <c r="B558" s="5"/>
      <c r="H558" s="16"/>
    </row>
    <row r="559" spans="2:8">
      <c r="B559" s="5"/>
      <c r="H559" s="16"/>
    </row>
    <row r="560" spans="2:8">
      <c r="B560" s="5"/>
      <c r="H560" s="16"/>
    </row>
    <row r="561" spans="2:8">
      <c r="B561" s="5"/>
      <c r="H561" s="16"/>
    </row>
    <row r="562" spans="2:8">
      <c r="B562" s="5"/>
      <c r="H562" s="16"/>
    </row>
    <row r="563" spans="2:8">
      <c r="B563" s="5"/>
      <c r="H563" s="16"/>
    </row>
    <row r="564" spans="2:8">
      <c r="B564" s="5"/>
      <c r="H564" s="16"/>
    </row>
    <row r="565" spans="2:8">
      <c r="B565" s="5"/>
      <c r="H565" s="16"/>
    </row>
    <row r="566" spans="2:8">
      <c r="B566" s="5"/>
      <c r="H566" s="16"/>
    </row>
    <row r="567" spans="2:8">
      <c r="B567" s="5"/>
      <c r="H567" s="16"/>
    </row>
    <row r="568" spans="2:8">
      <c r="B568" s="5"/>
      <c r="H568" s="16"/>
    </row>
    <row r="569" spans="2:8">
      <c r="B569" s="5"/>
      <c r="H569" s="16"/>
    </row>
    <row r="570" spans="2:8">
      <c r="B570" s="5"/>
      <c r="H570" s="16"/>
    </row>
    <row r="571" spans="2:8">
      <c r="B571" s="5"/>
      <c r="H571" s="16"/>
    </row>
    <row r="572" spans="2:8">
      <c r="B572" s="5"/>
      <c r="H572" s="16"/>
    </row>
    <row r="573" spans="2:8">
      <c r="B573" s="5"/>
      <c r="H573" s="16"/>
    </row>
    <row r="574" spans="2:8">
      <c r="B574" s="5"/>
      <c r="H574" s="16"/>
    </row>
    <row r="575" spans="2:8">
      <c r="B575" s="5"/>
      <c r="H575" s="16"/>
    </row>
    <row r="576" spans="2:8">
      <c r="B576" s="5"/>
      <c r="H576" s="16"/>
    </row>
    <row r="577" spans="2:8">
      <c r="B577" s="5"/>
      <c r="H577" s="16"/>
    </row>
    <row r="578" spans="2:8">
      <c r="B578" s="5"/>
      <c r="H578" s="16"/>
    </row>
    <row r="579" spans="2:8">
      <c r="B579" s="5"/>
      <c r="H579" s="16"/>
    </row>
    <row r="580" spans="2:8">
      <c r="B580" s="5"/>
      <c r="H580" s="16"/>
    </row>
    <row r="581" spans="2:8">
      <c r="B581" s="5"/>
      <c r="H581" s="16"/>
    </row>
    <row r="582" spans="2:8">
      <c r="B582" s="5"/>
      <c r="H582" s="16"/>
    </row>
    <row r="583" spans="2:8">
      <c r="B583" s="5"/>
      <c r="H583" s="16"/>
    </row>
    <row r="584" spans="2:8">
      <c r="B584" s="5"/>
      <c r="H584" s="16"/>
    </row>
    <row r="585" spans="2:8">
      <c r="B585" s="5"/>
      <c r="H585" s="16"/>
    </row>
    <row r="586" spans="2:8">
      <c r="B586" s="5"/>
      <c r="H586" s="16"/>
    </row>
    <row r="587" spans="2:8">
      <c r="B587" s="5"/>
      <c r="H587" s="16"/>
    </row>
    <row r="588" spans="2:8">
      <c r="B588" s="5"/>
      <c r="H588" s="16"/>
    </row>
    <row r="589" spans="2:8">
      <c r="B589" s="5"/>
      <c r="H589" s="16"/>
    </row>
    <row r="590" spans="2:8">
      <c r="B590" s="5"/>
      <c r="H590" s="16"/>
    </row>
    <row r="591" spans="2:8">
      <c r="B591" s="5"/>
      <c r="H591" s="16"/>
    </row>
    <row r="592" spans="2:8">
      <c r="B592" s="5"/>
      <c r="H592" s="16"/>
    </row>
    <row r="593" spans="2:8">
      <c r="B593" s="5"/>
      <c r="H593" s="16"/>
    </row>
    <row r="594" spans="2:8">
      <c r="B594" s="5"/>
      <c r="H594" s="16"/>
    </row>
    <row r="595" spans="2:8">
      <c r="B595" s="5"/>
      <c r="H595" s="16"/>
    </row>
    <row r="596" spans="2:8">
      <c r="B596" s="5"/>
      <c r="H596" s="16"/>
    </row>
    <row r="597" spans="2:8">
      <c r="B597" s="5"/>
      <c r="H597" s="16"/>
    </row>
    <row r="598" spans="2:8">
      <c r="B598" s="5"/>
      <c r="H598" s="16"/>
    </row>
    <row r="599" spans="2:8">
      <c r="B599" s="5"/>
      <c r="H599" s="16"/>
    </row>
    <row r="600" spans="2:8">
      <c r="B600" s="5"/>
      <c r="H600" s="16"/>
    </row>
    <row r="601" spans="2:8">
      <c r="B601" s="5"/>
      <c r="H601" s="16"/>
    </row>
    <row r="602" spans="2:8">
      <c r="B602" s="5"/>
      <c r="H602" s="16"/>
    </row>
    <row r="603" spans="2:8">
      <c r="B603" s="5"/>
      <c r="H603" s="16"/>
    </row>
    <row r="604" spans="2:8">
      <c r="B604" s="5"/>
      <c r="H604" s="16"/>
    </row>
    <row r="605" spans="2:8">
      <c r="B605" s="5"/>
      <c r="H605" s="16"/>
    </row>
    <row r="606" spans="2:8">
      <c r="B606" s="5"/>
      <c r="H606" s="16"/>
    </row>
    <row r="607" spans="2:8">
      <c r="B607" s="5"/>
      <c r="H607" s="16"/>
    </row>
    <row r="608" spans="2:8">
      <c r="B608" s="5"/>
      <c r="H608" s="16"/>
    </row>
    <row r="609" spans="2:8">
      <c r="B609" s="5"/>
      <c r="H609" s="16"/>
    </row>
    <row r="610" spans="2:8">
      <c r="B610" s="5"/>
      <c r="H610" s="16"/>
    </row>
    <row r="611" spans="2:8">
      <c r="B611" s="5"/>
      <c r="H611" s="16"/>
    </row>
    <row r="612" spans="2:8">
      <c r="B612" s="5"/>
      <c r="H612" s="16"/>
    </row>
    <row r="613" spans="2:8">
      <c r="B613" s="5"/>
      <c r="H613" s="16"/>
    </row>
    <row r="614" spans="2:8">
      <c r="B614" s="5"/>
      <c r="H614" s="16"/>
    </row>
    <row r="615" spans="2:8">
      <c r="B615" s="5"/>
      <c r="H615" s="16"/>
    </row>
    <row r="616" spans="2:8">
      <c r="B616" s="5"/>
      <c r="H616" s="16"/>
    </row>
    <row r="617" spans="2:8">
      <c r="B617" s="5"/>
      <c r="H617" s="16"/>
    </row>
    <row r="618" spans="2:8">
      <c r="B618" s="5"/>
      <c r="H618" s="16"/>
    </row>
    <row r="619" spans="2:8">
      <c r="B619" s="5"/>
      <c r="H619" s="16"/>
    </row>
    <row r="620" spans="2:8">
      <c r="B620" s="5"/>
      <c r="H620" s="16"/>
    </row>
    <row r="621" spans="2:8">
      <c r="B621" s="5"/>
      <c r="H621" s="16"/>
    </row>
    <row r="622" spans="2:8">
      <c r="B622" s="5"/>
      <c r="H622" s="16"/>
    </row>
    <row r="623" spans="2:8">
      <c r="B623" s="5"/>
      <c r="H623" s="16"/>
    </row>
    <row r="624" spans="2:8">
      <c r="B624" s="5"/>
      <c r="H624" s="16"/>
    </row>
    <row r="625" spans="2:8">
      <c r="B625" s="5"/>
      <c r="H625" s="16"/>
    </row>
    <row r="626" spans="2:8">
      <c r="B626" s="5"/>
      <c r="H626" s="16"/>
    </row>
    <row r="627" spans="2:8">
      <c r="B627" s="5"/>
      <c r="H627" s="16"/>
    </row>
    <row r="628" spans="2:8">
      <c r="B628" s="5"/>
      <c r="H628" s="16"/>
    </row>
    <row r="629" spans="2:8">
      <c r="B629" s="5"/>
      <c r="H629" s="16"/>
    </row>
    <row r="630" spans="2:8">
      <c r="B630" s="5"/>
      <c r="H630" s="16"/>
    </row>
    <row r="631" spans="2:8">
      <c r="B631" s="5"/>
      <c r="H631" s="16"/>
    </row>
    <row r="632" spans="2:8">
      <c r="B632" s="5"/>
      <c r="H632" s="16"/>
    </row>
    <row r="633" spans="2:8">
      <c r="B633" s="5"/>
      <c r="H633" s="16"/>
    </row>
    <row r="634" spans="2:8">
      <c r="B634" s="5"/>
      <c r="H634" s="16"/>
    </row>
    <row r="635" spans="2:8">
      <c r="B635" s="5"/>
      <c r="H635" s="16"/>
    </row>
    <row r="636" spans="2:8">
      <c r="B636" s="5"/>
      <c r="H636" s="16"/>
    </row>
    <row r="637" spans="2:8">
      <c r="B637" s="5"/>
      <c r="H637" s="16"/>
    </row>
    <row r="638" spans="2:8">
      <c r="B638" s="5"/>
      <c r="H638" s="16"/>
    </row>
    <row r="639" spans="2:8">
      <c r="B639" s="5"/>
      <c r="H639" s="16"/>
    </row>
    <row r="640" spans="2:8">
      <c r="B640" s="5"/>
      <c r="H640" s="16"/>
    </row>
    <row r="641" spans="2:8">
      <c r="B641" s="5"/>
      <c r="H641" s="16"/>
    </row>
    <row r="642" spans="2:8">
      <c r="B642" s="5"/>
      <c r="H642" s="16"/>
    </row>
    <row r="643" spans="2:8">
      <c r="B643" s="5"/>
      <c r="H643" s="16"/>
    </row>
    <row r="644" spans="2:8">
      <c r="B644" s="5"/>
      <c r="H644" s="16"/>
    </row>
    <row r="645" spans="2:8">
      <c r="B645" s="5"/>
      <c r="H645" s="16"/>
    </row>
    <row r="646" spans="2:8">
      <c r="B646" s="5"/>
      <c r="H646" s="16"/>
    </row>
    <row r="647" spans="2:8">
      <c r="B647" s="5"/>
      <c r="H647" s="16"/>
    </row>
    <row r="648" spans="2:8">
      <c r="B648" s="5"/>
      <c r="H648" s="16"/>
    </row>
    <row r="649" spans="2:8">
      <c r="B649" s="5"/>
      <c r="H649" s="16"/>
    </row>
    <row r="650" spans="2:8">
      <c r="B650" s="5"/>
      <c r="H650" s="16"/>
    </row>
    <row r="651" spans="2:8">
      <c r="B651" s="5"/>
      <c r="H651" s="16"/>
    </row>
    <row r="652" spans="2:8">
      <c r="B652" s="5"/>
      <c r="H652" s="16"/>
    </row>
    <row r="653" spans="2:8">
      <c r="B653" s="5"/>
      <c r="H653" s="16"/>
    </row>
    <row r="654" spans="2:8">
      <c r="B654" s="5"/>
      <c r="H654" s="16"/>
    </row>
    <row r="655" spans="2:8">
      <c r="B655" s="5"/>
      <c r="H655" s="16"/>
    </row>
    <row r="656" spans="2:8">
      <c r="B656" s="5"/>
      <c r="H656" s="16"/>
    </row>
    <row r="657" spans="2:8">
      <c r="B657" s="5"/>
      <c r="H657" s="16"/>
    </row>
    <row r="658" spans="2:8">
      <c r="B658" s="5"/>
      <c r="H658" s="16"/>
    </row>
    <row r="659" spans="2:8">
      <c r="B659" s="5"/>
      <c r="H659" s="16"/>
    </row>
    <row r="660" spans="2:8">
      <c r="B660" s="5"/>
      <c r="H660" s="16"/>
    </row>
    <row r="661" spans="2:8">
      <c r="B661" s="5"/>
      <c r="H661" s="16"/>
    </row>
    <row r="662" spans="2:8">
      <c r="B662" s="5"/>
      <c r="H662" s="16"/>
    </row>
    <row r="663" spans="2:8">
      <c r="B663" s="5"/>
      <c r="H663" s="16"/>
    </row>
    <row r="664" spans="2:8">
      <c r="B664" s="5"/>
      <c r="H664" s="16"/>
    </row>
    <row r="665" spans="2:8">
      <c r="B665" s="5"/>
      <c r="H665" s="16"/>
    </row>
    <row r="666" spans="2:8">
      <c r="B666" s="5"/>
      <c r="H666" s="16"/>
    </row>
    <row r="667" spans="2:8">
      <c r="B667" s="5"/>
      <c r="H667" s="16"/>
    </row>
    <row r="668" spans="2:8">
      <c r="B668" s="5"/>
      <c r="H668" s="16"/>
    </row>
    <row r="669" spans="2:8">
      <c r="B669" s="5"/>
      <c r="H669" s="16"/>
    </row>
    <row r="670" spans="2:8">
      <c r="B670" s="5"/>
      <c r="H670" s="16"/>
    </row>
    <row r="671" spans="2:8">
      <c r="B671" s="5"/>
      <c r="H671" s="16"/>
    </row>
    <row r="672" spans="2:8">
      <c r="B672" s="5"/>
      <c r="H672" s="16"/>
    </row>
    <row r="673" spans="2:8">
      <c r="B673" s="5"/>
      <c r="H673" s="16"/>
    </row>
    <row r="674" spans="2:8">
      <c r="B674" s="5"/>
      <c r="H674" s="16"/>
    </row>
    <row r="675" spans="2:8">
      <c r="B675" s="5"/>
      <c r="H675" s="16"/>
    </row>
    <row r="676" spans="2:8">
      <c r="B676" s="5"/>
      <c r="H676" s="16"/>
    </row>
    <row r="677" spans="2:8">
      <c r="B677" s="5"/>
      <c r="H677" s="16"/>
    </row>
    <row r="678" spans="2:8">
      <c r="B678" s="5"/>
      <c r="H678" s="16"/>
    </row>
    <row r="679" spans="2:8">
      <c r="B679" s="5"/>
      <c r="H679" s="16"/>
    </row>
    <row r="680" spans="2:8">
      <c r="B680" s="5"/>
      <c r="H680" s="16"/>
    </row>
    <row r="681" spans="2:8">
      <c r="B681" s="5"/>
      <c r="H681" s="16"/>
    </row>
    <row r="682" spans="2:8">
      <c r="B682" s="5"/>
      <c r="H682" s="16"/>
    </row>
    <row r="683" spans="2:8">
      <c r="B683" s="5"/>
      <c r="H683" s="16"/>
    </row>
    <row r="684" spans="2:8">
      <c r="B684" s="5"/>
      <c r="H684" s="16"/>
    </row>
    <row r="685" spans="2:8">
      <c r="B685" s="5"/>
      <c r="H685" s="16"/>
    </row>
    <row r="686" spans="2:8">
      <c r="B686" s="5"/>
      <c r="H686" s="16"/>
    </row>
    <row r="687" spans="2:8">
      <c r="B687" s="5"/>
      <c r="H687" s="16"/>
    </row>
    <row r="688" spans="2:8">
      <c r="B688" s="5"/>
      <c r="H688" s="16"/>
    </row>
    <row r="689" spans="2:8">
      <c r="B689" s="5"/>
      <c r="H689" s="16"/>
    </row>
    <row r="690" spans="2:8">
      <c r="B690" s="5"/>
      <c r="H690" s="16"/>
    </row>
    <row r="691" spans="2:8">
      <c r="B691" s="5"/>
      <c r="H691" s="16"/>
    </row>
    <row r="692" spans="2:8">
      <c r="B692" s="5"/>
      <c r="H692" s="16"/>
    </row>
    <row r="693" spans="2:8">
      <c r="B693" s="5"/>
      <c r="H693" s="16"/>
    </row>
    <row r="694" spans="2:8">
      <c r="B694" s="5"/>
      <c r="H694" s="16"/>
    </row>
    <row r="695" spans="2:8">
      <c r="B695" s="5"/>
      <c r="H695" s="16"/>
    </row>
    <row r="696" spans="2:8">
      <c r="B696" s="5"/>
      <c r="H696" s="16"/>
    </row>
    <row r="697" spans="2:8">
      <c r="B697" s="5"/>
      <c r="H697" s="16"/>
    </row>
    <row r="698" spans="2:8">
      <c r="B698" s="5"/>
      <c r="H698" s="16"/>
    </row>
    <row r="699" spans="2:8">
      <c r="B699" s="5"/>
      <c r="H699" s="16"/>
    </row>
    <row r="700" spans="2:8">
      <c r="B700" s="5"/>
      <c r="H700" s="16"/>
    </row>
    <row r="701" spans="2:8">
      <c r="B701" s="5"/>
      <c r="H701" s="16"/>
    </row>
    <row r="702" spans="2:8">
      <c r="B702" s="5"/>
      <c r="H702" s="16"/>
    </row>
    <row r="703" spans="2:8">
      <c r="B703" s="5"/>
      <c r="H703" s="16"/>
    </row>
    <row r="704" spans="2:8">
      <c r="B704" s="5"/>
      <c r="H704" s="16"/>
    </row>
    <row r="705" spans="2:8">
      <c r="B705" s="5"/>
      <c r="H705" s="16"/>
    </row>
    <row r="706" spans="2:8">
      <c r="B706" s="5"/>
      <c r="H706" s="16"/>
    </row>
    <row r="707" spans="2:8">
      <c r="B707" s="5"/>
      <c r="H707" s="16"/>
    </row>
    <row r="708" spans="2:8">
      <c r="B708" s="5"/>
      <c r="H708" s="16"/>
    </row>
    <row r="709" spans="2:8">
      <c r="B709" s="5"/>
      <c r="H709" s="16"/>
    </row>
    <row r="710" spans="2:8">
      <c r="B710" s="5"/>
      <c r="H710" s="16"/>
    </row>
    <row r="711" spans="2:8">
      <c r="B711" s="5"/>
      <c r="H711" s="16"/>
    </row>
    <row r="712" spans="2:8">
      <c r="B712" s="5"/>
      <c r="H712" s="16"/>
    </row>
    <row r="713" spans="2:8">
      <c r="B713" s="5"/>
      <c r="H713" s="16"/>
    </row>
    <row r="714" spans="2:8">
      <c r="B714" s="5"/>
      <c r="H714" s="16"/>
    </row>
    <row r="715" spans="2:8">
      <c r="B715" s="5"/>
      <c r="H715" s="16"/>
    </row>
    <row r="716" spans="2:8">
      <c r="B716" s="5"/>
      <c r="H716" s="16"/>
    </row>
    <row r="717" spans="2:8">
      <c r="B717" s="5"/>
      <c r="H717" s="16"/>
    </row>
    <row r="718" spans="2:8">
      <c r="B718" s="5"/>
      <c r="H718" s="16"/>
    </row>
    <row r="719" spans="2:8">
      <c r="B719" s="5"/>
      <c r="H719" s="16"/>
    </row>
    <row r="720" spans="2:8">
      <c r="B720" s="5"/>
      <c r="H720" s="16"/>
    </row>
    <row r="721" spans="2:8">
      <c r="B721" s="5"/>
      <c r="H721" s="16"/>
    </row>
    <row r="722" spans="2:8">
      <c r="B722" s="5"/>
      <c r="H722" s="16"/>
    </row>
    <row r="723" spans="2:8">
      <c r="B723" s="5"/>
      <c r="H723" s="16"/>
    </row>
    <row r="724" spans="2:8">
      <c r="B724" s="5"/>
      <c r="H724" s="16"/>
    </row>
    <row r="725" spans="2:8">
      <c r="B725" s="5"/>
      <c r="H725" s="16"/>
    </row>
    <row r="726" spans="2:8">
      <c r="B726" s="5"/>
      <c r="H726" s="16"/>
    </row>
    <row r="727" spans="2:8">
      <c r="B727" s="5"/>
      <c r="H727" s="16"/>
    </row>
    <row r="728" spans="2:8">
      <c r="B728" s="5"/>
      <c r="H728" s="16"/>
    </row>
    <row r="729" spans="2:8">
      <c r="B729" s="5"/>
      <c r="H729" s="16"/>
    </row>
    <row r="730" spans="2:8">
      <c r="B730" s="5"/>
      <c r="H730" s="16"/>
    </row>
    <row r="731" spans="2:8">
      <c r="B731" s="5"/>
      <c r="H731" s="16"/>
    </row>
    <row r="732" spans="2:8">
      <c r="B732" s="5"/>
      <c r="H732" s="16"/>
    </row>
    <row r="733" spans="2:8">
      <c r="B733" s="5"/>
      <c r="H733" s="16"/>
    </row>
    <row r="734" spans="2:8">
      <c r="B734" s="5"/>
      <c r="H734" s="16"/>
    </row>
    <row r="735" spans="2:8">
      <c r="B735" s="5"/>
      <c r="H735" s="16"/>
    </row>
    <row r="736" spans="2:8">
      <c r="B736" s="5"/>
      <c r="H736" s="16"/>
    </row>
    <row r="737" spans="2:8">
      <c r="B737" s="5"/>
      <c r="H737" s="16"/>
    </row>
    <row r="738" spans="2:8">
      <c r="B738" s="5"/>
      <c r="H738" s="16"/>
    </row>
    <row r="739" spans="2:8">
      <c r="B739" s="5"/>
      <c r="H739" s="16"/>
    </row>
    <row r="740" spans="2:8">
      <c r="B740" s="5"/>
      <c r="H740" s="16"/>
    </row>
    <row r="741" spans="2:8">
      <c r="B741" s="5"/>
      <c r="H741" s="16"/>
    </row>
    <row r="742" spans="2:8">
      <c r="B742" s="5"/>
      <c r="H742" s="16"/>
    </row>
    <row r="743" spans="2:8">
      <c r="B743" s="5"/>
      <c r="H743" s="16"/>
    </row>
    <row r="744" spans="2:8">
      <c r="B744" s="5"/>
      <c r="H744" s="16"/>
    </row>
    <row r="745" spans="2:8">
      <c r="B745" s="5"/>
      <c r="H745" s="16"/>
    </row>
    <row r="746" spans="2:8">
      <c r="B746" s="5"/>
      <c r="H746" s="16"/>
    </row>
    <row r="747" spans="2:8">
      <c r="B747" s="5"/>
      <c r="H747" s="16"/>
    </row>
    <row r="748" spans="2:8">
      <c r="B748" s="5"/>
      <c r="H748" s="16"/>
    </row>
    <row r="749" spans="2:8">
      <c r="B749" s="5"/>
      <c r="H749" s="16"/>
    </row>
    <row r="750" spans="2:8">
      <c r="B750" s="5"/>
      <c r="H750" s="16"/>
    </row>
    <row r="751" spans="2:8">
      <c r="B751" s="5"/>
      <c r="H751" s="16"/>
    </row>
    <row r="752" spans="2:8">
      <c r="B752" s="5"/>
      <c r="H752" s="16"/>
    </row>
    <row r="753" spans="2:8">
      <c r="B753" s="5"/>
      <c r="H753" s="16"/>
    </row>
    <row r="754" spans="2:8">
      <c r="B754" s="5"/>
      <c r="H754" s="16"/>
    </row>
    <row r="755" spans="2:8">
      <c r="B755" s="5"/>
      <c r="H755" s="16"/>
    </row>
    <row r="756" spans="2:8">
      <c r="B756" s="5"/>
      <c r="H756" s="16"/>
    </row>
    <row r="757" spans="2:8">
      <c r="B757" s="5"/>
      <c r="H757" s="16"/>
    </row>
    <row r="758" spans="2:8">
      <c r="B758" s="5"/>
      <c r="H758" s="16"/>
    </row>
    <row r="759" spans="2:8">
      <c r="B759" s="5"/>
      <c r="H759" s="16"/>
    </row>
    <row r="760" spans="2:8">
      <c r="B760" s="5"/>
      <c r="H760" s="16"/>
    </row>
    <row r="761" spans="2:8">
      <c r="B761" s="5"/>
      <c r="H761" s="16"/>
    </row>
    <row r="762" spans="2:8">
      <c r="B762" s="5"/>
      <c r="H762" s="16"/>
    </row>
    <row r="763" spans="2:8">
      <c r="B763" s="5"/>
      <c r="H763" s="16"/>
    </row>
    <row r="764" spans="2:8">
      <c r="B764" s="5"/>
      <c r="H764" s="16"/>
    </row>
    <row r="765" spans="2:8">
      <c r="B765" s="5"/>
      <c r="H765" s="16"/>
    </row>
    <row r="766" spans="2:8">
      <c r="B766" s="5"/>
      <c r="H766" s="16"/>
    </row>
    <row r="767" spans="2:8">
      <c r="B767" s="5"/>
      <c r="H767" s="16"/>
    </row>
    <row r="768" spans="2:8">
      <c r="B768" s="5"/>
      <c r="H768" s="16"/>
    </row>
    <row r="769" spans="2:8">
      <c r="B769" s="5"/>
      <c r="H769" s="16"/>
    </row>
    <row r="770" spans="2:8">
      <c r="B770" s="5"/>
      <c r="H770" s="16"/>
    </row>
    <row r="771" spans="2:8">
      <c r="B771" s="5"/>
      <c r="H771" s="16"/>
    </row>
    <row r="772" spans="2:8">
      <c r="B772" s="5"/>
      <c r="H772" s="16"/>
    </row>
    <row r="773" spans="2:8">
      <c r="B773" s="5"/>
      <c r="H773" s="16"/>
    </row>
    <row r="774" spans="2:8">
      <c r="B774" s="5"/>
      <c r="H774" s="16"/>
    </row>
    <row r="775" spans="2:8">
      <c r="B775" s="5"/>
      <c r="H775" s="16"/>
    </row>
    <row r="776" spans="2:8">
      <c r="B776" s="5"/>
      <c r="H776" s="16"/>
    </row>
    <row r="777" spans="2:8">
      <c r="B777" s="5"/>
      <c r="H777" s="16"/>
    </row>
    <row r="778" spans="2:8">
      <c r="B778" s="5"/>
      <c r="H778" s="16"/>
    </row>
    <row r="779" spans="2:8">
      <c r="B779" s="5"/>
      <c r="H779" s="16"/>
    </row>
    <row r="780" spans="2:8">
      <c r="B780" s="5"/>
      <c r="H780" s="16"/>
    </row>
    <row r="781" spans="2:8">
      <c r="B781" s="5"/>
      <c r="H781" s="16"/>
    </row>
    <row r="782" spans="2:8">
      <c r="B782" s="5"/>
      <c r="H782" s="16"/>
    </row>
    <row r="783" spans="2:8">
      <c r="B783" s="5"/>
      <c r="H783" s="16"/>
    </row>
    <row r="784" spans="2:8">
      <c r="B784" s="5"/>
      <c r="H784" s="16"/>
    </row>
    <row r="785" spans="2:8">
      <c r="B785" s="5"/>
      <c r="H785" s="16"/>
    </row>
    <row r="786" spans="2:8">
      <c r="B786" s="5"/>
      <c r="H786" s="16"/>
    </row>
    <row r="787" spans="2:8">
      <c r="B787" s="5"/>
      <c r="H787" s="16"/>
    </row>
    <row r="788" spans="2:8">
      <c r="B788" s="5"/>
      <c r="H788" s="16"/>
    </row>
    <row r="789" spans="2:8">
      <c r="B789" s="5"/>
      <c r="H789" s="16"/>
    </row>
    <row r="790" spans="2:8">
      <c r="B790" s="5"/>
      <c r="H790" s="16"/>
    </row>
    <row r="791" spans="2:8">
      <c r="B791" s="5"/>
      <c r="H791" s="16"/>
    </row>
    <row r="792" spans="2:8">
      <c r="B792" s="5"/>
      <c r="H792" s="16"/>
    </row>
    <row r="793" spans="2:8">
      <c r="B793" s="5"/>
      <c r="H793" s="16"/>
    </row>
    <row r="794" spans="2:8">
      <c r="B794" s="5"/>
      <c r="H794" s="16"/>
    </row>
    <row r="795" spans="2:8">
      <c r="B795" s="5"/>
      <c r="H795" s="16"/>
    </row>
    <row r="796" spans="2:8">
      <c r="B796" s="5"/>
      <c r="H796" s="16"/>
    </row>
    <row r="797" spans="2:8">
      <c r="B797" s="5"/>
      <c r="H797" s="16"/>
    </row>
    <row r="798" spans="2:8">
      <c r="B798" s="5"/>
      <c r="H798" s="16"/>
    </row>
    <row r="799" spans="2:8">
      <c r="B799" s="5"/>
      <c r="H799" s="16"/>
    </row>
    <row r="800" spans="2:8">
      <c r="B800" s="5"/>
      <c r="H800" s="16"/>
    </row>
    <row r="801" spans="2:8">
      <c r="B801" s="5"/>
      <c r="H801" s="16"/>
    </row>
    <row r="802" spans="2:8">
      <c r="B802" s="5"/>
      <c r="H802" s="16"/>
    </row>
    <row r="803" spans="2:8">
      <c r="B803" s="5"/>
      <c r="H803" s="16"/>
    </row>
    <row r="804" spans="2:8">
      <c r="B804" s="5"/>
      <c r="H804" s="16"/>
    </row>
    <row r="805" spans="2:8">
      <c r="B805" s="5"/>
      <c r="H805" s="16"/>
    </row>
    <row r="806" spans="2:8">
      <c r="B806" s="5"/>
      <c r="H806" s="16"/>
    </row>
    <row r="807" spans="2:8">
      <c r="B807" s="5"/>
      <c r="H807" s="16"/>
    </row>
    <row r="808" spans="2:8">
      <c r="B808" s="5"/>
      <c r="H808" s="16"/>
    </row>
    <row r="809" spans="2:8">
      <c r="B809" s="5"/>
      <c r="H809" s="16"/>
    </row>
    <row r="810" spans="2:8">
      <c r="B810" s="5"/>
      <c r="H810" s="16"/>
    </row>
    <row r="811" spans="2:8">
      <c r="B811" s="5"/>
      <c r="H811" s="16"/>
    </row>
    <row r="812" spans="2:8">
      <c r="B812" s="5"/>
      <c r="H812" s="16"/>
    </row>
    <row r="813" spans="2:8">
      <c r="B813" s="5"/>
      <c r="H813" s="16"/>
    </row>
    <row r="814" spans="2:8">
      <c r="B814" s="5"/>
      <c r="H814" s="16"/>
    </row>
    <row r="815" spans="2:8">
      <c r="B815" s="5"/>
      <c r="H815" s="16"/>
    </row>
    <row r="816" spans="2:8">
      <c r="B816" s="5"/>
      <c r="H816" s="16"/>
    </row>
    <row r="817" spans="2:8">
      <c r="B817" s="5"/>
      <c r="H817" s="16"/>
    </row>
    <row r="818" spans="2:8">
      <c r="B818" s="5"/>
      <c r="H818" s="16"/>
    </row>
    <row r="819" spans="2:8">
      <c r="B819" s="5"/>
      <c r="H819" s="16"/>
    </row>
    <row r="820" spans="2:8">
      <c r="B820" s="5"/>
      <c r="H820" s="16"/>
    </row>
    <row r="821" spans="2:8">
      <c r="B821" s="5"/>
      <c r="H821" s="16"/>
    </row>
    <row r="822" spans="2:8">
      <c r="B822" s="5"/>
      <c r="H822" s="16"/>
    </row>
    <row r="823" spans="2:8">
      <c r="B823" s="5"/>
      <c r="H823" s="16"/>
    </row>
    <row r="824" spans="2:8">
      <c r="B824" s="5"/>
      <c r="H824" s="16"/>
    </row>
    <row r="825" spans="2:8">
      <c r="B825" s="5"/>
      <c r="H825" s="16"/>
    </row>
    <row r="826" spans="2:8">
      <c r="B826" s="5"/>
      <c r="H826" s="16"/>
    </row>
    <row r="827" spans="2:8">
      <c r="B827" s="5"/>
      <c r="H827" s="16"/>
    </row>
    <row r="828" spans="2:8">
      <c r="B828" s="5"/>
      <c r="H828" s="16"/>
    </row>
    <row r="829" spans="2:8">
      <c r="B829" s="5"/>
      <c r="H829" s="16"/>
    </row>
    <row r="830" spans="2:8">
      <c r="B830" s="5"/>
      <c r="H830" s="16"/>
    </row>
    <row r="831" spans="2:8">
      <c r="B831" s="5"/>
      <c r="H831" s="16"/>
    </row>
    <row r="832" spans="2:8">
      <c r="B832" s="5"/>
      <c r="H832" s="16"/>
    </row>
    <row r="833" spans="2:8">
      <c r="B833" s="5"/>
      <c r="H833" s="16"/>
    </row>
    <row r="834" spans="2:8">
      <c r="B834" s="5"/>
      <c r="H834" s="16"/>
    </row>
    <row r="835" spans="2:8">
      <c r="B835" s="5"/>
      <c r="H835" s="16"/>
    </row>
    <row r="836" spans="2:8">
      <c r="B836" s="5"/>
      <c r="H836" s="16"/>
    </row>
    <row r="837" spans="2:8">
      <c r="B837" s="5"/>
      <c r="H837" s="16"/>
    </row>
    <row r="838" spans="2:8">
      <c r="B838" s="5"/>
      <c r="H838" s="16"/>
    </row>
    <row r="839" spans="2:8">
      <c r="B839" s="5"/>
      <c r="H839" s="16"/>
    </row>
    <row r="840" spans="2:8">
      <c r="B840" s="5"/>
      <c r="H840" s="16"/>
    </row>
    <row r="841" spans="2:8">
      <c r="B841" s="5"/>
      <c r="H841" s="16"/>
    </row>
    <row r="842" spans="2:8">
      <c r="B842" s="5"/>
      <c r="H842" s="16"/>
    </row>
    <row r="843" spans="2:8">
      <c r="B843" s="5"/>
      <c r="H843" s="16"/>
    </row>
    <row r="844" spans="2:8">
      <c r="B844" s="5"/>
      <c r="H844" s="16"/>
    </row>
    <row r="845" spans="2:8">
      <c r="B845" s="5"/>
      <c r="H845" s="16"/>
    </row>
    <row r="846" spans="2:8">
      <c r="B846" s="5"/>
      <c r="H846" s="16"/>
    </row>
    <row r="847" spans="2:8">
      <c r="B847" s="5"/>
      <c r="H847" s="16"/>
    </row>
    <row r="848" spans="2:8">
      <c r="B848" s="5"/>
      <c r="H848" s="16"/>
    </row>
    <row r="849" spans="2:8">
      <c r="B849" s="5"/>
      <c r="H849" s="16"/>
    </row>
    <row r="850" spans="2:8">
      <c r="B850" s="5"/>
      <c r="H850" s="16"/>
    </row>
    <row r="851" spans="2:8">
      <c r="B851" s="5"/>
      <c r="H851" s="16"/>
    </row>
    <row r="852" spans="2:8">
      <c r="B852" s="5"/>
      <c r="H852" s="16"/>
    </row>
    <row r="853" spans="2:8">
      <c r="B853" s="5"/>
      <c r="H853" s="16"/>
    </row>
    <row r="854" spans="2:8">
      <c r="B854" s="5"/>
      <c r="H854" s="16"/>
    </row>
    <row r="855" spans="2:8">
      <c r="B855" s="5"/>
      <c r="H855" s="16"/>
    </row>
    <row r="856" spans="2:8">
      <c r="B856" s="5"/>
      <c r="H856" s="16"/>
    </row>
    <row r="857" spans="2:8">
      <c r="B857" s="5"/>
      <c r="H857" s="16"/>
    </row>
    <row r="858" spans="2:8">
      <c r="B858" s="5"/>
      <c r="H858" s="16"/>
    </row>
    <row r="859" spans="2:8">
      <c r="B859" s="5"/>
      <c r="H859" s="16"/>
    </row>
    <row r="860" spans="2:8">
      <c r="B860" s="5"/>
      <c r="H860" s="16"/>
    </row>
    <row r="861" spans="2:8">
      <c r="B861" s="5"/>
      <c r="H861" s="16"/>
    </row>
    <row r="862" spans="2:8">
      <c r="B862" s="5"/>
      <c r="H862" s="16"/>
    </row>
    <row r="863" spans="2:8">
      <c r="B863" s="5"/>
      <c r="H863" s="16"/>
    </row>
    <row r="864" spans="2:8">
      <c r="B864" s="5"/>
      <c r="H864" s="16"/>
    </row>
    <row r="865" spans="2:8">
      <c r="B865" s="5"/>
      <c r="H865" s="16"/>
    </row>
    <row r="866" spans="2:8">
      <c r="B866" s="5"/>
      <c r="H866" s="16"/>
    </row>
    <row r="867" spans="2:8">
      <c r="B867" s="5"/>
      <c r="H867" s="16"/>
    </row>
    <row r="868" spans="2:8">
      <c r="B868" s="5"/>
      <c r="H868" s="16"/>
    </row>
    <row r="869" spans="2:8">
      <c r="B869" s="5"/>
      <c r="H869" s="16"/>
    </row>
    <row r="870" spans="2:8">
      <c r="B870" s="5"/>
      <c r="H870" s="16"/>
    </row>
    <row r="871" spans="2:8">
      <c r="B871" s="5"/>
      <c r="H871" s="16"/>
    </row>
    <row r="872" spans="2:8">
      <c r="B872" s="5"/>
      <c r="H872" s="16"/>
    </row>
    <row r="873" spans="2:8">
      <c r="B873" s="5"/>
      <c r="H873" s="16"/>
    </row>
    <row r="874" spans="2:8">
      <c r="B874" s="5"/>
      <c r="H874" s="16"/>
    </row>
    <row r="875" spans="2:8">
      <c r="B875" s="5"/>
      <c r="H875" s="16"/>
    </row>
    <row r="876" spans="2:8">
      <c r="B876" s="5"/>
      <c r="H876" s="16"/>
    </row>
    <row r="877" spans="2:8">
      <c r="B877" s="5"/>
      <c r="H877" s="16"/>
    </row>
    <row r="878" spans="2:8">
      <c r="B878" s="5"/>
      <c r="H878" s="16"/>
    </row>
    <row r="879" spans="2:8">
      <c r="B879" s="5"/>
      <c r="H879" s="16"/>
    </row>
    <row r="880" spans="2:8">
      <c r="B880" s="5"/>
      <c r="H880" s="16"/>
    </row>
    <row r="881" spans="2:8">
      <c r="B881" s="5"/>
      <c r="H881" s="16"/>
    </row>
    <row r="882" spans="2:8">
      <c r="B882" s="5"/>
      <c r="H882" s="16"/>
    </row>
    <row r="883" spans="2:8">
      <c r="B883" s="5"/>
      <c r="H883" s="16"/>
    </row>
    <row r="884" spans="2:8">
      <c r="B884" s="5"/>
      <c r="H884" s="16"/>
    </row>
    <row r="885" spans="2:8">
      <c r="B885" s="5"/>
      <c r="H885" s="16"/>
    </row>
    <row r="886" spans="2:8">
      <c r="B886" s="5"/>
      <c r="H886" s="16"/>
    </row>
    <row r="887" spans="2:8">
      <c r="B887" s="5"/>
      <c r="H887" s="16"/>
    </row>
    <row r="888" spans="2:8">
      <c r="B888" s="5"/>
      <c r="H888" s="16"/>
    </row>
    <row r="889" spans="2:8">
      <c r="B889" s="5"/>
      <c r="H889" s="16"/>
    </row>
    <row r="890" spans="2:8">
      <c r="B890" s="5"/>
      <c r="H890" s="16"/>
    </row>
    <row r="891" spans="2:8">
      <c r="B891" s="5"/>
      <c r="H891" s="16"/>
    </row>
    <row r="892" spans="2:8">
      <c r="B892" s="5"/>
      <c r="H892" s="16"/>
    </row>
  </sheetData>
  <mergeCells count="27">
    <mergeCell ref="C43:F43"/>
    <mergeCell ref="G43:H43"/>
    <mergeCell ref="A4:H4"/>
    <mergeCell ref="A10:F10"/>
    <mergeCell ref="A17:F17"/>
    <mergeCell ref="A23:F23"/>
    <mergeCell ref="A29:F29"/>
    <mergeCell ref="A35:F35"/>
    <mergeCell ref="A38:F38"/>
    <mergeCell ref="C41:F41"/>
    <mergeCell ref="G41:H41"/>
    <mergeCell ref="C42:F42"/>
    <mergeCell ref="G42:H42"/>
    <mergeCell ref="C44:F44"/>
    <mergeCell ref="G44:H44"/>
    <mergeCell ref="C45:F45"/>
    <mergeCell ref="G45:H45"/>
    <mergeCell ref="C46:F46"/>
    <mergeCell ref="G46:H46"/>
    <mergeCell ref="C50:F50"/>
    <mergeCell ref="G50:H50"/>
    <mergeCell ref="C47:F47"/>
    <mergeCell ref="G47:H47"/>
    <mergeCell ref="C48:F48"/>
    <mergeCell ref="G48:H48"/>
    <mergeCell ref="C49:F49"/>
    <mergeCell ref="G49:H49"/>
  </mergeCells>
  <dataValidations count="1">
    <dataValidation type="list" allowBlank="1" showInputMessage="1" showErrorMessage="1" sqref="B42:B48" xr:uid="{B3BCAA6F-8C35-C141-9BB7-7D1960D9B32F}">
      <formula1>$L$41:$L$45</formula1>
    </dataValidation>
  </dataValidations>
  <pageMargins left="0.7" right="0.7" top="0.75" bottom="0.75" header="0.3" footer="0.3"/>
  <pageSetup scale="57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L892"/>
  <sheetViews>
    <sheetView showZeros="0" zoomScale="80" zoomScaleNormal="80" workbookViewId="0">
      <selection activeCell="B2" sqref="B2:H2"/>
    </sheetView>
  </sheetViews>
  <sheetFormatPr defaultColWidth="10.875" defaultRowHeight="18.95"/>
  <cols>
    <col min="1" max="1" width="35.625" customWidth="1"/>
    <col min="2" max="2" width="14.625" style="16" customWidth="1"/>
    <col min="3" max="7" width="15.875" style="5" customWidth="1"/>
    <col min="8" max="8" width="15.875" style="17" customWidth="1"/>
    <col min="9" max="9" width="10.875" style="5"/>
    <col min="10" max="10" width="10.875" style="5" customWidth="1"/>
    <col min="11" max="12" width="10.875" style="5" hidden="1" customWidth="1"/>
    <col min="13" max="13" width="0" style="5" hidden="1" customWidth="1"/>
    <col min="14" max="16384" width="10.875" style="5"/>
  </cols>
  <sheetData>
    <row r="1" spans="1:10" customFormat="1" ht="15.95">
      <c r="A1" s="41"/>
      <c r="B1" s="42"/>
      <c r="C1" s="43"/>
      <c r="D1" s="43"/>
      <c r="E1" s="45" t="s">
        <v>25</v>
      </c>
      <c r="F1" s="43"/>
      <c r="G1" s="45" t="s">
        <v>26</v>
      </c>
      <c r="H1" s="44"/>
    </row>
    <row r="2" spans="1:10" ht="18.75">
      <c r="A2" s="30"/>
      <c r="B2" s="19" t="s">
        <v>29</v>
      </c>
      <c r="C2" s="18" t="s">
        <v>30</v>
      </c>
      <c r="D2" s="18" t="s">
        <v>31</v>
      </c>
      <c r="E2" s="18" t="s">
        <v>32</v>
      </c>
      <c r="F2" s="18" t="s">
        <v>33</v>
      </c>
      <c r="G2" s="18" t="s">
        <v>27</v>
      </c>
      <c r="H2" s="18" t="s">
        <v>28</v>
      </c>
    </row>
    <row r="3" spans="1:10" ht="21" customHeight="1">
      <c r="A3" s="31" t="s">
        <v>7</v>
      </c>
      <c r="B3" s="6">
        <f>'AUGUST WK 4'!H3+1</f>
        <v>45893</v>
      </c>
      <c r="C3" s="6">
        <f>B3+1</f>
        <v>45894</v>
      </c>
      <c r="D3" s="6">
        <f t="shared" ref="D3:H3" si="0">C3+1</f>
        <v>45895</v>
      </c>
      <c r="E3" s="6">
        <f t="shared" si="0"/>
        <v>45896</v>
      </c>
      <c r="F3" s="6">
        <f t="shared" si="0"/>
        <v>45897</v>
      </c>
      <c r="G3" s="6">
        <f t="shared" si="0"/>
        <v>45898</v>
      </c>
      <c r="H3" s="6">
        <f t="shared" si="0"/>
        <v>45899</v>
      </c>
    </row>
    <row r="4" spans="1:10" s="7" customFormat="1">
      <c r="A4" s="181" t="s">
        <v>34</v>
      </c>
      <c r="B4" s="181"/>
      <c r="C4" s="181"/>
      <c r="D4" s="181"/>
      <c r="E4" s="181"/>
      <c r="F4" s="181"/>
      <c r="G4" s="181"/>
      <c r="H4" s="181"/>
    </row>
    <row r="5" spans="1:10" s="7" customFormat="1" ht="26.1" customHeight="1">
      <c r="A5" s="32" t="s">
        <v>8</v>
      </c>
      <c r="B5" s="27"/>
      <c r="C5" s="27"/>
      <c r="D5" s="27"/>
      <c r="E5" s="27"/>
      <c r="F5" s="27"/>
      <c r="G5" s="27"/>
      <c r="H5" s="27"/>
    </row>
    <row r="6" spans="1:10" s="7" customFormat="1" ht="26.1" customHeight="1">
      <c r="A6" s="4" t="s">
        <v>23</v>
      </c>
      <c r="B6" s="62"/>
      <c r="C6" s="62"/>
      <c r="D6" s="62"/>
      <c r="E6" s="62"/>
      <c r="F6" s="62"/>
      <c r="G6" s="62"/>
      <c r="H6" s="62"/>
    </row>
    <row r="7" spans="1:10" s="7" customFormat="1" ht="21.95" customHeight="1">
      <c r="A7" s="32" t="s">
        <v>35</v>
      </c>
      <c r="B7" s="27"/>
      <c r="C7" s="28"/>
      <c r="D7" s="28"/>
      <c r="E7" s="28"/>
      <c r="F7" s="28"/>
      <c r="G7" s="28"/>
      <c r="H7" s="27"/>
    </row>
    <row r="8" spans="1:10" s="7" customFormat="1" ht="24.95" customHeight="1" thickBot="1">
      <c r="A8" s="83" t="s">
        <v>36</v>
      </c>
      <c r="B8" s="84">
        <f t="shared" ref="B8:H8" si="1">B5+B6+B7</f>
        <v>0</v>
      </c>
      <c r="C8" s="84">
        <f t="shared" si="1"/>
        <v>0</v>
      </c>
      <c r="D8" s="84">
        <f t="shared" si="1"/>
        <v>0</v>
      </c>
      <c r="E8" s="84">
        <f t="shared" si="1"/>
        <v>0</v>
      </c>
      <c r="F8" s="84">
        <f t="shared" si="1"/>
        <v>0</v>
      </c>
      <c r="G8" s="84">
        <f t="shared" si="1"/>
        <v>0</v>
      </c>
      <c r="H8" s="84">
        <f t="shared" si="1"/>
        <v>0</v>
      </c>
    </row>
    <row r="9" spans="1:10" s="7" customFormat="1" ht="24.95" customHeight="1" thickBot="1">
      <c r="A9" s="33"/>
      <c r="B9" s="29"/>
      <c r="C9" s="29"/>
      <c r="D9" s="29"/>
      <c r="E9" s="29"/>
      <c r="F9" s="29"/>
      <c r="G9" s="63" t="s">
        <v>37</v>
      </c>
      <c r="H9" s="64">
        <f>SUM(B8:H8)</f>
        <v>0</v>
      </c>
    </row>
    <row r="10" spans="1:10" s="7" customFormat="1" ht="21" thickTop="1" thickBot="1">
      <c r="A10" s="182" t="s">
        <v>38</v>
      </c>
      <c r="B10" s="183"/>
      <c r="C10" s="183"/>
      <c r="D10" s="183"/>
      <c r="E10" s="183"/>
      <c r="F10" s="183"/>
      <c r="G10" s="65" t="s">
        <v>39</v>
      </c>
      <c r="H10" s="66">
        <v>-0.08</v>
      </c>
      <c r="I10" s="5"/>
      <c r="J10" s="26"/>
    </row>
    <row r="11" spans="1:10" s="7" customFormat="1" ht="30" customHeight="1">
      <c r="A11" s="39" t="s">
        <v>8</v>
      </c>
      <c r="B11" s="9"/>
      <c r="C11" s="9"/>
      <c r="D11" s="67"/>
      <c r="E11" s="67"/>
      <c r="F11" s="9"/>
      <c r="G11" s="68"/>
      <c r="H11" s="69"/>
    </row>
    <row r="12" spans="1:10" s="7" customFormat="1" ht="30" customHeight="1">
      <c r="A12" s="70" t="s">
        <v>23</v>
      </c>
      <c r="B12" s="59"/>
      <c r="C12" s="58"/>
      <c r="D12" s="58"/>
      <c r="E12" s="58"/>
      <c r="F12" s="58"/>
      <c r="G12" s="58"/>
      <c r="H12" s="59"/>
    </row>
    <row r="13" spans="1:10" s="7" customFormat="1" ht="30" customHeight="1">
      <c r="A13" s="3" t="s">
        <v>35</v>
      </c>
      <c r="B13" s="8"/>
      <c r="C13" s="8"/>
      <c r="D13" s="8"/>
      <c r="E13" s="8"/>
      <c r="F13" s="8"/>
      <c r="G13" s="8"/>
      <c r="H13" s="8"/>
    </row>
    <row r="14" spans="1:10" s="7" customFormat="1" ht="27" customHeight="1" thickBot="1">
      <c r="A14" s="85" t="s">
        <v>36</v>
      </c>
      <c r="B14" s="87">
        <f t="shared" ref="B14:H14" si="2">SUM(B11:B13)</f>
        <v>0</v>
      </c>
      <c r="C14" s="87">
        <f t="shared" si="2"/>
        <v>0</v>
      </c>
      <c r="D14" s="87">
        <f t="shared" si="2"/>
        <v>0</v>
      </c>
      <c r="E14" s="87">
        <f t="shared" si="2"/>
        <v>0</v>
      </c>
      <c r="F14" s="87">
        <f t="shared" si="2"/>
        <v>0</v>
      </c>
      <c r="G14" s="87">
        <f t="shared" si="2"/>
        <v>0</v>
      </c>
      <c r="H14" s="87">
        <f t="shared" si="2"/>
        <v>0</v>
      </c>
    </row>
    <row r="15" spans="1:10" s="7" customFormat="1" ht="24.95" customHeight="1" thickBot="1">
      <c r="A15" s="86" t="s">
        <v>40</v>
      </c>
      <c r="B15" s="92" t="e">
        <f t="shared" ref="B15:H15" si="3">(B14-B8)/B8</f>
        <v>#DIV/0!</v>
      </c>
      <c r="C15" s="93" t="e">
        <f t="shared" si="3"/>
        <v>#DIV/0!</v>
      </c>
      <c r="D15" s="93" t="e">
        <f t="shared" si="3"/>
        <v>#DIV/0!</v>
      </c>
      <c r="E15" s="93" t="e">
        <f t="shared" si="3"/>
        <v>#DIV/0!</v>
      </c>
      <c r="F15" s="93" t="e">
        <f t="shared" si="3"/>
        <v>#DIV/0!</v>
      </c>
      <c r="G15" s="93" t="e">
        <f t="shared" si="3"/>
        <v>#DIV/0!</v>
      </c>
      <c r="H15" s="94" t="e">
        <f t="shared" si="3"/>
        <v>#DIV/0!</v>
      </c>
      <c r="I15" s="71"/>
    </row>
    <row r="16" spans="1:10" ht="24" customHeight="1" thickBot="1">
      <c r="B16" s="88"/>
      <c r="C16" s="88"/>
      <c r="D16" s="88"/>
      <c r="E16" s="88"/>
      <c r="F16" s="89"/>
      <c r="G16" s="90" t="s">
        <v>37</v>
      </c>
      <c r="H16" s="91">
        <f>SUM(B14:H14)</f>
        <v>0</v>
      </c>
    </row>
    <row r="17" spans="1:8" s="7" customFormat="1" ht="21.95" thickTop="1" thickBot="1">
      <c r="A17" s="184" t="s">
        <v>41</v>
      </c>
      <c r="B17" s="185"/>
      <c r="C17" s="185"/>
      <c r="D17" s="185"/>
      <c r="E17" s="185"/>
      <c r="F17" s="185"/>
      <c r="G17" s="72" t="s">
        <v>42</v>
      </c>
      <c r="H17" s="66" t="e">
        <f>(H16-H9)/H9</f>
        <v>#DIV/0!</v>
      </c>
    </row>
    <row r="18" spans="1:8" s="7" customFormat="1" ht="30" customHeight="1">
      <c r="A18" s="35" t="s">
        <v>43</v>
      </c>
      <c r="B18" s="158"/>
      <c r="C18" s="158">
        <v>337</v>
      </c>
      <c r="D18" s="73">
        <v>342</v>
      </c>
      <c r="E18" s="73">
        <v>328</v>
      </c>
      <c r="F18" s="158">
        <v>341</v>
      </c>
      <c r="G18" s="159">
        <v>283</v>
      </c>
      <c r="H18" s="160"/>
    </row>
    <row r="19" spans="1:8" s="7" customFormat="1" ht="30" customHeight="1">
      <c r="A19" s="35" t="s">
        <v>72</v>
      </c>
      <c r="B19" s="12"/>
      <c r="C19" s="12"/>
      <c r="D19" s="73"/>
      <c r="E19" s="73"/>
      <c r="F19" s="12"/>
      <c r="G19" s="24"/>
      <c r="H19" s="74"/>
    </row>
    <row r="20" spans="1:8" s="7" customFormat="1" ht="30" customHeight="1">
      <c r="A20" s="35" t="s">
        <v>73</v>
      </c>
      <c r="B20" s="95"/>
      <c r="C20" s="95">
        <v>0</v>
      </c>
      <c r="D20" s="67"/>
      <c r="E20" s="67"/>
      <c r="F20" s="95"/>
      <c r="G20" s="95"/>
      <c r="H20" s="75"/>
    </row>
    <row r="21" spans="1:8" s="7" customFormat="1" ht="24.95" customHeight="1" thickBot="1">
      <c r="A21" s="36" t="s">
        <v>45</v>
      </c>
      <c r="B21" s="77">
        <f t="shared" ref="B21:H21" si="4">SUM(B18:B20)</f>
        <v>0</v>
      </c>
      <c r="C21" s="77">
        <f t="shared" si="4"/>
        <v>337</v>
      </c>
      <c r="D21" s="133">
        <f t="shared" si="4"/>
        <v>342</v>
      </c>
      <c r="E21" s="133">
        <f t="shared" si="4"/>
        <v>328</v>
      </c>
      <c r="F21" s="77">
        <f t="shared" si="4"/>
        <v>341</v>
      </c>
      <c r="G21" s="77">
        <f t="shared" si="4"/>
        <v>283</v>
      </c>
      <c r="H21" s="77">
        <f t="shared" si="4"/>
        <v>0</v>
      </c>
    </row>
    <row r="22" spans="1:8" s="7" customFormat="1" ht="24.95" customHeight="1" thickBot="1">
      <c r="A22" s="34" t="s">
        <v>40</v>
      </c>
      <c r="B22" s="92" t="e">
        <f>(B21-B5)/B5</f>
        <v>#DIV/0!</v>
      </c>
      <c r="C22" s="93" t="e">
        <f>(C21-C5)/C5</f>
        <v>#DIV/0!</v>
      </c>
      <c r="D22" s="99"/>
      <c r="E22" s="99"/>
      <c r="F22" s="93" t="e">
        <f>(F21-F5)/F5</f>
        <v>#DIV/0!</v>
      </c>
      <c r="G22" s="93" t="e">
        <f>(G21-G5)/G5</f>
        <v>#DIV/0!</v>
      </c>
      <c r="H22" s="94" t="e">
        <f>(H21-H5)/H5</f>
        <v>#DIV/0!</v>
      </c>
    </row>
    <row r="23" spans="1:8" s="7" customFormat="1">
      <c r="A23" s="186" t="s">
        <v>46</v>
      </c>
      <c r="B23" s="187"/>
      <c r="C23" s="187"/>
      <c r="D23" s="187"/>
      <c r="E23" s="187"/>
      <c r="F23" s="188" t="s">
        <v>47</v>
      </c>
      <c r="G23" s="97"/>
      <c r="H23" s="98"/>
    </row>
    <row r="24" spans="1:8" s="7" customFormat="1" ht="30" customHeight="1">
      <c r="A24" s="35" t="s">
        <v>43</v>
      </c>
      <c r="B24" s="11"/>
      <c r="C24" s="12">
        <v>660</v>
      </c>
      <c r="D24" s="12">
        <v>613</v>
      </c>
      <c r="E24" s="12">
        <v>616</v>
      </c>
      <c r="F24" s="12">
        <v>592</v>
      </c>
      <c r="G24" s="12">
        <v>479</v>
      </c>
      <c r="H24" s="11">
        <v>240</v>
      </c>
    </row>
    <row r="25" spans="1:8" s="7" customFormat="1" ht="30" customHeight="1">
      <c r="A25" s="35" t="s">
        <v>72</v>
      </c>
      <c r="B25" s="117"/>
      <c r="C25" s="117"/>
      <c r="D25" s="117"/>
      <c r="E25" s="117"/>
      <c r="F25" s="117"/>
      <c r="G25" s="117"/>
      <c r="H25" s="117"/>
    </row>
    <row r="26" spans="1:8" s="7" customFormat="1" ht="30" customHeight="1">
      <c r="A26" s="35" t="s">
        <v>73</v>
      </c>
      <c r="B26" s="11"/>
      <c r="C26" s="11"/>
      <c r="D26" s="11"/>
      <c r="E26" s="11"/>
      <c r="F26" s="11"/>
      <c r="G26" s="11"/>
      <c r="H26" s="11"/>
    </row>
    <row r="27" spans="1:8" s="7" customFormat="1" ht="27.95" customHeight="1" thickBot="1">
      <c r="A27" s="36" t="s">
        <v>50</v>
      </c>
      <c r="B27" s="100">
        <f>SUM(B24:B26)</f>
        <v>0</v>
      </c>
      <c r="C27" s="100">
        <f t="shared" ref="C27:H27" si="5">C24+C25+C26</f>
        <v>660</v>
      </c>
      <c r="D27" s="100">
        <f t="shared" si="5"/>
        <v>613</v>
      </c>
      <c r="E27" s="100">
        <f t="shared" si="5"/>
        <v>616</v>
      </c>
      <c r="F27" s="100">
        <f t="shared" si="5"/>
        <v>592</v>
      </c>
      <c r="G27" s="100">
        <f t="shared" si="5"/>
        <v>479</v>
      </c>
      <c r="H27" s="100">
        <f t="shared" si="5"/>
        <v>240</v>
      </c>
    </row>
    <row r="28" spans="1:8" s="7" customFormat="1" ht="24.95" customHeight="1" thickBot="1">
      <c r="A28" s="34" t="s">
        <v>40</v>
      </c>
      <c r="B28" s="92" t="e">
        <f t="shared" ref="B28:H28" si="6">(B27-B6)/B6</f>
        <v>#DIV/0!</v>
      </c>
      <c r="C28" s="93" t="e">
        <f t="shared" si="6"/>
        <v>#DIV/0!</v>
      </c>
      <c r="D28" s="93" t="e">
        <f t="shared" si="6"/>
        <v>#DIV/0!</v>
      </c>
      <c r="E28" s="93" t="e">
        <f t="shared" si="6"/>
        <v>#DIV/0!</v>
      </c>
      <c r="F28" s="93" t="e">
        <f t="shared" si="6"/>
        <v>#DIV/0!</v>
      </c>
      <c r="G28" s="93" t="e">
        <f t="shared" si="6"/>
        <v>#DIV/0!</v>
      </c>
      <c r="H28" s="94" t="e">
        <f t="shared" si="6"/>
        <v>#DIV/0!</v>
      </c>
    </row>
    <row r="29" spans="1:8" s="7" customFormat="1">
      <c r="A29" s="189" t="s">
        <v>51</v>
      </c>
      <c r="B29" s="190"/>
      <c r="C29" s="190"/>
      <c r="D29" s="190"/>
      <c r="E29" s="190"/>
      <c r="F29" s="191" t="s">
        <v>35</v>
      </c>
      <c r="G29" s="101"/>
      <c r="H29" s="102"/>
    </row>
    <row r="30" spans="1:8" s="7" customFormat="1" ht="30" customHeight="1">
      <c r="A30" s="35" t="s">
        <v>43</v>
      </c>
      <c r="B30" s="10"/>
      <c r="C30" s="9">
        <v>652</v>
      </c>
      <c r="D30" s="9">
        <v>650</v>
      </c>
      <c r="E30" s="9">
        <v>560</v>
      </c>
      <c r="F30" s="9">
        <v>537</v>
      </c>
      <c r="G30" s="9">
        <v>173</v>
      </c>
      <c r="H30" s="10">
        <v>115</v>
      </c>
    </row>
    <row r="31" spans="1:8" s="7" customFormat="1" ht="30" customHeight="1">
      <c r="A31" s="35" t="s">
        <v>72</v>
      </c>
      <c r="B31" s="60"/>
      <c r="C31" s="60"/>
      <c r="D31" s="60"/>
      <c r="E31" s="60" t="s">
        <v>74</v>
      </c>
      <c r="F31" s="60"/>
      <c r="G31" s="60"/>
      <c r="H31" s="60"/>
    </row>
    <row r="32" spans="1:8" s="7" customFormat="1" ht="30" customHeight="1">
      <c r="A32" s="35" t="s">
        <v>73</v>
      </c>
      <c r="B32" s="10"/>
      <c r="C32" s="10"/>
      <c r="D32" s="10"/>
      <c r="E32" s="10"/>
      <c r="F32" s="10"/>
      <c r="G32" s="10"/>
      <c r="H32" s="10"/>
    </row>
    <row r="33" spans="1:12" s="7" customFormat="1" ht="30.95" customHeight="1" thickBot="1">
      <c r="A33" s="36" t="s">
        <v>53</v>
      </c>
      <c r="B33" s="103">
        <f t="shared" ref="B33:H33" si="7">SUM(B30:B32)</f>
        <v>0</v>
      </c>
      <c r="C33" s="103">
        <f t="shared" si="7"/>
        <v>652</v>
      </c>
      <c r="D33" s="103">
        <f t="shared" si="7"/>
        <v>650</v>
      </c>
      <c r="E33" s="103">
        <f t="shared" si="7"/>
        <v>560</v>
      </c>
      <c r="F33" s="103">
        <f t="shared" si="7"/>
        <v>537</v>
      </c>
      <c r="G33" s="103">
        <f t="shared" si="7"/>
        <v>173</v>
      </c>
      <c r="H33" s="103">
        <f t="shared" si="7"/>
        <v>115</v>
      </c>
    </row>
    <row r="34" spans="1:12" s="7" customFormat="1" ht="24.95" customHeight="1" thickBot="1">
      <c r="A34" s="34" t="s">
        <v>40</v>
      </c>
      <c r="B34" s="92" t="e">
        <f t="shared" ref="B34:H34" si="8">(B33-B7)/B7</f>
        <v>#DIV/0!</v>
      </c>
      <c r="C34" s="93" t="e">
        <f t="shared" si="8"/>
        <v>#DIV/0!</v>
      </c>
      <c r="D34" s="93" t="e">
        <f t="shared" si="8"/>
        <v>#DIV/0!</v>
      </c>
      <c r="E34" s="93" t="e">
        <f t="shared" si="8"/>
        <v>#DIV/0!</v>
      </c>
      <c r="F34" s="93" t="e">
        <f t="shared" si="8"/>
        <v>#DIV/0!</v>
      </c>
      <c r="G34" s="93" t="e">
        <f t="shared" si="8"/>
        <v>#DIV/0!</v>
      </c>
      <c r="H34" s="94" t="e">
        <f t="shared" si="8"/>
        <v>#DIV/0!</v>
      </c>
    </row>
    <row r="35" spans="1:12" s="7" customFormat="1">
      <c r="A35" s="192" t="s">
        <v>54</v>
      </c>
      <c r="B35" s="193"/>
      <c r="C35" s="193"/>
      <c r="D35" s="193"/>
      <c r="E35" s="193"/>
      <c r="F35" s="194" t="s">
        <v>35</v>
      </c>
      <c r="G35" s="104"/>
      <c r="H35" s="105"/>
    </row>
    <row r="36" spans="1:12" s="7" customFormat="1" ht="30.95" customHeight="1" thickBot="1">
      <c r="A36" s="78" t="s">
        <v>55</v>
      </c>
      <c r="B36" s="77">
        <f t="shared" ref="B36:H36" si="9">B33+B27+B21</f>
        <v>0</v>
      </c>
      <c r="C36" s="77">
        <f t="shared" si="9"/>
        <v>1649</v>
      </c>
      <c r="D36" s="77">
        <f t="shared" si="9"/>
        <v>1605</v>
      </c>
      <c r="E36" s="77">
        <f t="shared" si="9"/>
        <v>1504</v>
      </c>
      <c r="F36" s="77">
        <f t="shared" si="9"/>
        <v>1470</v>
      </c>
      <c r="G36" s="77">
        <f t="shared" si="9"/>
        <v>935</v>
      </c>
      <c r="H36" s="77">
        <f t="shared" si="9"/>
        <v>355</v>
      </c>
    </row>
    <row r="37" spans="1:12" s="7" customFormat="1" ht="24.95" customHeight="1" thickBot="1">
      <c r="A37" s="34" t="s">
        <v>40</v>
      </c>
      <c r="B37" s="92" t="e">
        <f t="shared" ref="B37:H37" si="10">(B36-B8)/B8</f>
        <v>#DIV/0!</v>
      </c>
      <c r="C37" s="93" t="e">
        <f t="shared" si="10"/>
        <v>#DIV/0!</v>
      </c>
      <c r="D37" s="93" t="e">
        <f t="shared" si="10"/>
        <v>#DIV/0!</v>
      </c>
      <c r="E37" s="93" t="e">
        <f t="shared" si="10"/>
        <v>#DIV/0!</v>
      </c>
      <c r="F37" s="93" t="e">
        <f t="shared" si="10"/>
        <v>#DIV/0!</v>
      </c>
      <c r="G37" s="93" t="e">
        <f t="shared" si="10"/>
        <v>#DIV/0!</v>
      </c>
      <c r="H37" s="94" t="e">
        <f t="shared" si="10"/>
        <v>#DIV/0!</v>
      </c>
    </row>
    <row r="38" spans="1:12" ht="24" customHeight="1" thickBot="1">
      <c r="A38" s="195"/>
      <c r="B38" s="196"/>
      <c r="C38" s="196"/>
      <c r="D38" s="196"/>
      <c r="E38" s="196"/>
      <c r="F38" s="196"/>
      <c r="G38" s="106" t="s">
        <v>37</v>
      </c>
      <c r="H38" s="107">
        <f>SUM(B36:H36)</f>
        <v>7518</v>
      </c>
    </row>
    <row r="39" spans="1:12" s="7" customFormat="1" ht="24.95" customHeight="1" thickTop="1">
      <c r="A39" s="37"/>
      <c r="B39" s="25"/>
      <c r="C39" s="25"/>
      <c r="D39" s="25"/>
      <c r="E39" s="25"/>
      <c r="F39" s="25"/>
      <c r="G39" s="79" t="s">
        <v>40</v>
      </c>
      <c r="H39" s="80" t="e">
        <f>(H38-H9)/H9</f>
        <v>#DIV/0!</v>
      </c>
    </row>
    <row r="40" spans="1:12" s="7" customFormat="1" ht="24.95" customHeight="1" thickBot="1">
      <c r="A40" s="37"/>
      <c r="B40" s="25"/>
      <c r="C40" s="25"/>
      <c r="D40" s="25"/>
      <c r="E40" s="25"/>
      <c r="F40" s="25"/>
      <c r="G40" s="81" t="s">
        <v>56</v>
      </c>
      <c r="H40" s="82" t="e">
        <f>(H38-H16)/H16</f>
        <v>#DIV/0!</v>
      </c>
    </row>
    <row r="41" spans="1:12" s="46" customFormat="1" ht="23.1" customHeight="1">
      <c r="A41" s="40"/>
      <c r="B41" s="47" t="s">
        <v>57</v>
      </c>
      <c r="C41" s="197" t="s">
        <v>58</v>
      </c>
      <c r="D41" s="197"/>
      <c r="E41" s="197"/>
      <c r="F41" s="197"/>
      <c r="G41" s="198">
        <v>2020</v>
      </c>
      <c r="H41" s="199"/>
      <c r="L41" s="56" t="s">
        <v>59</v>
      </c>
    </row>
    <row r="42" spans="1:12" ht="40.5" customHeight="1">
      <c r="A42" s="1" t="s">
        <v>60</v>
      </c>
      <c r="B42" s="57" t="s">
        <v>59</v>
      </c>
      <c r="C42" s="180" t="s">
        <v>75</v>
      </c>
      <c r="D42" s="180"/>
      <c r="E42" s="180"/>
      <c r="F42" s="180"/>
      <c r="G42" s="178"/>
      <c r="H42" s="179"/>
      <c r="L42" s="7" t="s">
        <v>61</v>
      </c>
    </row>
    <row r="43" spans="1:12" ht="33" customHeight="1">
      <c r="A43" s="1" t="s">
        <v>1</v>
      </c>
      <c r="B43" s="57" t="s">
        <v>59</v>
      </c>
      <c r="C43" s="180" t="s">
        <v>76</v>
      </c>
      <c r="D43" s="180"/>
      <c r="E43" s="180"/>
      <c r="F43" s="180"/>
      <c r="G43" s="178"/>
      <c r="H43" s="179"/>
      <c r="L43" s="5" t="s">
        <v>62</v>
      </c>
    </row>
    <row r="44" spans="1:12" ht="30" customHeight="1">
      <c r="A44" s="1" t="s">
        <v>2</v>
      </c>
      <c r="B44" s="57" t="s">
        <v>59</v>
      </c>
      <c r="C44" s="175" t="s">
        <v>77</v>
      </c>
      <c r="D44" s="175"/>
      <c r="E44" s="175"/>
      <c r="F44" s="175"/>
      <c r="G44" s="178"/>
      <c r="H44" s="179"/>
      <c r="L44" s="5" t="s">
        <v>63</v>
      </c>
    </row>
    <row r="45" spans="1:12" ht="23.25" customHeight="1">
      <c r="A45" s="1" t="s">
        <v>3</v>
      </c>
      <c r="B45" s="57" t="s">
        <v>59</v>
      </c>
      <c r="C45" s="175"/>
      <c r="D45" s="175"/>
      <c r="E45" s="175"/>
      <c r="F45" s="175"/>
      <c r="G45" s="176"/>
      <c r="H45" s="177"/>
      <c r="L45" s="5" t="s">
        <v>64</v>
      </c>
    </row>
    <row r="46" spans="1:12" ht="24.75" customHeight="1">
      <c r="A46" s="1" t="s">
        <v>4</v>
      </c>
      <c r="B46" s="57" t="s">
        <v>59</v>
      </c>
      <c r="C46" s="175"/>
      <c r="D46" s="175"/>
      <c r="E46" s="175"/>
      <c r="F46" s="175"/>
      <c r="G46" s="178"/>
      <c r="H46" s="179"/>
    </row>
    <row r="47" spans="1:12" ht="30" customHeight="1">
      <c r="A47" s="1" t="s">
        <v>5</v>
      </c>
      <c r="B47" s="57" t="s">
        <v>59</v>
      </c>
      <c r="C47" s="175" t="s">
        <v>78</v>
      </c>
      <c r="D47" s="175"/>
      <c r="E47" s="175"/>
      <c r="F47" s="175"/>
      <c r="G47" s="176"/>
      <c r="H47" s="177"/>
    </row>
    <row r="48" spans="1:12" ht="36.75" customHeight="1">
      <c r="A48" s="1" t="s">
        <v>6</v>
      </c>
      <c r="B48" s="57" t="s">
        <v>59</v>
      </c>
      <c r="C48" s="175" t="s">
        <v>79</v>
      </c>
      <c r="D48" s="175"/>
      <c r="E48" s="175"/>
      <c r="F48" s="175"/>
      <c r="G48" s="176"/>
      <c r="H48" s="177"/>
    </row>
    <row r="49" spans="1:8" ht="20.25" customHeight="1">
      <c r="A49" s="1"/>
      <c r="B49" s="14"/>
      <c r="C49" s="175"/>
      <c r="D49" s="175"/>
      <c r="E49" s="175"/>
      <c r="F49" s="175"/>
      <c r="G49" s="176"/>
      <c r="H49" s="177"/>
    </row>
    <row r="50" spans="1:8" ht="19.5" customHeight="1">
      <c r="A50" s="2"/>
      <c r="B50" s="14"/>
      <c r="C50" s="175"/>
      <c r="D50" s="175"/>
      <c r="E50" s="175"/>
      <c r="F50" s="175"/>
      <c r="G50" s="176"/>
      <c r="H50" s="177"/>
    </row>
    <row r="51" spans="1:8">
      <c r="A51" s="30"/>
      <c r="B51" s="18" t="s">
        <v>27</v>
      </c>
      <c r="C51" s="18" t="s">
        <v>28</v>
      </c>
      <c r="D51" s="18" t="s">
        <v>65</v>
      </c>
      <c r="E51" s="18" t="s">
        <v>30</v>
      </c>
      <c r="F51" s="18" t="s">
        <v>66</v>
      </c>
      <c r="G51" s="18" t="s">
        <v>32</v>
      </c>
      <c r="H51" s="18" t="s">
        <v>33</v>
      </c>
    </row>
    <row r="52" spans="1:8">
      <c r="A52" s="38" t="s">
        <v>67</v>
      </c>
      <c r="B52" s="108"/>
      <c r="C52" s="109"/>
      <c r="D52" s="20"/>
      <c r="E52" s="20"/>
      <c r="F52" s="20"/>
      <c r="G52" s="20"/>
      <c r="H52" s="15"/>
    </row>
    <row r="53" spans="1:8" customFormat="1" ht="15.95">
      <c r="A53" s="48" t="s">
        <v>68</v>
      </c>
      <c r="B53" s="22"/>
      <c r="C53" s="21"/>
      <c r="D53" s="21"/>
      <c r="E53" s="21"/>
      <c r="F53" s="21"/>
      <c r="G53" s="23" t="s">
        <v>37</v>
      </c>
      <c r="H53" s="23">
        <f>SUM(B52:H52)</f>
        <v>0</v>
      </c>
    </row>
    <row r="54" spans="1:8">
      <c r="A54" s="30"/>
      <c r="B54" s="18" t="s">
        <v>27</v>
      </c>
      <c r="C54" s="18" t="s">
        <v>28</v>
      </c>
      <c r="D54" s="18" t="s">
        <v>65</v>
      </c>
      <c r="E54" s="18" t="s">
        <v>30</v>
      </c>
      <c r="F54" s="18" t="s">
        <v>66</v>
      </c>
      <c r="G54" s="18" t="s">
        <v>32</v>
      </c>
      <c r="H54" s="18" t="s">
        <v>33</v>
      </c>
    </row>
    <row r="55" spans="1:8">
      <c r="A55" s="38" t="s">
        <v>69</v>
      </c>
      <c r="B55" s="51"/>
      <c r="C55" s="52"/>
      <c r="D55" s="52"/>
      <c r="E55" s="52"/>
      <c r="F55" s="52"/>
      <c r="G55" s="20"/>
      <c r="H55" s="15"/>
    </row>
    <row r="56" spans="1:8" customFormat="1" ht="15.95">
      <c r="A56" s="49" t="s">
        <v>70</v>
      </c>
      <c r="B56" s="53"/>
      <c r="C56" s="53" t="s">
        <v>71</v>
      </c>
      <c r="D56" s="54"/>
      <c r="E56" s="54"/>
      <c r="F56" s="55"/>
      <c r="G56" s="50" t="s">
        <v>37</v>
      </c>
      <c r="H56" s="23"/>
    </row>
    <row r="57" spans="1:8">
      <c r="H57" s="16"/>
    </row>
    <row r="58" spans="1:8">
      <c r="H58" s="16"/>
    </row>
    <row r="59" spans="1:8">
      <c r="H59" s="16"/>
    </row>
    <row r="60" spans="1:8">
      <c r="H60" s="16"/>
    </row>
    <row r="61" spans="1:8">
      <c r="H61" s="16"/>
    </row>
    <row r="62" spans="1:8">
      <c r="H62" s="16"/>
    </row>
    <row r="63" spans="1:8">
      <c r="H63" s="16"/>
    </row>
    <row r="64" spans="1:8">
      <c r="B64" s="5"/>
      <c r="H64" s="16"/>
    </row>
    <row r="65" spans="2:8">
      <c r="B65" s="5"/>
      <c r="H65" s="16"/>
    </row>
    <row r="66" spans="2:8">
      <c r="B66" s="5"/>
      <c r="H66" s="16"/>
    </row>
    <row r="67" spans="2:8">
      <c r="B67" s="5"/>
      <c r="H67" s="16"/>
    </row>
    <row r="68" spans="2:8">
      <c r="B68" s="5"/>
      <c r="H68" s="16"/>
    </row>
    <row r="69" spans="2:8">
      <c r="B69" s="5"/>
      <c r="H69" s="16"/>
    </row>
    <row r="70" spans="2:8">
      <c r="B70" s="5"/>
      <c r="H70" s="16"/>
    </row>
    <row r="71" spans="2:8">
      <c r="B71" s="5"/>
      <c r="H71" s="16"/>
    </row>
    <row r="72" spans="2:8">
      <c r="B72" s="5"/>
      <c r="H72" s="16"/>
    </row>
    <row r="73" spans="2:8">
      <c r="B73" s="5"/>
      <c r="H73" s="16"/>
    </row>
    <row r="74" spans="2:8">
      <c r="B74" s="5"/>
      <c r="H74" s="16"/>
    </row>
    <row r="75" spans="2:8">
      <c r="B75" s="5"/>
      <c r="H75" s="16"/>
    </row>
    <row r="76" spans="2:8">
      <c r="B76" s="5"/>
      <c r="H76" s="16"/>
    </row>
    <row r="77" spans="2:8">
      <c r="B77" s="5"/>
      <c r="H77" s="16"/>
    </row>
    <row r="78" spans="2:8">
      <c r="B78" s="5"/>
      <c r="H78" s="16"/>
    </row>
    <row r="79" spans="2:8">
      <c r="B79" s="5"/>
      <c r="H79" s="16"/>
    </row>
    <row r="80" spans="2:8">
      <c r="B80" s="5"/>
      <c r="H80" s="16"/>
    </row>
    <row r="81" spans="2:8">
      <c r="B81" s="5"/>
      <c r="H81" s="16"/>
    </row>
    <row r="82" spans="2:8">
      <c r="B82" s="5"/>
      <c r="H82" s="16"/>
    </row>
    <row r="83" spans="2:8">
      <c r="B83" s="5"/>
      <c r="H83" s="16"/>
    </row>
    <row r="84" spans="2:8">
      <c r="B84" s="5"/>
      <c r="H84" s="16"/>
    </row>
    <row r="85" spans="2:8">
      <c r="B85" s="5"/>
      <c r="H85" s="16"/>
    </row>
    <row r="86" spans="2:8">
      <c r="B86" s="5"/>
      <c r="H86" s="16"/>
    </row>
    <row r="87" spans="2:8">
      <c r="B87" s="5"/>
      <c r="H87" s="16"/>
    </row>
    <row r="88" spans="2:8">
      <c r="B88" s="5"/>
      <c r="H88" s="16"/>
    </row>
    <row r="89" spans="2:8">
      <c r="B89" s="5"/>
      <c r="H89" s="16"/>
    </row>
    <row r="90" spans="2:8">
      <c r="B90" s="5"/>
      <c r="H90" s="16"/>
    </row>
    <row r="91" spans="2:8">
      <c r="B91" s="5"/>
      <c r="H91" s="16"/>
    </row>
    <row r="92" spans="2:8">
      <c r="B92" s="5"/>
      <c r="H92" s="16"/>
    </row>
    <row r="93" spans="2:8">
      <c r="B93" s="5"/>
      <c r="H93" s="16"/>
    </row>
    <row r="94" spans="2:8">
      <c r="B94" s="5"/>
      <c r="H94" s="16"/>
    </row>
    <row r="95" spans="2:8">
      <c r="B95" s="5"/>
      <c r="H95" s="16"/>
    </row>
    <row r="96" spans="2:8">
      <c r="B96" s="5"/>
      <c r="H96" s="16"/>
    </row>
    <row r="97" spans="2:8">
      <c r="B97" s="5"/>
      <c r="H97" s="16"/>
    </row>
    <row r="98" spans="2:8">
      <c r="B98" s="5"/>
      <c r="H98" s="16"/>
    </row>
    <row r="99" spans="2:8">
      <c r="B99" s="5"/>
      <c r="H99" s="16"/>
    </row>
    <row r="100" spans="2:8">
      <c r="B100" s="5"/>
      <c r="H100" s="16"/>
    </row>
    <row r="101" spans="2:8">
      <c r="B101" s="5"/>
      <c r="H101" s="16"/>
    </row>
    <row r="102" spans="2:8">
      <c r="B102" s="5"/>
      <c r="H102" s="16"/>
    </row>
    <row r="103" spans="2:8">
      <c r="B103" s="5"/>
      <c r="H103" s="16"/>
    </row>
    <row r="104" spans="2:8">
      <c r="B104" s="5"/>
      <c r="H104" s="16"/>
    </row>
    <row r="105" spans="2:8">
      <c r="B105" s="5"/>
      <c r="H105" s="16"/>
    </row>
    <row r="106" spans="2:8">
      <c r="B106" s="5"/>
      <c r="H106" s="16"/>
    </row>
    <row r="107" spans="2:8">
      <c r="B107" s="5"/>
      <c r="H107" s="16"/>
    </row>
    <row r="108" spans="2:8">
      <c r="B108" s="5"/>
      <c r="H108" s="16"/>
    </row>
    <row r="109" spans="2:8">
      <c r="B109" s="5"/>
      <c r="H109" s="16"/>
    </row>
    <row r="110" spans="2:8">
      <c r="B110" s="5"/>
      <c r="H110" s="16"/>
    </row>
    <row r="111" spans="2:8">
      <c r="B111" s="5"/>
      <c r="H111" s="16"/>
    </row>
    <row r="112" spans="2:8">
      <c r="B112" s="5"/>
      <c r="H112" s="16"/>
    </row>
    <row r="113" spans="2:8">
      <c r="B113" s="5"/>
      <c r="H113" s="16"/>
    </row>
    <row r="114" spans="2:8">
      <c r="B114" s="5"/>
      <c r="H114" s="16"/>
    </row>
    <row r="115" spans="2:8">
      <c r="B115" s="5"/>
      <c r="H115" s="16"/>
    </row>
    <row r="116" spans="2:8">
      <c r="B116" s="5"/>
      <c r="H116" s="16"/>
    </row>
    <row r="117" spans="2:8">
      <c r="B117" s="5"/>
      <c r="H117" s="16"/>
    </row>
    <row r="118" spans="2:8">
      <c r="B118" s="5"/>
      <c r="H118" s="16"/>
    </row>
    <row r="119" spans="2:8">
      <c r="B119" s="5"/>
      <c r="H119" s="16"/>
    </row>
    <row r="120" spans="2:8">
      <c r="B120" s="5"/>
      <c r="H120" s="16"/>
    </row>
    <row r="121" spans="2:8">
      <c r="B121" s="5"/>
      <c r="H121" s="16"/>
    </row>
    <row r="122" spans="2:8">
      <c r="B122" s="5"/>
      <c r="H122" s="16"/>
    </row>
    <row r="123" spans="2:8">
      <c r="B123" s="5"/>
      <c r="H123" s="16"/>
    </row>
    <row r="124" spans="2:8">
      <c r="B124" s="5"/>
      <c r="H124" s="16"/>
    </row>
    <row r="125" spans="2:8">
      <c r="B125" s="5"/>
      <c r="H125" s="16"/>
    </row>
    <row r="126" spans="2:8">
      <c r="B126" s="5"/>
      <c r="H126" s="16"/>
    </row>
    <row r="127" spans="2:8">
      <c r="B127" s="5"/>
      <c r="H127" s="16"/>
    </row>
    <row r="128" spans="2:8">
      <c r="B128" s="5"/>
      <c r="H128" s="16"/>
    </row>
    <row r="129" spans="2:8">
      <c r="B129" s="5"/>
      <c r="H129" s="16"/>
    </row>
    <row r="130" spans="2:8">
      <c r="B130" s="5"/>
      <c r="H130" s="16"/>
    </row>
    <row r="131" spans="2:8">
      <c r="B131" s="5"/>
      <c r="H131" s="16"/>
    </row>
    <row r="132" spans="2:8">
      <c r="B132" s="5"/>
      <c r="H132" s="16"/>
    </row>
    <row r="133" spans="2:8">
      <c r="B133" s="5"/>
      <c r="H133" s="16"/>
    </row>
    <row r="134" spans="2:8">
      <c r="B134" s="5"/>
      <c r="H134" s="16"/>
    </row>
    <row r="135" spans="2:8">
      <c r="B135" s="5"/>
      <c r="H135" s="16"/>
    </row>
    <row r="136" spans="2:8">
      <c r="B136" s="5"/>
      <c r="H136" s="16"/>
    </row>
    <row r="137" spans="2:8">
      <c r="B137" s="5"/>
      <c r="H137" s="16"/>
    </row>
    <row r="138" spans="2:8">
      <c r="B138" s="5"/>
      <c r="H138" s="16"/>
    </row>
    <row r="139" spans="2:8">
      <c r="B139" s="5"/>
      <c r="H139" s="16"/>
    </row>
    <row r="140" spans="2:8">
      <c r="B140" s="5"/>
      <c r="H140" s="16"/>
    </row>
    <row r="141" spans="2:8">
      <c r="B141" s="5"/>
      <c r="H141" s="16"/>
    </row>
    <row r="142" spans="2:8">
      <c r="B142" s="5"/>
      <c r="H142" s="16"/>
    </row>
    <row r="143" spans="2:8">
      <c r="B143" s="5"/>
      <c r="H143" s="16"/>
    </row>
    <row r="144" spans="2:8">
      <c r="B144" s="5"/>
      <c r="H144" s="16"/>
    </row>
    <row r="145" spans="2:8">
      <c r="B145" s="5"/>
      <c r="H145" s="16"/>
    </row>
    <row r="146" spans="2:8">
      <c r="B146" s="5"/>
      <c r="H146" s="16"/>
    </row>
    <row r="147" spans="2:8">
      <c r="B147" s="5"/>
      <c r="H147" s="16"/>
    </row>
    <row r="148" spans="2:8">
      <c r="B148" s="5"/>
      <c r="H148" s="16"/>
    </row>
    <row r="149" spans="2:8">
      <c r="B149" s="5"/>
      <c r="H149" s="16"/>
    </row>
    <row r="150" spans="2:8">
      <c r="B150" s="5"/>
      <c r="H150" s="16"/>
    </row>
    <row r="151" spans="2:8">
      <c r="B151" s="5"/>
      <c r="H151" s="16"/>
    </row>
    <row r="152" spans="2:8">
      <c r="B152" s="5"/>
      <c r="H152" s="16"/>
    </row>
    <row r="153" spans="2:8">
      <c r="B153" s="5"/>
      <c r="H153" s="16"/>
    </row>
    <row r="154" spans="2:8">
      <c r="B154" s="5"/>
      <c r="H154" s="16"/>
    </row>
    <row r="155" spans="2:8">
      <c r="B155" s="5"/>
      <c r="H155" s="16"/>
    </row>
    <row r="156" spans="2:8">
      <c r="B156" s="5"/>
      <c r="H156" s="16"/>
    </row>
    <row r="157" spans="2:8">
      <c r="B157" s="5"/>
      <c r="H157" s="16"/>
    </row>
    <row r="158" spans="2:8">
      <c r="B158" s="5"/>
      <c r="H158" s="16"/>
    </row>
    <row r="159" spans="2:8">
      <c r="B159" s="5"/>
      <c r="H159" s="16"/>
    </row>
    <row r="160" spans="2:8">
      <c r="B160" s="5"/>
      <c r="H160" s="16"/>
    </row>
    <row r="161" spans="2:8">
      <c r="B161" s="5"/>
      <c r="H161" s="16"/>
    </row>
    <row r="162" spans="2:8">
      <c r="B162" s="5"/>
      <c r="H162" s="16"/>
    </row>
    <row r="163" spans="2:8">
      <c r="B163" s="5"/>
      <c r="H163" s="16"/>
    </row>
    <row r="164" spans="2:8">
      <c r="B164" s="5"/>
      <c r="H164" s="16"/>
    </row>
    <row r="165" spans="2:8">
      <c r="B165" s="5"/>
      <c r="H165" s="16"/>
    </row>
    <row r="166" spans="2:8">
      <c r="B166" s="5"/>
      <c r="H166" s="16"/>
    </row>
    <row r="167" spans="2:8">
      <c r="B167" s="5"/>
      <c r="H167" s="16"/>
    </row>
    <row r="168" spans="2:8">
      <c r="B168" s="5"/>
      <c r="H168" s="16"/>
    </row>
    <row r="169" spans="2:8">
      <c r="B169" s="5"/>
      <c r="H169" s="16"/>
    </row>
    <row r="170" spans="2:8">
      <c r="B170" s="5"/>
      <c r="H170" s="16"/>
    </row>
    <row r="171" spans="2:8">
      <c r="B171" s="5"/>
      <c r="H171" s="16"/>
    </row>
    <row r="172" spans="2:8">
      <c r="B172" s="5"/>
      <c r="H172" s="16"/>
    </row>
    <row r="173" spans="2:8">
      <c r="B173" s="5"/>
      <c r="H173" s="16"/>
    </row>
    <row r="174" spans="2:8">
      <c r="B174" s="5"/>
      <c r="H174" s="16"/>
    </row>
    <row r="175" spans="2:8">
      <c r="B175" s="5"/>
      <c r="H175" s="16"/>
    </row>
    <row r="176" spans="2:8">
      <c r="B176" s="5"/>
      <c r="H176" s="16"/>
    </row>
    <row r="177" spans="2:8">
      <c r="B177" s="5"/>
      <c r="H177" s="16"/>
    </row>
    <row r="178" spans="2:8">
      <c r="B178" s="5"/>
      <c r="H178" s="16"/>
    </row>
    <row r="179" spans="2:8">
      <c r="B179" s="5"/>
      <c r="H179" s="16"/>
    </row>
    <row r="180" spans="2:8">
      <c r="B180" s="5"/>
      <c r="H180" s="16"/>
    </row>
    <row r="181" spans="2:8">
      <c r="B181" s="5"/>
      <c r="H181" s="16"/>
    </row>
    <row r="182" spans="2:8">
      <c r="B182" s="5"/>
      <c r="H182" s="16"/>
    </row>
    <row r="183" spans="2:8">
      <c r="B183" s="5"/>
      <c r="H183" s="16"/>
    </row>
    <row r="184" spans="2:8">
      <c r="B184" s="5"/>
      <c r="H184" s="16"/>
    </row>
    <row r="185" spans="2:8">
      <c r="B185" s="5"/>
      <c r="H185" s="16"/>
    </row>
    <row r="186" spans="2:8">
      <c r="B186" s="5"/>
      <c r="H186" s="16"/>
    </row>
    <row r="187" spans="2:8">
      <c r="B187" s="5"/>
      <c r="H187" s="16"/>
    </row>
    <row r="188" spans="2:8">
      <c r="B188" s="5"/>
      <c r="H188" s="16"/>
    </row>
    <row r="189" spans="2:8">
      <c r="B189" s="5"/>
      <c r="H189" s="16"/>
    </row>
    <row r="190" spans="2:8">
      <c r="B190" s="5"/>
      <c r="H190" s="16"/>
    </row>
    <row r="191" spans="2:8">
      <c r="B191" s="5"/>
      <c r="H191" s="16"/>
    </row>
    <row r="192" spans="2:8">
      <c r="B192" s="5"/>
      <c r="H192" s="16"/>
    </row>
    <row r="193" spans="2:8">
      <c r="B193" s="5"/>
      <c r="H193" s="16"/>
    </row>
    <row r="194" spans="2:8">
      <c r="B194" s="5"/>
      <c r="H194" s="16"/>
    </row>
    <row r="195" spans="2:8">
      <c r="B195" s="5"/>
      <c r="H195" s="16"/>
    </row>
    <row r="196" spans="2:8">
      <c r="B196" s="5"/>
      <c r="H196" s="16"/>
    </row>
    <row r="197" spans="2:8">
      <c r="B197" s="5"/>
      <c r="H197" s="16"/>
    </row>
    <row r="198" spans="2:8">
      <c r="B198" s="5"/>
      <c r="H198" s="16"/>
    </row>
    <row r="199" spans="2:8">
      <c r="B199" s="5"/>
      <c r="H199" s="16"/>
    </row>
    <row r="200" spans="2:8">
      <c r="B200" s="5"/>
      <c r="H200" s="16"/>
    </row>
    <row r="201" spans="2:8">
      <c r="B201" s="5"/>
      <c r="H201" s="16"/>
    </row>
    <row r="202" spans="2:8">
      <c r="B202" s="5"/>
      <c r="H202" s="16"/>
    </row>
    <row r="203" spans="2:8">
      <c r="B203" s="5"/>
      <c r="H203" s="16"/>
    </row>
    <row r="204" spans="2:8">
      <c r="B204" s="5"/>
      <c r="H204" s="16"/>
    </row>
    <row r="205" spans="2:8">
      <c r="B205" s="5"/>
      <c r="H205" s="16"/>
    </row>
    <row r="206" spans="2:8">
      <c r="B206" s="5"/>
      <c r="H206" s="16"/>
    </row>
    <row r="207" spans="2:8">
      <c r="B207" s="5"/>
      <c r="H207" s="16"/>
    </row>
    <row r="208" spans="2:8">
      <c r="B208" s="5"/>
      <c r="H208" s="16"/>
    </row>
    <row r="209" spans="2:8">
      <c r="B209" s="5"/>
      <c r="H209" s="16"/>
    </row>
    <row r="210" spans="2:8">
      <c r="B210" s="5"/>
      <c r="H210" s="16"/>
    </row>
    <row r="211" spans="2:8">
      <c r="B211" s="5"/>
      <c r="H211" s="16"/>
    </row>
    <row r="212" spans="2:8">
      <c r="B212" s="5"/>
      <c r="H212" s="16"/>
    </row>
    <row r="213" spans="2:8">
      <c r="B213" s="5"/>
      <c r="H213" s="16"/>
    </row>
    <row r="214" spans="2:8">
      <c r="B214" s="5"/>
      <c r="H214" s="16"/>
    </row>
    <row r="215" spans="2:8">
      <c r="B215" s="5"/>
      <c r="H215" s="16"/>
    </row>
    <row r="216" spans="2:8">
      <c r="B216" s="5"/>
      <c r="H216" s="16"/>
    </row>
    <row r="217" spans="2:8">
      <c r="B217" s="5"/>
      <c r="H217" s="16"/>
    </row>
    <row r="218" spans="2:8">
      <c r="B218" s="5"/>
      <c r="H218" s="16"/>
    </row>
    <row r="219" spans="2:8">
      <c r="B219" s="5"/>
      <c r="H219" s="16"/>
    </row>
    <row r="220" spans="2:8">
      <c r="B220" s="5"/>
      <c r="H220" s="16"/>
    </row>
    <row r="221" spans="2:8">
      <c r="B221" s="5"/>
      <c r="H221" s="16"/>
    </row>
    <row r="222" spans="2:8">
      <c r="B222" s="5"/>
      <c r="H222" s="16"/>
    </row>
    <row r="223" spans="2:8">
      <c r="B223" s="5"/>
      <c r="H223" s="16"/>
    </row>
    <row r="224" spans="2:8">
      <c r="B224" s="5"/>
      <c r="H224" s="16"/>
    </row>
    <row r="225" spans="2:8">
      <c r="B225" s="5"/>
      <c r="H225" s="16"/>
    </row>
    <row r="226" spans="2:8">
      <c r="B226" s="5"/>
      <c r="H226" s="16"/>
    </row>
    <row r="227" spans="2:8">
      <c r="B227" s="5"/>
      <c r="H227" s="16"/>
    </row>
    <row r="228" spans="2:8">
      <c r="B228" s="5"/>
      <c r="H228" s="16"/>
    </row>
    <row r="229" spans="2:8">
      <c r="B229" s="5"/>
      <c r="H229" s="16"/>
    </row>
    <row r="230" spans="2:8">
      <c r="B230" s="5"/>
      <c r="H230" s="16"/>
    </row>
    <row r="231" spans="2:8">
      <c r="B231" s="5"/>
      <c r="H231" s="16"/>
    </row>
    <row r="232" spans="2:8">
      <c r="B232" s="5"/>
      <c r="H232" s="16"/>
    </row>
    <row r="233" spans="2:8">
      <c r="B233" s="5"/>
      <c r="H233" s="16"/>
    </row>
    <row r="234" spans="2:8">
      <c r="B234" s="5"/>
      <c r="H234" s="16"/>
    </row>
    <row r="235" spans="2:8">
      <c r="B235" s="5"/>
      <c r="H235" s="16"/>
    </row>
    <row r="236" spans="2:8">
      <c r="B236" s="5"/>
      <c r="H236" s="16"/>
    </row>
    <row r="237" spans="2:8">
      <c r="B237" s="5"/>
      <c r="H237" s="16"/>
    </row>
    <row r="238" spans="2:8">
      <c r="B238" s="5"/>
      <c r="H238" s="16"/>
    </row>
    <row r="239" spans="2:8">
      <c r="B239" s="5"/>
      <c r="H239" s="16"/>
    </row>
    <row r="240" spans="2:8">
      <c r="B240" s="5"/>
      <c r="H240" s="16"/>
    </row>
    <row r="241" spans="2:8">
      <c r="B241" s="5"/>
      <c r="H241" s="16"/>
    </row>
    <row r="242" spans="2:8">
      <c r="B242" s="5"/>
      <c r="H242" s="16"/>
    </row>
    <row r="243" spans="2:8">
      <c r="B243" s="5"/>
      <c r="H243" s="16"/>
    </row>
    <row r="244" spans="2:8">
      <c r="B244" s="5"/>
      <c r="H244" s="16"/>
    </row>
    <row r="245" spans="2:8">
      <c r="B245" s="5"/>
      <c r="H245" s="16"/>
    </row>
    <row r="246" spans="2:8">
      <c r="B246" s="5"/>
      <c r="H246" s="16"/>
    </row>
    <row r="247" spans="2:8">
      <c r="B247" s="5"/>
      <c r="H247" s="16"/>
    </row>
    <row r="248" spans="2:8">
      <c r="B248" s="5"/>
      <c r="H248" s="16"/>
    </row>
    <row r="249" spans="2:8">
      <c r="B249" s="5"/>
      <c r="H249" s="16"/>
    </row>
    <row r="250" spans="2:8">
      <c r="B250" s="5"/>
      <c r="H250" s="16"/>
    </row>
    <row r="251" spans="2:8">
      <c r="B251" s="5"/>
      <c r="H251" s="16"/>
    </row>
    <row r="252" spans="2:8">
      <c r="B252" s="5"/>
      <c r="H252" s="16"/>
    </row>
    <row r="253" spans="2:8">
      <c r="B253" s="5"/>
      <c r="H253" s="16"/>
    </row>
    <row r="254" spans="2:8">
      <c r="B254" s="5"/>
      <c r="H254" s="16"/>
    </row>
    <row r="255" spans="2:8">
      <c r="B255" s="5"/>
      <c r="H255" s="16"/>
    </row>
    <row r="256" spans="2:8">
      <c r="B256" s="5"/>
      <c r="H256" s="16"/>
    </row>
    <row r="257" spans="2:8">
      <c r="B257" s="5"/>
      <c r="H257" s="16"/>
    </row>
    <row r="258" spans="2:8">
      <c r="B258" s="5"/>
      <c r="H258" s="16"/>
    </row>
    <row r="259" spans="2:8">
      <c r="B259" s="5"/>
      <c r="H259" s="16"/>
    </row>
    <row r="260" spans="2:8">
      <c r="B260" s="5"/>
      <c r="H260" s="16"/>
    </row>
    <row r="261" spans="2:8">
      <c r="B261" s="5"/>
      <c r="H261" s="16"/>
    </row>
    <row r="262" spans="2:8">
      <c r="B262" s="5"/>
      <c r="H262" s="16"/>
    </row>
    <row r="263" spans="2:8">
      <c r="B263" s="5"/>
      <c r="H263" s="16"/>
    </row>
    <row r="264" spans="2:8">
      <c r="B264" s="5"/>
      <c r="H264" s="16"/>
    </row>
    <row r="265" spans="2:8">
      <c r="B265" s="5"/>
      <c r="H265" s="16"/>
    </row>
    <row r="266" spans="2:8">
      <c r="B266" s="5"/>
      <c r="H266" s="16"/>
    </row>
    <row r="267" spans="2:8">
      <c r="B267" s="5"/>
      <c r="H267" s="16"/>
    </row>
    <row r="268" spans="2:8">
      <c r="B268" s="5"/>
      <c r="H268" s="16"/>
    </row>
    <row r="269" spans="2:8">
      <c r="B269" s="5"/>
      <c r="H269" s="16"/>
    </row>
    <row r="270" spans="2:8">
      <c r="B270" s="5"/>
      <c r="H270" s="16"/>
    </row>
    <row r="271" spans="2:8">
      <c r="B271" s="5"/>
      <c r="H271" s="16"/>
    </row>
    <row r="272" spans="2:8">
      <c r="B272" s="5"/>
      <c r="H272" s="16"/>
    </row>
    <row r="273" spans="2:8">
      <c r="B273" s="5"/>
      <c r="H273" s="16"/>
    </row>
    <row r="274" spans="2:8">
      <c r="B274" s="5"/>
      <c r="H274" s="16"/>
    </row>
    <row r="275" spans="2:8">
      <c r="B275" s="5"/>
      <c r="H275" s="16"/>
    </row>
    <row r="276" spans="2:8">
      <c r="B276" s="5"/>
      <c r="H276" s="16"/>
    </row>
    <row r="277" spans="2:8">
      <c r="B277" s="5"/>
      <c r="H277" s="16"/>
    </row>
    <row r="278" spans="2:8">
      <c r="B278" s="5"/>
      <c r="H278" s="16"/>
    </row>
    <row r="279" spans="2:8">
      <c r="B279" s="5"/>
      <c r="H279" s="16"/>
    </row>
    <row r="280" spans="2:8">
      <c r="B280" s="5"/>
      <c r="H280" s="16"/>
    </row>
    <row r="281" spans="2:8">
      <c r="B281" s="5"/>
      <c r="H281" s="16"/>
    </row>
    <row r="282" spans="2:8">
      <c r="B282" s="5"/>
      <c r="H282" s="16"/>
    </row>
    <row r="283" spans="2:8">
      <c r="B283" s="5"/>
      <c r="H283" s="16"/>
    </row>
    <row r="284" spans="2:8">
      <c r="B284" s="5"/>
      <c r="H284" s="16"/>
    </row>
    <row r="285" spans="2:8">
      <c r="B285" s="5"/>
      <c r="H285" s="16"/>
    </row>
    <row r="286" spans="2:8">
      <c r="B286" s="5"/>
      <c r="H286" s="16"/>
    </row>
    <row r="287" spans="2:8">
      <c r="B287" s="5"/>
      <c r="H287" s="16"/>
    </row>
    <row r="288" spans="2:8">
      <c r="B288" s="5"/>
      <c r="H288" s="16"/>
    </row>
    <row r="289" spans="2:8">
      <c r="B289" s="5"/>
      <c r="H289" s="16"/>
    </row>
    <row r="290" spans="2:8">
      <c r="B290" s="5"/>
      <c r="H290" s="16"/>
    </row>
    <row r="291" spans="2:8">
      <c r="B291" s="5"/>
      <c r="H291" s="16"/>
    </row>
    <row r="292" spans="2:8">
      <c r="B292" s="5"/>
      <c r="H292" s="16"/>
    </row>
    <row r="293" spans="2:8">
      <c r="B293" s="5"/>
      <c r="H293" s="16"/>
    </row>
    <row r="294" spans="2:8">
      <c r="B294" s="5"/>
      <c r="H294" s="16"/>
    </row>
    <row r="295" spans="2:8">
      <c r="B295" s="5"/>
      <c r="H295" s="16"/>
    </row>
    <row r="296" spans="2:8">
      <c r="B296" s="5"/>
      <c r="H296" s="16"/>
    </row>
    <row r="297" spans="2:8">
      <c r="B297" s="5"/>
      <c r="H297" s="16"/>
    </row>
    <row r="298" spans="2:8">
      <c r="B298" s="5"/>
      <c r="H298" s="16"/>
    </row>
    <row r="299" spans="2:8">
      <c r="B299" s="5"/>
      <c r="H299" s="16"/>
    </row>
    <row r="300" spans="2:8">
      <c r="B300" s="5"/>
      <c r="H300" s="16"/>
    </row>
    <row r="301" spans="2:8">
      <c r="B301" s="5"/>
      <c r="H301" s="16"/>
    </row>
    <row r="302" spans="2:8">
      <c r="B302" s="5"/>
      <c r="H302" s="16"/>
    </row>
    <row r="303" spans="2:8">
      <c r="B303" s="5"/>
      <c r="H303" s="16"/>
    </row>
    <row r="304" spans="2:8">
      <c r="B304" s="5"/>
      <c r="H304" s="16"/>
    </row>
    <row r="305" spans="2:8">
      <c r="B305" s="5"/>
      <c r="H305" s="16"/>
    </row>
    <row r="306" spans="2:8">
      <c r="B306" s="5"/>
      <c r="H306" s="16"/>
    </row>
    <row r="307" spans="2:8">
      <c r="B307" s="5"/>
      <c r="H307" s="16"/>
    </row>
    <row r="308" spans="2:8">
      <c r="B308" s="5"/>
      <c r="H308" s="16"/>
    </row>
    <row r="309" spans="2:8">
      <c r="B309" s="5"/>
      <c r="H309" s="16"/>
    </row>
    <row r="310" spans="2:8">
      <c r="B310" s="5"/>
      <c r="H310" s="16"/>
    </row>
    <row r="311" spans="2:8">
      <c r="B311" s="5"/>
      <c r="H311" s="16"/>
    </row>
    <row r="312" spans="2:8">
      <c r="B312" s="5"/>
      <c r="H312" s="16"/>
    </row>
    <row r="313" spans="2:8">
      <c r="B313" s="5"/>
      <c r="H313" s="16"/>
    </row>
    <row r="314" spans="2:8">
      <c r="B314" s="5"/>
      <c r="H314" s="16"/>
    </row>
    <row r="315" spans="2:8">
      <c r="B315" s="5"/>
      <c r="H315" s="16"/>
    </row>
    <row r="316" spans="2:8">
      <c r="B316" s="5"/>
      <c r="H316" s="16"/>
    </row>
    <row r="317" spans="2:8">
      <c r="B317" s="5"/>
      <c r="H317" s="16"/>
    </row>
    <row r="318" spans="2:8">
      <c r="B318" s="5"/>
      <c r="H318" s="16"/>
    </row>
    <row r="319" spans="2:8">
      <c r="B319" s="5"/>
      <c r="H319" s="16"/>
    </row>
    <row r="320" spans="2:8">
      <c r="B320" s="5"/>
      <c r="H320" s="16"/>
    </row>
    <row r="321" spans="2:8">
      <c r="B321" s="5"/>
      <c r="H321" s="16"/>
    </row>
    <row r="322" spans="2:8">
      <c r="B322" s="5"/>
      <c r="H322" s="16"/>
    </row>
    <row r="323" spans="2:8">
      <c r="B323" s="5"/>
      <c r="H323" s="16"/>
    </row>
    <row r="324" spans="2:8">
      <c r="B324" s="5"/>
      <c r="H324" s="16"/>
    </row>
    <row r="325" spans="2:8">
      <c r="B325" s="5"/>
      <c r="H325" s="16"/>
    </row>
    <row r="326" spans="2:8">
      <c r="B326" s="5"/>
      <c r="H326" s="16"/>
    </row>
    <row r="327" spans="2:8">
      <c r="B327" s="5"/>
      <c r="H327" s="16"/>
    </row>
    <row r="328" spans="2:8">
      <c r="B328" s="5"/>
      <c r="H328" s="16"/>
    </row>
    <row r="329" spans="2:8">
      <c r="B329" s="5"/>
      <c r="H329" s="16"/>
    </row>
    <row r="330" spans="2:8">
      <c r="B330" s="5"/>
      <c r="H330" s="16"/>
    </row>
    <row r="331" spans="2:8">
      <c r="B331" s="5"/>
      <c r="H331" s="16"/>
    </row>
    <row r="332" spans="2:8">
      <c r="B332" s="5"/>
      <c r="H332" s="16"/>
    </row>
    <row r="333" spans="2:8">
      <c r="B333" s="5"/>
      <c r="H333" s="16"/>
    </row>
    <row r="334" spans="2:8">
      <c r="B334" s="5"/>
      <c r="H334" s="16"/>
    </row>
    <row r="335" spans="2:8">
      <c r="B335" s="5"/>
      <c r="H335" s="16"/>
    </row>
    <row r="336" spans="2:8">
      <c r="B336" s="5"/>
      <c r="H336" s="16"/>
    </row>
    <row r="337" spans="2:8">
      <c r="B337" s="5"/>
      <c r="H337" s="16"/>
    </row>
    <row r="338" spans="2:8">
      <c r="B338" s="5"/>
      <c r="H338" s="16"/>
    </row>
    <row r="339" spans="2:8">
      <c r="B339" s="5"/>
      <c r="H339" s="16"/>
    </row>
    <row r="340" spans="2:8">
      <c r="B340" s="5"/>
      <c r="H340" s="16"/>
    </row>
    <row r="341" spans="2:8">
      <c r="B341" s="5"/>
      <c r="H341" s="16"/>
    </row>
    <row r="342" spans="2:8">
      <c r="B342" s="5"/>
      <c r="H342" s="16"/>
    </row>
    <row r="343" spans="2:8">
      <c r="B343" s="5"/>
      <c r="H343" s="16"/>
    </row>
    <row r="344" spans="2:8">
      <c r="B344" s="5"/>
      <c r="H344" s="16"/>
    </row>
    <row r="345" spans="2:8">
      <c r="B345" s="5"/>
      <c r="H345" s="16"/>
    </row>
    <row r="346" spans="2:8">
      <c r="B346" s="5"/>
      <c r="H346" s="16"/>
    </row>
    <row r="347" spans="2:8">
      <c r="B347" s="5"/>
      <c r="H347" s="16"/>
    </row>
    <row r="348" spans="2:8">
      <c r="B348" s="5"/>
      <c r="H348" s="16"/>
    </row>
    <row r="349" spans="2:8">
      <c r="B349" s="5"/>
      <c r="H349" s="16"/>
    </row>
    <row r="350" spans="2:8">
      <c r="B350" s="5"/>
      <c r="H350" s="16"/>
    </row>
    <row r="351" spans="2:8">
      <c r="B351" s="5"/>
      <c r="H351" s="16"/>
    </row>
    <row r="352" spans="2:8">
      <c r="B352" s="5"/>
      <c r="H352" s="16"/>
    </row>
    <row r="353" spans="2:8">
      <c r="B353" s="5"/>
      <c r="H353" s="16"/>
    </row>
    <row r="354" spans="2:8">
      <c r="B354" s="5"/>
      <c r="H354" s="16"/>
    </row>
    <row r="355" spans="2:8">
      <c r="B355" s="5"/>
      <c r="H355" s="16"/>
    </row>
    <row r="356" spans="2:8">
      <c r="B356" s="5"/>
      <c r="H356" s="16"/>
    </row>
    <row r="357" spans="2:8">
      <c r="B357" s="5"/>
      <c r="H357" s="16"/>
    </row>
    <row r="358" spans="2:8">
      <c r="B358" s="5"/>
      <c r="H358" s="16"/>
    </row>
    <row r="359" spans="2:8">
      <c r="B359" s="5"/>
      <c r="H359" s="16"/>
    </row>
    <row r="360" spans="2:8">
      <c r="B360" s="5"/>
      <c r="H360" s="16"/>
    </row>
    <row r="361" spans="2:8">
      <c r="B361" s="5"/>
      <c r="H361" s="16"/>
    </row>
    <row r="362" spans="2:8">
      <c r="B362" s="5"/>
      <c r="H362" s="16"/>
    </row>
    <row r="363" spans="2:8">
      <c r="B363" s="5"/>
      <c r="H363" s="16"/>
    </row>
    <row r="364" spans="2:8">
      <c r="B364" s="5"/>
      <c r="H364" s="16"/>
    </row>
    <row r="365" spans="2:8">
      <c r="B365" s="5"/>
      <c r="H365" s="16"/>
    </row>
    <row r="366" spans="2:8">
      <c r="B366" s="5"/>
      <c r="H366" s="16"/>
    </row>
    <row r="367" spans="2:8">
      <c r="B367" s="5"/>
      <c r="H367" s="16"/>
    </row>
    <row r="368" spans="2:8">
      <c r="B368" s="5"/>
      <c r="H368" s="16"/>
    </row>
    <row r="369" spans="2:8">
      <c r="B369" s="5"/>
      <c r="H369" s="16"/>
    </row>
    <row r="370" spans="2:8">
      <c r="B370" s="5"/>
      <c r="H370" s="16"/>
    </row>
    <row r="371" spans="2:8">
      <c r="B371" s="5"/>
      <c r="H371" s="16"/>
    </row>
    <row r="372" spans="2:8">
      <c r="B372" s="5"/>
      <c r="H372" s="16"/>
    </row>
    <row r="373" spans="2:8">
      <c r="B373" s="5"/>
      <c r="H373" s="16"/>
    </row>
    <row r="374" spans="2:8">
      <c r="B374" s="5"/>
      <c r="H374" s="16"/>
    </row>
    <row r="375" spans="2:8">
      <c r="B375" s="5"/>
      <c r="H375" s="16"/>
    </row>
    <row r="376" spans="2:8">
      <c r="B376" s="5"/>
      <c r="H376" s="16"/>
    </row>
    <row r="377" spans="2:8">
      <c r="B377" s="5"/>
      <c r="H377" s="16"/>
    </row>
    <row r="378" spans="2:8">
      <c r="B378" s="5"/>
      <c r="H378" s="16"/>
    </row>
    <row r="379" spans="2:8">
      <c r="B379" s="5"/>
      <c r="H379" s="16"/>
    </row>
    <row r="380" spans="2:8">
      <c r="B380" s="5"/>
      <c r="H380" s="16"/>
    </row>
    <row r="381" spans="2:8">
      <c r="B381" s="5"/>
      <c r="H381" s="16"/>
    </row>
    <row r="382" spans="2:8">
      <c r="B382" s="5"/>
      <c r="H382" s="16"/>
    </row>
    <row r="383" spans="2:8">
      <c r="B383" s="5"/>
      <c r="H383" s="16"/>
    </row>
    <row r="384" spans="2:8">
      <c r="B384" s="5"/>
      <c r="H384" s="16"/>
    </row>
    <row r="385" spans="2:8">
      <c r="B385" s="5"/>
      <c r="H385" s="16"/>
    </row>
    <row r="386" spans="2:8">
      <c r="B386" s="5"/>
      <c r="H386" s="16"/>
    </row>
    <row r="387" spans="2:8">
      <c r="B387" s="5"/>
      <c r="H387" s="16"/>
    </row>
    <row r="388" spans="2:8">
      <c r="B388" s="5"/>
      <c r="H388" s="16"/>
    </row>
    <row r="389" spans="2:8">
      <c r="B389" s="5"/>
      <c r="H389" s="16"/>
    </row>
    <row r="390" spans="2:8">
      <c r="B390" s="5"/>
      <c r="H390" s="16"/>
    </row>
    <row r="391" spans="2:8">
      <c r="B391" s="5"/>
      <c r="H391" s="16"/>
    </row>
    <row r="392" spans="2:8">
      <c r="B392" s="5"/>
      <c r="H392" s="16"/>
    </row>
    <row r="393" spans="2:8">
      <c r="B393" s="5"/>
      <c r="H393" s="16"/>
    </row>
    <row r="394" spans="2:8">
      <c r="B394" s="5"/>
      <c r="H394" s="16"/>
    </row>
    <row r="395" spans="2:8">
      <c r="B395" s="5"/>
      <c r="H395" s="16"/>
    </row>
    <row r="396" spans="2:8">
      <c r="B396" s="5"/>
      <c r="H396" s="16"/>
    </row>
    <row r="397" spans="2:8">
      <c r="B397" s="5"/>
      <c r="H397" s="16"/>
    </row>
    <row r="398" spans="2:8">
      <c r="B398" s="5"/>
      <c r="H398" s="16"/>
    </row>
    <row r="399" spans="2:8">
      <c r="B399" s="5"/>
      <c r="H399" s="16"/>
    </row>
    <row r="400" spans="2:8">
      <c r="B400" s="5"/>
      <c r="H400" s="16"/>
    </row>
    <row r="401" spans="2:8">
      <c r="B401" s="5"/>
      <c r="H401" s="16"/>
    </row>
    <row r="402" spans="2:8">
      <c r="B402" s="5"/>
      <c r="H402" s="16"/>
    </row>
    <row r="403" spans="2:8">
      <c r="B403" s="5"/>
      <c r="H403" s="16"/>
    </row>
    <row r="404" spans="2:8">
      <c r="B404" s="5"/>
      <c r="H404" s="16"/>
    </row>
    <row r="405" spans="2:8">
      <c r="B405" s="5"/>
      <c r="H405" s="16"/>
    </row>
    <row r="406" spans="2:8">
      <c r="B406" s="5"/>
      <c r="H406" s="16"/>
    </row>
    <row r="407" spans="2:8">
      <c r="B407" s="5"/>
      <c r="H407" s="16"/>
    </row>
    <row r="408" spans="2:8">
      <c r="B408" s="5"/>
      <c r="H408" s="16"/>
    </row>
    <row r="409" spans="2:8">
      <c r="B409" s="5"/>
      <c r="H409" s="16"/>
    </row>
    <row r="410" spans="2:8">
      <c r="B410" s="5"/>
      <c r="H410" s="16"/>
    </row>
    <row r="411" spans="2:8">
      <c r="B411" s="5"/>
      <c r="H411" s="16"/>
    </row>
    <row r="412" spans="2:8">
      <c r="B412" s="5"/>
      <c r="H412" s="16"/>
    </row>
    <row r="413" spans="2:8">
      <c r="B413" s="5"/>
      <c r="H413" s="16"/>
    </row>
    <row r="414" spans="2:8">
      <c r="B414" s="5"/>
      <c r="H414" s="16"/>
    </row>
    <row r="415" spans="2:8">
      <c r="B415" s="5"/>
      <c r="H415" s="16"/>
    </row>
    <row r="416" spans="2:8">
      <c r="B416" s="5"/>
      <c r="H416" s="16"/>
    </row>
    <row r="417" spans="2:8">
      <c r="B417" s="5"/>
      <c r="H417" s="16"/>
    </row>
    <row r="418" spans="2:8">
      <c r="B418" s="5"/>
      <c r="H418" s="16"/>
    </row>
    <row r="419" spans="2:8">
      <c r="B419" s="5"/>
      <c r="H419" s="16"/>
    </row>
    <row r="420" spans="2:8">
      <c r="B420" s="5"/>
      <c r="H420" s="16"/>
    </row>
    <row r="421" spans="2:8">
      <c r="B421" s="5"/>
      <c r="H421" s="16"/>
    </row>
    <row r="422" spans="2:8">
      <c r="B422" s="5"/>
      <c r="H422" s="16"/>
    </row>
    <row r="423" spans="2:8">
      <c r="B423" s="5"/>
      <c r="H423" s="16"/>
    </row>
    <row r="424" spans="2:8">
      <c r="B424" s="5"/>
      <c r="H424" s="16"/>
    </row>
    <row r="425" spans="2:8">
      <c r="B425" s="5"/>
      <c r="H425" s="16"/>
    </row>
    <row r="426" spans="2:8">
      <c r="B426" s="5"/>
      <c r="H426" s="16"/>
    </row>
    <row r="427" spans="2:8">
      <c r="B427" s="5"/>
      <c r="H427" s="16"/>
    </row>
    <row r="428" spans="2:8">
      <c r="B428" s="5"/>
      <c r="H428" s="16"/>
    </row>
    <row r="429" spans="2:8">
      <c r="B429" s="5"/>
      <c r="H429" s="16"/>
    </row>
    <row r="430" spans="2:8">
      <c r="B430" s="5"/>
      <c r="H430" s="16"/>
    </row>
    <row r="431" spans="2:8">
      <c r="B431" s="5"/>
      <c r="H431" s="16"/>
    </row>
    <row r="432" spans="2:8">
      <c r="B432" s="5"/>
      <c r="H432" s="16"/>
    </row>
    <row r="433" spans="2:8">
      <c r="B433" s="5"/>
      <c r="H433" s="16"/>
    </row>
    <row r="434" spans="2:8">
      <c r="B434" s="5"/>
      <c r="H434" s="16"/>
    </row>
    <row r="435" spans="2:8">
      <c r="B435" s="5"/>
      <c r="H435" s="16"/>
    </row>
    <row r="436" spans="2:8">
      <c r="B436" s="5"/>
      <c r="H436" s="16"/>
    </row>
    <row r="437" spans="2:8">
      <c r="B437" s="5"/>
      <c r="H437" s="16"/>
    </row>
    <row r="438" spans="2:8">
      <c r="B438" s="5"/>
      <c r="H438" s="16"/>
    </row>
    <row r="439" spans="2:8">
      <c r="B439" s="5"/>
      <c r="H439" s="16"/>
    </row>
    <row r="440" spans="2:8">
      <c r="B440" s="5"/>
      <c r="H440" s="16"/>
    </row>
    <row r="441" spans="2:8">
      <c r="B441" s="5"/>
      <c r="H441" s="16"/>
    </row>
    <row r="442" spans="2:8">
      <c r="B442" s="5"/>
      <c r="H442" s="16"/>
    </row>
    <row r="443" spans="2:8">
      <c r="B443" s="5"/>
      <c r="H443" s="16"/>
    </row>
    <row r="444" spans="2:8">
      <c r="B444" s="5"/>
      <c r="H444" s="16"/>
    </row>
    <row r="445" spans="2:8">
      <c r="B445" s="5"/>
      <c r="H445" s="16"/>
    </row>
    <row r="446" spans="2:8">
      <c r="B446" s="5"/>
      <c r="H446" s="16"/>
    </row>
    <row r="447" spans="2:8">
      <c r="B447" s="5"/>
      <c r="H447" s="16"/>
    </row>
    <row r="448" spans="2:8">
      <c r="B448" s="5"/>
      <c r="H448" s="16"/>
    </row>
    <row r="449" spans="2:8">
      <c r="B449" s="5"/>
      <c r="H449" s="16"/>
    </row>
    <row r="450" spans="2:8">
      <c r="B450" s="5"/>
      <c r="H450" s="16"/>
    </row>
    <row r="451" spans="2:8">
      <c r="B451" s="5"/>
      <c r="H451" s="16"/>
    </row>
    <row r="452" spans="2:8">
      <c r="B452" s="5"/>
      <c r="H452" s="16"/>
    </row>
    <row r="453" spans="2:8">
      <c r="B453" s="5"/>
      <c r="H453" s="16"/>
    </row>
    <row r="454" spans="2:8">
      <c r="B454" s="5"/>
      <c r="H454" s="16"/>
    </row>
    <row r="455" spans="2:8">
      <c r="B455" s="5"/>
      <c r="H455" s="16"/>
    </row>
    <row r="456" spans="2:8">
      <c r="B456" s="5"/>
      <c r="H456" s="16"/>
    </row>
    <row r="457" spans="2:8">
      <c r="B457" s="5"/>
      <c r="H457" s="16"/>
    </row>
    <row r="458" spans="2:8">
      <c r="B458" s="5"/>
      <c r="H458" s="16"/>
    </row>
    <row r="459" spans="2:8">
      <c r="B459" s="5"/>
      <c r="H459" s="16"/>
    </row>
    <row r="460" spans="2:8">
      <c r="B460" s="5"/>
      <c r="H460" s="16"/>
    </row>
    <row r="461" spans="2:8">
      <c r="B461" s="5"/>
      <c r="H461" s="16"/>
    </row>
    <row r="462" spans="2:8">
      <c r="B462" s="5"/>
      <c r="H462" s="16"/>
    </row>
    <row r="463" spans="2:8">
      <c r="B463" s="5"/>
      <c r="H463" s="16"/>
    </row>
    <row r="464" spans="2:8">
      <c r="B464" s="5"/>
      <c r="H464" s="16"/>
    </row>
    <row r="465" spans="2:8">
      <c r="B465" s="5"/>
      <c r="H465" s="16"/>
    </row>
    <row r="466" spans="2:8">
      <c r="B466" s="5"/>
      <c r="H466" s="16"/>
    </row>
    <row r="467" spans="2:8">
      <c r="B467" s="5"/>
      <c r="H467" s="16"/>
    </row>
    <row r="468" spans="2:8">
      <c r="B468" s="5"/>
      <c r="H468" s="16"/>
    </row>
    <row r="469" spans="2:8">
      <c r="B469" s="5"/>
      <c r="H469" s="16"/>
    </row>
    <row r="470" spans="2:8">
      <c r="B470" s="5"/>
      <c r="H470" s="16"/>
    </row>
    <row r="471" spans="2:8">
      <c r="B471" s="5"/>
      <c r="H471" s="16"/>
    </row>
    <row r="472" spans="2:8">
      <c r="B472" s="5"/>
      <c r="H472" s="16"/>
    </row>
    <row r="473" spans="2:8">
      <c r="B473" s="5"/>
      <c r="H473" s="16"/>
    </row>
    <row r="474" spans="2:8">
      <c r="B474" s="5"/>
      <c r="H474" s="16"/>
    </row>
    <row r="475" spans="2:8">
      <c r="B475" s="5"/>
      <c r="H475" s="16"/>
    </row>
    <row r="476" spans="2:8">
      <c r="B476" s="5"/>
      <c r="H476" s="16"/>
    </row>
    <row r="477" spans="2:8">
      <c r="B477" s="5"/>
      <c r="H477" s="16"/>
    </row>
    <row r="478" spans="2:8">
      <c r="B478" s="5"/>
      <c r="H478" s="16"/>
    </row>
    <row r="479" spans="2:8">
      <c r="B479" s="5"/>
      <c r="H479" s="16"/>
    </row>
    <row r="480" spans="2:8">
      <c r="B480" s="5"/>
      <c r="H480" s="16"/>
    </row>
    <row r="481" spans="2:8">
      <c r="B481" s="5"/>
      <c r="H481" s="16"/>
    </row>
    <row r="482" spans="2:8">
      <c r="B482" s="5"/>
      <c r="H482" s="16"/>
    </row>
    <row r="483" spans="2:8">
      <c r="B483" s="5"/>
      <c r="H483" s="16"/>
    </row>
    <row r="484" spans="2:8">
      <c r="B484" s="5"/>
      <c r="H484" s="16"/>
    </row>
    <row r="485" spans="2:8">
      <c r="B485" s="5"/>
      <c r="H485" s="16"/>
    </row>
    <row r="486" spans="2:8">
      <c r="B486" s="5"/>
      <c r="H486" s="16"/>
    </row>
    <row r="487" spans="2:8">
      <c r="B487" s="5"/>
      <c r="H487" s="16"/>
    </row>
    <row r="488" spans="2:8">
      <c r="B488" s="5"/>
      <c r="H488" s="16"/>
    </row>
    <row r="489" spans="2:8">
      <c r="B489" s="5"/>
      <c r="H489" s="16"/>
    </row>
    <row r="490" spans="2:8">
      <c r="B490" s="5"/>
      <c r="H490" s="16"/>
    </row>
    <row r="491" spans="2:8">
      <c r="B491" s="5"/>
      <c r="H491" s="16"/>
    </row>
    <row r="492" spans="2:8">
      <c r="B492" s="5"/>
      <c r="H492" s="16"/>
    </row>
    <row r="493" spans="2:8">
      <c r="B493" s="5"/>
      <c r="H493" s="16"/>
    </row>
    <row r="494" spans="2:8">
      <c r="B494" s="5"/>
      <c r="H494" s="16"/>
    </row>
    <row r="495" spans="2:8">
      <c r="B495" s="5"/>
      <c r="H495" s="16"/>
    </row>
    <row r="496" spans="2:8">
      <c r="B496" s="5"/>
      <c r="H496" s="16"/>
    </row>
    <row r="497" spans="2:8">
      <c r="B497" s="5"/>
      <c r="H497" s="16"/>
    </row>
    <row r="498" spans="2:8">
      <c r="B498" s="5"/>
      <c r="H498" s="16"/>
    </row>
    <row r="499" spans="2:8">
      <c r="B499" s="5"/>
      <c r="H499" s="16"/>
    </row>
    <row r="500" spans="2:8">
      <c r="B500" s="5"/>
      <c r="H500" s="16"/>
    </row>
    <row r="501" spans="2:8">
      <c r="B501" s="5"/>
      <c r="H501" s="16"/>
    </row>
    <row r="502" spans="2:8">
      <c r="B502" s="5"/>
      <c r="H502" s="16"/>
    </row>
    <row r="503" spans="2:8">
      <c r="B503" s="5"/>
      <c r="H503" s="16"/>
    </row>
    <row r="504" spans="2:8">
      <c r="B504" s="5"/>
      <c r="H504" s="16"/>
    </row>
    <row r="505" spans="2:8">
      <c r="B505" s="5"/>
      <c r="H505" s="16"/>
    </row>
    <row r="506" spans="2:8">
      <c r="B506" s="5"/>
      <c r="H506" s="16"/>
    </row>
    <row r="507" spans="2:8">
      <c r="B507" s="5"/>
      <c r="H507" s="16"/>
    </row>
    <row r="508" spans="2:8">
      <c r="B508" s="5"/>
      <c r="H508" s="16"/>
    </row>
    <row r="509" spans="2:8">
      <c r="B509" s="5"/>
      <c r="H509" s="16"/>
    </row>
    <row r="510" spans="2:8">
      <c r="B510" s="5"/>
      <c r="H510" s="16"/>
    </row>
    <row r="511" spans="2:8">
      <c r="B511" s="5"/>
      <c r="H511" s="16"/>
    </row>
    <row r="512" spans="2:8">
      <c r="B512" s="5"/>
      <c r="H512" s="16"/>
    </row>
    <row r="513" spans="2:8">
      <c r="B513" s="5"/>
      <c r="H513" s="16"/>
    </row>
    <row r="514" spans="2:8">
      <c r="B514" s="5"/>
      <c r="H514" s="16"/>
    </row>
    <row r="515" spans="2:8">
      <c r="B515" s="5"/>
      <c r="H515" s="16"/>
    </row>
    <row r="516" spans="2:8">
      <c r="B516" s="5"/>
      <c r="H516" s="16"/>
    </row>
    <row r="517" spans="2:8">
      <c r="B517" s="5"/>
      <c r="H517" s="16"/>
    </row>
    <row r="518" spans="2:8">
      <c r="B518" s="5"/>
      <c r="H518" s="16"/>
    </row>
    <row r="519" spans="2:8">
      <c r="B519" s="5"/>
      <c r="H519" s="16"/>
    </row>
    <row r="520" spans="2:8">
      <c r="B520" s="5"/>
      <c r="H520" s="16"/>
    </row>
    <row r="521" spans="2:8">
      <c r="B521" s="5"/>
      <c r="H521" s="16"/>
    </row>
    <row r="522" spans="2:8">
      <c r="B522" s="5"/>
      <c r="H522" s="16"/>
    </row>
    <row r="523" spans="2:8">
      <c r="B523" s="5"/>
      <c r="H523" s="16"/>
    </row>
    <row r="524" spans="2:8">
      <c r="B524" s="5"/>
      <c r="H524" s="16"/>
    </row>
    <row r="525" spans="2:8">
      <c r="B525" s="5"/>
      <c r="H525" s="16"/>
    </row>
    <row r="526" spans="2:8">
      <c r="B526" s="5"/>
      <c r="H526" s="16"/>
    </row>
    <row r="527" spans="2:8">
      <c r="B527" s="5"/>
      <c r="H527" s="16"/>
    </row>
    <row r="528" spans="2:8">
      <c r="B528" s="5"/>
      <c r="H528" s="16"/>
    </row>
    <row r="529" spans="2:8">
      <c r="B529" s="5"/>
      <c r="H529" s="16"/>
    </row>
    <row r="530" spans="2:8">
      <c r="B530" s="5"/>
      <c r="H530" s="16"/>
    </row>
    <row r="531" spans="2:8">
      <c r="B531" s="5"/>
      <c r="H531" s="16"/>
    </row>
    <row r="532" spans="2:8">
      <c r="B532" s="5"/>
      <c r="H532" s="16"/>
    </row>
    <row r="533" spans="2:8">
      <c r="B533" s="5"/>
      <c r="H533" s="16"/>
    </row>
    <row r="534" spans="2:8">
      <c r="B534" s="5"/>
      <c r="H534" s="16"/>
    </row>
    <row r="535" spans="2:8">
      <c r="B535" s="5"/>
      <c r="H535" s="16"/>
    </row>
    <row r="536" spans="2:8">
      <c r="B536" s="5"/>
      <c r="H536" s="16"/>
    </row>
    <row r="537" spans="2:8">
      <c r="B537" s="5"/>
      <c r="H537" s="16"/>
    </row>
    <row r="538" spans="2:8">
      <c r="B538" s="5"/>
      <c r="H538" s="16"/>
    </row>
    <row r="539" spans="2:8">
      <c r="B539" s="5"/>
      <c r="H539" s="16"/>
    </row>
    <row r="540" spans="2:8">
      <c r="B540" s="5"/>
      <c r="H540" s="16"/>
    </row>
    <row r="541" spans="2:8">
      <c r="B541" s="5"/>
      <c r="H541" s="16"/>
    </row>
    <row r="542" spans="2:8">
      <c r="B542" s="5"/>
      <c r="H542" s="16"/>
    </row>
    <row r="543" spans="2:8">
      <c r="B543" s="5"/>
      <c r="H543" s="16"/>
    </row>
    <row r="544" spans="2:8">
      <c r="B544" s="5"/>
      <c r="H544" s="16"/>
    </row>
    <row r="545" spans="2:8">
      <c r="B545" s="5"/>
      <c r="H545" s="16"/>
    </row>
    <row r="546" spans="2:8">
      <c r="B546" s="5"/>
      <c r="H546" s="16"/>
    </row>
    <row r="547" spans="2:8">
      <c r="B547" s="5"/>
      <c r="H547" s="16"/>
    </row>
    <row r="548" spans="2:8">
      <c r="B548" s="5"/>
      <c r="H548" s="16"/>
    </row>
    <row r="549" spans="2:8">
      <c r="B549" s="5"/>
      <c r="H549" s="16"/>
    </row>
    <row r="550" spans="2:8">
      <c r="B550" s="5"/>
      <c r="H550" s="16"/>
    </row>
    <row r="551" spans="2:8">
      <c r="B551" s="5"/>
      <c r="H551" s="16"/>
    </row>
    <row r="552" spans="2:8">
      <c r="B552" s="5"/>
      <c r="H552" s="16"/>
    </row>
    <row r="553" spans="2:8">
      <c r="B553" s="5"/>
      <c r="H553" s="16"/>
    </row>
    <row r="554" spans="2:8">
      <c r="B554" s="5"/>
      <c r="H554" s="16"/>
    </row>
    <row r="555" spans="2:8">
      <c r="B555" s="5"/>
      <c r="H555" s="16"/>
    </row>
    <row r="556" spans="2:8">
      <c r="B556" s="5"/>
      <c r="H556" s="16"/>
    </row>
    <row r="557" spans="2:8">
      <c r="B557" s="5"/>
      <c r="H557" s="16"/>
    </row>
    <row r="558" spans="2:8">
      <c r="B558" s="5"/>
      <c r="H558" s="16"/>
    </row>
    <row r="559" spans="2:8">
      <c r="B559" s="5"/>
      <c r="H559" s="16"/>
    </row>
    <row r="560" spans="2:8">
      <c r="B560" s="5"/>
      <c r="H560" s="16"/>
    </row>
    <row r="561" spans="2:8">
      <c r="B561" s="5"/>
      <c r="H561" s="16"/>
    </row>
    <row r="562" spans="2:8">
      <c r="B562" s="5"/>
      <c r="H562" s="16"/>
    </row>
    <row r="563" spans="2:8">
      <c r="B563" s="5"/>
      <c r="H563" s="16"/>
    </row>
    <row r="564" spans="2:8">
      <c r="B564" s="5"/>
      <c r="H564" s="16"/>
    </row>
    <row r="565" spans="2:8">
      <c r="B565" s="5"/>
      <c r="H565" s="16"/>
    </row>
    <row r="566" spans="2:8">
      <c r="B566" s="5"/>
      <c r="H566" s="16"/>
    </row>
    <row r="567" spans="2:8">
      <c r="B567" s="5"/>
      <c r="H567" s="16"/>
    </row>
    <row r="568" spans="2:8">
      <c r="B568" s="5"/>
      <c r="H568" s="16"/>
    </row>
    <row r="569" spans="2:8">
      <c r="B569" s="5"/>
      <c r="H569" s="16"/>
    </row>
    <row r="570" spans="2:8">
      <c r="B570" s="5"/>
      <c r="H570" s="16"/>
    </row>
    <row r="571" spans="2:8">
      <c r="B571" s="5"/>
      <c r="H571" s="16"/>
    </row>
    <row r="572" spans="2:8">
      <c r="B572" s="5"/>
      <c r="H572" s="16"/>
    </row>
    <row r="573" spans="2:8">
      <c r="B573" s="5"/>
      <c r="H573" s="16"/>
    </row>
    <row r="574" spans="2:8">
      <c r="B574" s="5"/>
      <c r="H574" s="16"/>
    </row>
    <row r="575" spans="2:8">
      <c r="B575" s="5"/>
      <c r="H575" s="16"/>
    </row>
    <row r="576" spans="2:8">
      <c r="B576" s="5"/>
      <c r="H576" s="16"/>
    </row>
    <row r="577" spans="2:8">
      <c r="B577" s="5"/>
      <c r="H577" s="16"/>
    </row>
    <row r="578" spans="2:8">
      <c r="B578" s="5"/>
      <c r="H578" s="16"/>
    </row>
    <row r="579" spans="2:8">
      <c r="B579" s="5"/>
      <c r="H579" s="16"/>
    </row>
    <row r="580" spans="2:8">
      <c r="B580" s="5"/>
      <c r="H580" s="16"/>
    </row>
    <row r="581" spans="2:8">
      <c r="B581" s="5"/>
      <c r="H581" s="16"/>
    </row>
    <row r="582" spans="2:8">
      <c r="B582" s="5"/>
      <c r="H582" s="16"/>
    </row>
    <row r="583" spans="2:8">
      <c r="B583" s="5"/>
      <c r="H583" s="16"/>
    </row>
    <row r="584" spans="2:8">
      <c r="B584" s="5"/>
      <c r="H584" s="16"/>
    </row>
    <row r="585" spans="2:8">
      <c r="B585" s="5"/>
      <c r="H585" s="16"/>
    </row>
    <row r="586" spans="2:8">
      <c r="B586" s="5"/>
      <c r="H586" s="16"/>
    </row>
    <row r="587" spans="2:8">
      <c r="B587" s="5"/>
      <c r="H587" s="16"/>
    </row>
    <row r="588" spans="2:8">
      <c r="B588" s="5"/>
      <c r="H588" s="16"/>
    </row>
    <row r="589" spans="2:8">
      <c r="B589" s="5"/>
      <c r="H589" s="16"/>
    </row>
    <row r="590" spans="2:8">
      <c r="B590" s="5"/>
      <c r="H590" s="16"/>
    </row>
    <row r="591" spans="2:8">
      <c r="B591" s="5"/>
      <c r="H591" s="16"/>
    </row>
    <row r="592" spans="2:8">
      <c r="B592" s="5"/>
      <c r="H592" s="16"/>
    </row>
    <row r="593" spans="2:8">
      <c r="B593" s="5"/>
      <c r="H593" s="16"/>
    </row>
    <row r="594" spans="2:8">
      <c r="B594" s="5"/>
      <c r="H594" s="16"/>
    </row>
    <row r="595" spans="2:8">
      <c r="B595" s="5"/>
      <c r="H595" s="16"/>
    </row>
    <row r="596" spans="2:8">
      <c r="B596" s="5"/>
      <c r="H596" s="16"/>
    </row>
    <row r="597" spans="2:8">
      <c r="B597" s="5"/>
      <c r="H597" s="16"/>
    </row>
    <row r="598" spans="2:8">
      <c r="B598" s="5"/>
      <c r="H598" s="16"/>
    </row>
    <row r="599" spans="2:8">
      <c r="B599" s="5"/>
      <c r="H599" s="16"/>
    </row>
    <row r="600" spans="2:8">
      <c r="B600" s="5"/>
      <c r="H600" s="16"/>
    </row>
    <row r="601" spans="2:8">
      <c r="B601" s="5"/>
      <c r="H601" s="16"/>
    </row>
    <row r="602" spans="2:8">
      <c r="B602" s="5"/>
      <c r="H602" s="16"/>
    </row>
    <row r="603" spans="2:8">
      <c r="B603" s="5"/>
      <c r="H603" s="16"/>
    </row>
    <row r="604" spans="2:8">
      <c r="B604" s="5"/>
      <c r="H604" s="16"/>
    </row>
    <row r="605" spans="2:8">
      <c r="B605" s="5"/>
      <c r="H605" s="16"/>
    </row>
    <row r="606" spans="2:8">
      <c r="B606" s="5"/>
      <c r="H606" s="16"/>
    </row>
    <row r="607" spans="2:8">
      <c r="B607" s="5"/>
      <c r="H607" s="16"/>
    </row>
    <row r="608" spans="2:8">
      <c r="B608" s="5"/>
      <c r="H608" s="16"/>
    </row>
    <row r="609" spans="2:8">
      <c r="B609" s="5"/>
      <c r="H609" s="16"/>
    </row>
    <row r="610" spans="2:8">
      <c r="B610" s="5"/>
      <c r="H610" s="16"/>
    </row>
    <row r="611" spans="2:8">
      <c r="B611" s="5"/>
      <c r="H611" s="16"/>
    </row>
    <row r="612" spans="2:8">
      <c r="B612" s="5"/>
      <c r="H612" s="16"/>
    </row>
    <row r="613" spans="2:8">
      <c r="B613" s="5"/>
      <c r="H613" s="16"/>
    </row>
    <row r="614" spans="2:8">
      <c r="B614" s="5"/>
      <c r="H614" s="16"/>
    </row>
    <row r="615" spans="2:8">
      <c r="B615" s="5"/>
      <c r="H615" s="16"/>
    </row>
    <row r="616" spans="2:8">
      <c r="B616" s="5"/>
      <c r="H616" s="16"/>
    </row>
    <row r="617" spans="2:8">
      <c r="B617" s="5"/>
      <c r="H617" s="16"/>
    </row>
    <row r="618" spans="2:8">
      <c r="B618" s="5"/>
      <c r="H618" s="16"/>
    </row>
    <row r="619" spans="2:8">
      <c r="B619" s="5"/>
      <c r="H619" s="16"/>
    </row>
    <row r="620" spans="2:8">
      <c r="B620" s="5"/>
      <c r="H620" s="16"/>
    </row>
    <row r="621" spans="2:8">
      <c r="B621" s="5"/>
      <c r="H621" s="16"/>
    </row>
    <row r="622" spans="2:8">
      <c r="B622" s="5"/>
      <c r="H622" s="16"/>
    </row>
    <row r="623" spans="2:8">
      <c r="B623" s="5"/>
      <c r="H623" s="16"/>
    </row>
    <row r="624" spans="2:8">
      <c r="B624" s="5"/>
      <c r="H624" s="16"/>
    </row>
    <row r="625" spans="2:8">
      <c r="B625" s="5"/>
      <c r="H625" s="16"/>
    </row>
    <row r="626" spans="2:8">
      <c r="B626" s="5"/>
      <c r="H626" s="16"/>
    </row>
    <row r="627" spans="2:8">
      <c r="B627" s="5"/>
      <c r="H627" s="16"/>
    </row>
    <row r="628" spans="2:8">
      <c r="B628" s="5"/>
      <c r="H628" s="16"/>
    </row>
    <row r="629" spans="2:8">
      <c r="B629" s="5"/>
      <c r="H629" s="16"/>
    </row>
    <row r="630" spans="2:8">
      <c r="B630" s="5"/>
      <c r="H630" s="16"/>
    </row>
    <row r="631" spans="2:8">
      <c r="B631" s="5"/>
      <c r="H631" s="16"/>
    </row>
    <row r="632" spans="2:8">
      <c r="B632" s="5"/>
      <c r="H632" s="16"/>
    </row>
    <row r="633" spans="2:8">
      <c r="B633" s="5"/>
      <c r="H633" s="16"/>
    </row>
    <row r="634" spans="2:8">
      <c r="B634" s="5"/>
      <c r="H634" s="16"/>
    </row>
    <row r="635" spans="2:8">
      <c r="B635" s="5"/>
      <c r="H635" s="16"/>
    </row>
    <row r="636" spans="2:8">
      <c r="B636" s="5"/>
      <c r="H636" s="16"/>
    </row>
    <row r="637" spans="2:8">
      <c r="B637" s="5"/>
      <c r="H637" s="16"/>
    </row>
    <row r="638" spans="2:8">
      <c r="B638" s="5"/>
      <c r="H638" s="16"/>
    </row>
    <row r="639" spans="2:8">
      <c r="B639" s="5"/>
      <c r="H639" s="16"/>
    </row>
    <row r="640" spans="2:8">
      <c r="B640" s="5"/>
      <c r="H640" s="16"/>
    </row>
    <row r="641" spans="2:8">
      <c r="B641" s="5"/>
      <c r="H641" s="16"/>
    </row>
    <row r="642" spans="2:8">
      <c r="B642" s="5"/>
      <c r="H642" s="16"/>
    </row>
    <row r="643" spans="2:8">
      <c r="B643" s="5"/>
      <c r="H643" s="16"/>
    </row>
    <row r="644" spans="2:8">
      <c r="B644" s="5"/>
      <c r="H644" s="16"/>
    </row>
    <row r="645" spans="2:8">
      <c r="B645" s="5"/>
      <c r="H645" s="16"/>
    </row>
    <row r="646" spans="2:8">
      <c r="B646" s="5"/>
      <c r="H646" s="16"/>
    </row>
    <row r="647" spans="2:8">
      <c r="B647" s="5"/>
      <c r="H647" s="16"/>
    </row>
    <row r="648" spans="2:8">
      <c r="B648" s="5"/>
      <c r="H648" s="16"/>
    </row>
    <row r="649" spans="2:8">
      <c r="B649" s="5"/>
      <c r="H649" s="16"/>
    </row>
    <row r="650" spans="2:8">
      <c r="B650" s="5"/>
      <c r="H650" s="16"/>
    </row>
    <row r="651" spans="2:8">
      <c r="B651" s="5"/>
      <c r="H651" s="16"/>
    </row>
    <row r="652" spans="2:8">
      <c r="B652" s="5"/>
      <c r="H652" s="16"/>
    </row>
    <row r="653" spans="2:8">
      <c r="B653" s="5"/>
      <c r="H653" s="16"/>
    </row>
    <row r="654" spans="2:8">
      <c r="B654" s="5"/>
      <c r="H654" s="16"/>
    </row>
    <row r="655" spans="2:8">
      <c r="B655" s="5"/>
      <c r="H655" s="16"/>
    </row>
    <row r="656" spans="2:8">
      <c r="B656" s="5"/>
      <c r="H656" s="16"/>
    </row>
    <row r="657" spans="2:8">
      <c r="B657" s="5"/>
      <c r="H657" s="16"/>
    </row>
    <row r="658" spans="2:8">
      <c r="B658" s="5"/>
      <c r="H658" s="16"/>
    </row>
    <row r="659" spans="2:8">
      <c r="B659" s="5"/>
      <c r="H659" s="16"/>
    </row>
    <row r="660" spans="2:8">
      <c r="B660" s="5"/>
      <c r="H660" s="16"/>
    </row>
    <row r="661" spans="2:8">
      <c r="B661" s="5"/>
      <c r="H661" s="16"/>
    </row>
    <row r="662" spans="2:8">
      <c r="B662" s="5"/>
      <c r="H662" s="16"/>
    </row>
    <row r="663" spans="2:8">
      <c r="B663" s="5"/>
      <c r="H663" s="16"/>
    </row>
    <row r="664" spans="2:8">
      <c r="B664" s="5"/>
      <c r="H664" s="16"/>
    </row>
    <row r="665" spans="2:8">
      <c r="B665" s="5"/>
      <c r="H665" s="16"/>
    </row>
    <row r="666" spans="2:8">
      <c r="B666" s="5"/>
      <c r="H666" s="16"/>
    </row>
    <row r="667" spans="2:8">
      <c r="B667" s="5"/>
      <c r="H667" s="16"/>
    </row>
    <row r="668" spans="2:8">
      <c r="B668" s="5"/>
      <c r="H668" s="16"/>
    </row>
    <row r="669" spans="2:8">
      <c r="B669" s="5"/>
      <c r="H669" s="16"/>
    </row>
    <row r="670" spans="2:8">
      <c r="B670" s="5"/>
      <c r="H670" s="16"/>
    </row>
    <row r="671" spans="2:8">
      <c r="B671" s="5"/>
      <c r="H671" s="16"/>
    </row>
    <row r="672" spans="2:8">
      <c r="B672" s="5"/>
      <c r="H672" s="16"/>
    </row>
    <row r="673" spans="2:8">
      <c r="B673" s="5"/>
      <c r="H673" s="16"/>
    </row>
    <row r="674" spans="2:8">
      <c r="B674" s="5"/>
      <c r="H674" s="16"/>
    </row>
    <row r="675" spans="2:8">
      <c r="B675" s="5"/>
      <c r="H675" s="16"/>
    </row>
    <row r="676" spans="2:8">
      <c r="B676" s="5"/>
      <c r="H676" s="16"/>
    </row>
    <row r="677" spans="2:8">
      <c r="B677" s="5"/>
      <c r="H677" s="16"/>
    </row>
    <row r="678" spans="2:8">
      <c r="B678" s="5"/>
      <c r="H678" s="16"/>
    </row>
    <row r="679" spans="2:8">
      <c r="B679" s="5"/>
      <c r="H679" s="16"/>
    </row>
    <row r="680" spans="2:8">
      <c r="B680" s="5"/>
      <c r="H680" s="16"/>
    </row>
    <row r="681" spans="2:8">
      <c r="B681" s="5"/>
      <c r="H681" s="16"/>
    </row>
    <row r="682" spans="2:8">
      <c r="B682" s="5"/>
      <c r="H682" s="16"/>
    </row>
    <row r="683" spans="2:8">
      <c r="B683" s="5"/>
      <c r="H683" s="16"/>
    </row>
    <row r="684" spans="2:8">
      <c r="B684" s="5"/>
      <c r="H684" s="16"/>
    </row>
    <row r="685" spans="2:8">
      <c r="B685" s="5"/>
      <c r="H685" s="16"/>
    </row>
    <row r="686" spans="2:8">
      <c r="B686" s="5"/>
      <c r="H686" s="16"/>
    </row>
    <row r="687" spans="2:8">
      <c r="B687" s="5"/>
      <c r="H687" s="16"/>
    </row>
    <row r="688" spans="2:8">
      <c r="B688" s="5"/>
      <c r="H688" s="16"/>
    </row>
    <row r="689" spans="2:8">
      <c r="B689" s="5"/>
      <c r="H689" s="16"/>
    </row>
    <row r="690" spans="2:8">
      <c r="B690" s="5"/>
      <c r="H690" s="16"/>
    </row>
    <row r="691" spans="2:8">
      <c r="B691" s="5"/>
      <c r="H691" s="16"/>
    </row>
    <row r="692" spans="2:8">
      <c r="B692" s="5"/>
      <c r="H692" s="16"/>
    </row>
    <row r="693" spans="2:8">
      <c r="B693" s="5"/>
      <c r="H693" s="16"/>
    </row>
    <row r="694" spans="2:8">
      <c r="B694" s="5"/>
      <c r="H694" s="16"/>
    </row>
    <row r="695" spans="2:8">
      <c r="B695" s="5"/>
      <c r="H695" s="16"/>
    </row>
    <row r="696" spans="2:8">
      <c r="B696" s="5"/>
      <c r="H696" s="16"/>
    </row>
    <row r="697" spans="2:8">
      <c r="B697" s="5"/>
      <c r="H697" s="16"/>
    </row>
    <row r="698" spans="2:8">
      <c r="B698" s="5"/>
      <c r="H698" s="16"/>
    </row>
    <row r="699" spans="2:8">
      <c r="B699" s="5"/>
      <c r="H699" s="16"/>
    </row>
    <row r="700" spans="2:8">
      <c r="B700" s="5"/>
      <c r="H700" s="16"/>
    </row>
    <row r="701" spans="2:8">
      <c r="B701" s="5"/>
      <c r="H701" s="16"/>
    </row>
    <row r="702" spans="2:8">
      <c r="B702" s="5"/>
      <c r="H702" s="16"/>
    </row>
    <row r="703" spans="2:8">
      <c r="B703" s="5"/>
      <c r="H703" s="16"/>
    </row>
    <row r="704" spans="2:8">
      <c r="B704" s="5"/>
      <c r="H704" s="16"/>
    </row>
    <row r="705" spans="2:8">
      <c r="B705" s="5"/>
      <c r="H705" s="16"/>
    </row>
    <row r="706" spans="2:8">
      <c r="B706" s="5"/>
      <c r="H706" s="16"/>
    </row>
    <row r="707" spans="2:8">
      <c r="B707" s="5"/>
      <c r="H707" s="16"/>
    </row>
    <row r="708" spans="2:8">
      <c r="B708" s="5"/>
      <c r="H708" s="16"/>
    </row>
    <row r="709" spans="2:8">
      <c r="B709" s="5"/>
      <c r="H709" s="16"/>
    </row>
    <row r="710" spans="2:8">
      <c r="B710" s="5"/>
      <c r="H710" s="16"/>
    </row>
    <row r="711" spans="2:8">
      <c r="B711" s="5"/>
      <c r="H711" s="16"/>
    </row>
    <row r="712" spans="2:8">
      <c r="B712" s="5"/>
      <c r="H712" s="16"/>
    </row>
    <row r="713" spans="2:8">
      <c r="B713" s="5"/>
      <c r="H713" s="16"/>
    </row>
    <row r="714" spans="2:8">
      <c r="B714" s="5"/>
      <c r="H714" s="16"/>
    </row>
    <row r="715" spans="2:8">
      <c r="B715" s="5"/>
      <c r="H715" s="16"/>
    </row>
    <row r="716" spans="2:8">
      <c r="B716" s="5"/>
      <c r="H716" s="16"/>
    </row>
    <row r="717" spans="2:8">
      <c r="B717" s="5"/>
      <c r="H717" s="16"/>
    </row>
    <row r="718" spans="2:8">
      <c r="B718" s="5"/>
      <c r="H718" s="16"/>
    </row>
    <row r="719" spans="2:8">
      <c r="B719" s="5"/>
      <c r="H719" s="16"/>
    </row>
    <row r="720" spans="2:8">
      <c r="B720" s="5"/>
      <c r="H720" s="16"/>
    </row>
    <row r="721" spans="2:8">
      <c r="B721" s="5"/>
      <c r="H721" s="16"/>
    </row>
    <row r="722" spans="2:8">
      <c r="B722" s="5"/>
      <c r="H722" s="16"/>
    </row>
    <row r="723" spans="2:8">
      <c r="B723" s="5"/>
      <c r="H723" s="16"/>
    </row>
    <row r="724" spans="2:8">
      <c r="B724" s="5"/>
      <c r="H724" s="16"/>
    </row>
    <row r="725" spans="2:8">
      <c r="B725" s="5"/>
      <c r="H725" s="16"/>
    </row>
    <row r="726" spans="2:8">
      <c r="B726" s="5"/>
      <c r="H726" s="16"/>
    </row>
    <row r="727" spans="2:8">
      <c r="B727" s="5"/>
      <c r="H727" s="16"/>
    </row>
    <row r="728" spans="2:8">
      <c r="B728" s="5"/>
      <c r="H728" s="16"/>
    </row>
    <row r="729" spans="2:8">
      <c r="B729" s="5"/>
      <c r="H729" s="16"/>
    </row>
    <row r="730" spans="2:8">
      <c r="B730" s="5"/>
      <c r="H730" s="16"/>
    </row>
    <row r="731" spans="2:8">
      <c r="B731" s="5"/>
      <c r="H731" s="16"/>
    </row>
    <row r="732" spans="2:8">
      <c r="B732" s="5"/>
      <c r="H732" s="16"/>
    </row>
    <row r="733" spans="2:8">
      <c r="B733" s="5"/>
      <c r="H733" s="16"/>
    </row>
    <row r="734" spans="2:8">
      <c r="B734" s="5"/>
      <c r="H734" s="16"/>
    </row>
    <row r="735" spans="2:8">
      <c r="B735" s="5"/>
      <c r="H735" s="16"/>
    </row>
    <row r="736" spans="2:8">
      <c r="B736" s="5"/>
      <c r="H736" s="16"/>
    </row>
    <row r="737" spans="2:8">
      <c r="B737" s="5"/>
      <c r="H737" s="16"/>
    </row>
    <row r="738" spans="2:8">
      <c r="B738" s="5"/>
      <c r="H738" s="16"/>
    </row>
    <row r="739" spans="2:8">
      <c r="B739" s="5"/>
      <c r="H739" s="16"/>
    </row>
    <row r="740" spans="2:8">
      <c r="B740" s="5"/>
      <c r="H740" s="16"/>
    </row>
    <row r="741" spans="2:8">
      <c r="B741" s="5"/>
      <c r="H741" s="16"/>
    </row>
    <row r="742" spans="2:8">
      <c r="B742" s="5"/>
      <c r="H742" s="16"/>
    </row>
    <row r="743" spans="2:8">
      <c r="B743" s="5"/>
      <c r="H743" s="16"/>
    </row>
    <row r="744" spans="2:8">
      <c r="B744" s="5"/>
      <c r="H744" s="16"/>
    </row>
    <row r="745" spans="2:8">
      <c r="B745" s="5"/>
      <c r="H745" s="16"/>
    </row>
    <row r="746" spans="2:8">
      <c r="B746" s="5"/>
      <c r="H746" s="16"/>
    </row>
    <row r="747" spans="2:8">
      <c r="B747" s="5"/>
      <c r="H747" s="16"/>
    </row>
    <row r="748" spans="2:8">
      <c r="B748" s="5"/>
      <c r="H748" s="16"/>
    </row>
    <row r="749" spans="2:8">
      <c r="B749" s="5"/>
      <c r="H749" s="16"/>
    </row>
    <row r="750" spans="2:8">
      <c r="B750" s="5"/>
      <c r="H750" s="16"/>
    </row>
    <row r="751" spans="2:8">
      <c r="B751" s="5"/>
      <c r="H751" s="16"/>
    </row>
    <row r="752" spans="2:8">
      <c r="B752" s="5"/>
      <c r="H752" s="16"/>
    </row>
    <row r="753" spans="2:8">
      <c r="B753" s="5"/>
      <c r="H753" s="16"/>
    </row>
    <row r="754" spans="2:8">
      <c r="B754" s="5"/>
      <c r="H754" s="16"/>
    </row>
    <row r="755" spans="2:8">
      <c r="B755" s="5"/>
      <c r="H755" s="16"/>
    </row>
    <row r="756" spans="2:8">
      <c r="B756" s="5"/>
      <c r="H756" s="16"/>
    </row>
    <row r="757" spans="2:8">
      <c r="B757" s="5"/>
      <c r="H757" s="16"/>
    </row>
    <row r="758" spans="2:8">
      <c r="B758" s="5"/>
      <c r="H758" s="16"/>
    </row>
    <row r="759" spans="2:8">
      <c r="B759" s="5"/>
      <c r="H759" s="16"/>
    </row>
    <row r="760" spans="2:8">
      <c r="B760" s="5"/>
      <c r="H760" s="16"/>
    </row>
    <row r="761" spans="2:8">
      <c r="B761" s="5"/>
      <c r="H761" s="16"/>
    </row>
    <row r="762" spans="2:8">
      <c r="B762" s="5"/>
      <c r="H762" s="16"/>
    </row>
    <row r="763" spans="2:8">
      <c r="B763" s="5"/>
      <c r="H763" s="16"/>
    </row>
    <row r="764" spans="2:8">
      <c r="B764" s="5"/>
      <c r="H764" s="16"/>
    </row>
    <row r="765" spans="2:8">
      <c r="B765" s="5"/>
      <c r="H765" s="16"/>
    </row>
    <row r="766" spans="2:8">
      <c r="B766" s="5"/>
      <c r="H766" s="16"/>
    </row>
    <row r="767" spans="2:8">
      <c r="B767" s="5"/>
      <c r="H767" s="16"/>
    </row>
    <row r="768" spans="2:8">
      <c r="B768" s="5"/>
      <c r="H768" s="16"/>
    </row>
    <row r="769" spans="2:8">
      <c r="B769" s="5"/>
      <c r="H769" s="16"/>
    </row>
    <row r="770" spans="2:8">
      <c r="B770" s="5"/>
      <c r="H770" s="16"/>
    </row>
    <row r="771" spans="2:8">
      <c r="B771" s="5"/>
      <c r="H771" s="16"/>
    </row>
    <row r="772" spans="2:8">
      <c r="B772" s="5"/>
      <c r="H772" s="16"/>
    </row>
    <row r="773" spans="2:8">
      <c r="B773" s="5"/>
      <c r="H773" s="16"/>
    </row>
    <row r="774" spans="2:8">
      <c r="B774" s="5"/>
      <c r="H774" s="16"/>
    </row>
    <row r="775" spans="2:8">
      <c r="B775" s="5"/>
      <c r="H775" s="16"/>
    </row>
    <row r="776" spans="2:8">
      <c r="B776" s="5"/>
      <c r="H776" s="16"/>
    </row>
    <row r="777" spans="2:8">
      <c r="B777" s="5"/>
      <c r="H777" s="16"/>
    </row>
    <row r="778" spans="2:8">
      <c r="B778" s="5"/>
      <c r="H778" s="16"/>
    </row>
    <row r="779" spans="2:8">
      <c r="B779" s="5"/>
      <c r="H779" s="16"/>
    </row>
    <row r="780" spans="2:8">
      <c r="B780" s="5"/>
      <c r="H780" s="16"/>
    </row>
    <row r="781" spans="2:8">
      <c r="B781" s="5"/>
      <c r="H781" s="16"/>
    </row>
    <row r="782" spans="2:8">
      <c r="B782" s="5"/>
      <c r="H782" s="16"/>
    </row>
    <row r="783" spans="2:8">
      <c r="B783" s="5"/>
      <c r="H783" s="16"/>
    </row>
    <row r="784" spans="2:8">
      <c r="B784" s="5"/>
      <c r="H784" s="16"/>
    </row>
    <row r="785" spans="2:8">
      <c r="B785" s="5"/>
      <c r="H785" s="16"/>
    </row>
    <row r="786" spans="2:8">
      <c r="B786" s="5"/>
      <c r="H786" s="16"/>
    </row>
    <row r="787" spans="2:8">
      <c r="B787" s="5"/>
      <c r="H787" s="16"/>
    </row>
    <row r="788" spans="2:8">
      <c r="B788" s="5"/>
      <c r="H788" s="16"/>
    </row>
    <row r="789" spans="2:8">
      <c r="B789" s="5"/>
      <c r="H789" s="16"/>
    </row>
    <row r="790" spans="2:8">
      <c r="B790" s="5"/>
      <c r="H790" s="16"/>
    </row>
    <row r="791" spans="2:8">
      <c r="B791" s="5"/>
      <c r="H791" s="16"/>
    </row>
    <row r="792" spans="2:8">
      <c r="B792" s="5"/>
      <c r="H792" s="16"/>
    </row>
    <row r="793" spans="2:8">
      <c r="B793" s="5"/>
      <c r="H793" s="16"/>
    </row>
    <row r="794" spans="2:8">
      <c r="B794" s="5"/>
      <c r="H794" s="16"/>
    </row>
    <row r="795" spans="2:8">
      <c r="B795" s="5"/>
      <c r="H795" s="16"/>
    </row>
    <row r="796" spans="2:8">
      <c r="B796" s="5"/>
      <c r="H796" s="16"/>
    </row>
    <row r="797" spans="2:8">
      <c r="B797" s="5"/>
      <c r="H797" s="16"/>
    </row>
    <row r="798" spans="2:8">
      <c r="B798" s="5"/>
      <c r="H798" s="16"/>
    </row>
    <row r="799" spans="2:8">
      <c r="B799" s="5"/>
      <c r="H799" s="16"/>
    </row>
    <row r="800" spans="2:8">
      <c r="B800" s="5"/>
      <c r="H800" s="16"/>
    </row>
    <row r="801" spans="2:8">
      <c r="B801" s="5"/>
      <c r="H801" s="16"/>
    </row>
    <row r="802" spans="2:8">
      <c r="B802" s="5"/>
      <c r="H802" s="16"/>
    </row>
    <row r="803" spans="2:8">
      <c r="B803" s="5"/>
      <c r="H803" s="16"/>
    </row>
    <row r="804" spans="2:8">
      <c r="B804" s="5"/>
      <c r="H804" s="16"/>
    </row>
    <row r="805" spans="2:8">
      <c r="B805" s="5"/>
      <c r="H805" s="16"/>
    </row>
    <row r="806" spans="2:8">
      <c r="B806" s="5"/>
      <c r="H806" s="16"/>
    </row>
    <row r="807" spans="2:8">
      <c r="B807" s="5"/>
      <c r="H807" s="16"/>
    </row>
    <row r="808" spans="2:8">
      <c r="B808" s="5"/>
      <c r="H808" s="16"/>
    </row>
    <row r="809" spans="2:8">
      <c r="B809" s="5"/>
      <c r="H809" s="16"/>
    </row>
    <row r="810" spans="2:8">
      <c r="B810" s="5"/>
      <c r="H810" s="16"/>
    </row>
    <row r="811" spans="2:8">
      <c r="B811" s="5"/>
      <c r="H811" s="16"/>
    </row>
    <row r="812" spans="2:8">
      <c r="B812" s="5"/>
      <c r="H812" s="16"/>
    </row>
    <row r="813" spans="2:8">
      <c r="B813" s="5"/>
      <c r="H813" s="16"/>
    </row>
    <row r="814" spans="2:8">
      <c r="B814" s="5"/>
      <c r="H814" s="16"/>
    </row>
    <row r="815" spans="2:8">
      <c r="B815" s="5"/>
      <c r="H815" s="16"/>
    </row>
    <row r="816" spans="2:8">
      <c r="B816" s="5"/>
      <c r="H816" s="16"/>
    </row>
    <row r="817" spans="2:8">
      <c r="B817" s="5"/>
      <c r="H817" s="16"/>
    </row>
    <row r="818" spans="2:8">
      <c r="B818" s="5"/>
      <c r="H818" s="16"/>
    </row>
    <row r="819" spans="2:8">
      <c r="B819" s="5"/>
      <c r="H819" s="16"/>
    </row>
    <row r="820" spans="2:8">
      <c r="B820" s="5"/>
      <c r="H820" s="16"/>
    </row>
    <row r="821" spans="2:8">
      <c r="B821" s="5"/>
      <c r="H821" s="16"/>
    </row>
    <row r="822" spans="2:8">
      <c r="B822" s="5"/>
      <c r="H822" s="16"/>
    </row>
    <row r="823" spans="2:8">
      <c r="B823" s="5"/>
      <c r="H823" s="16"/>
    </row>
    <row r="824" spans="2:8">
      <c r="B824" s="5"/>
      <c r="H824" s="16"/>
    </row>
    <row r="825" spans="2:8">
      <c r="B825" s="5"/>
      <c r="H825" s="16"/>
    </row>
    <row r="826" spans="2:8">
      <c r="B826" s="5"/>
      <c r="H826" s="16"/>
    </row>
    <row r="827" spans="2:8">
      <c r="B827" s="5"/>
      <c r="H827" s="16"/>
    </row>
    <row r="828" spans="2:8">
      <c r="B828" s="5"/>
      <c r="H828" s="16"/>
    </row>
    <row r="829" spans="2:8">
      <c r="B829" s="5"/>
      <c r="H829" s="16"/>
    </row>
    <row r="830" spans="2:8">
      <c r="B830" s="5"/>
      <c r="H830" s="16"/>
    </row>
    <row r="831" spans="2:8">
      <c r="B831" s="5"/>
      <c r="H831" s="16"/>
    </row>
    <row r="832" spans="2:8">
      <c r="B832" s="5"/>
      <c r="H832" s="16"/>
    </row>
    <row r="833" spans="2:8">
      <c r="B833" s="5"/>
      <c r="H833" s="16"/>
    </row>
    <row r="834" spans="2:8">
      <c r="B834" s="5"/>
      <c r="H834" s="16"/>
    </row>
    <row r="835" spans="2:8">
      <c r="B835" s="5"/>
      <c r="H835" s="16"/>
    </row>
    <row r="836" spans="2:8">
      <c r="B836" s="5"/>
      <c r="H836" s="16"/>
    </row>
    <row r="837" spans="2:8">
      <c r="B837" s="5"/>
      <c r="H837" s="16"/>
    </row>
    <row r="838" spans="2:8">
      <c r="B838" s="5"/>
      <c r="H838" s="16"/>
    </row>
    <row r="839" spans="2:8">
      <c r="B839" s="5"/>
      <c r="H839" s="16"/>
    </row>
    <row r="840" spans="2:8">
      <c r="B840" s="5"/>
      <c r="H840" s="16"/>
    </row>
    <row r="841" spans="2:8">
      <c r="B841" s="5"/>
      <c r="H841" s="16"/>
    </row>
    <row r="842" spans="2:8">
      <c r="B842" s="5"/>
      <c r="H842" s="16"/>
    </row>
    <row r="843" spans="2:8">
      <c r="B843" s="5"/>
      <c r="H843" s="16"/>
    </row>
    <row r="844" spans="2:8">
      <c r="B844" s="5"/>
      <c r="H844" s="16"/>
    </row>
    <row r="845" spans="2:8">
      <c r="B845" s="5"/>
      <c r="H845" s="16"/>
    </row>
    <row r="846" spans="2:8">
      <c r="B846" s="5"/>
      <c r="H846" s="16"/>
    </row>
    <row r="847" spans="2:8">
      <c r="B847" s="5"/>
      <c r="H847" s="16"/>
    </row>
    <row r="848" spans="2:8">
      <c r="B848" s="5"/>
      <c r="H848" s="16"/>
    </row>
    <row r="849" spans="2:8">
      <c r="B849" s="5"/>
      <c r="H849" s="16"/>
    </row>
    <row r="850" spans="2:8">
      <c r="B850" s="5"/>
      <c r="H850" s="16"/>
    </row>
    <row r="851" spans="2:8">
      <c r="B851" s="5"/>
      <c r="H851" s="16"/>
    </row>
    <row r="852" spans="2:8">
      <c r="B852" s="5"/>
      <c r="H852" s="16"/>
    </row>
    <row r="853" spans="2:8">
      <c r="B853" s="5"/>
      <c r="H853" s="16"/>
    </row>
    <row r="854" spans="2:8">
      <c r="B854" s="5"/>
      <c r="H854" s="16"/>
    </row>
    <row r="855" spans="2:8">
      <c r="B855" s="5"/>
      <c r="H855" s="16"/>
    </row>
    <row r="856" spans="2:8">
      <c r="B856" s="5"/>
      <c r="H856" s="16"/>
    </row>
    <row r="857" spans="2:8">
      <c r="B857" s="5"/>
      <c r="H857" s="16"/>
    </row>
    <row r="858" spans="2:8">
      <c r="B858" s="5"/>
      <c r="H858" s="16"/>
    </row>
    <row r="859" spans="2:8">
      <c r="B859" s="5"/>
      <c r="H859" s="16"/>
    </row>
    <row r="860" spans="2:8">
      <c r="B860" s="5"/>
      <c r="H860" s="16"/>
    </row>
    <row r="861" spans="2:8">
      <c r="B861" s="5"/>
      <c r="H861" s="16"/>
    </row>
    <row r="862" spans="2:8">
      <c r="B862" s="5"/>
      <c r="H862" s="16"/>
    </row>
    <row r="863" spans="2:8">
      <c r="B863" s="5"/>
      <c r="H863" s="16"/>
    </row>
    <row r="864" spans="2:8">
      <c r="B864" s="5"/>
      <c r="H864" s="16"/>
    </row>
    <row r="865" spans="2:8">
      <c r="B865" s="5"/>
      <c r="H865" s="16"/>
    </row>
    <row r="866" spans="2:8">
      <c r="B866" s="5"/>
      <c r="H866" s="16"/>
    </row>
    <row r="867" spans="2:8">
      <c r="B867" s="5"/>
      <c r="H867" s="16"/>
    </row>
    <row r="868" spans="2:8">
      <c r="B868" s="5"/>
      <c r="H868" s="16"/>
    </row>
    <row r="869" spans="2:8">
      <c r="B869" s="5"/>
      <c r="H869" s="16"/>
    </row>
    <row r="870" spans="2:8">
      <c r="B870" s="5"/>
      <c r="H870" s="16"/>
    </row>
    <row r="871" spans="2:8">
      <c r="B871" s="5"/>
      <c r="H871" s="16"/>
    </row>
    <row r="872" spans="2:8">
      <c r="B872" s="5"/>
      <c r="H872" s="16"/>
    </row>
    <row r="873" spans="2:8">
      <c r="B873" s="5"/>
      <c r="H873" s="16"/>
    </row>
    <row r="874" spans="2:8">
      <c r="B874" s="5"/>
      <c r="H874" s="16"/>
    </row>
    <row r="875" spans="2:8">
      <c r="B875" s="5"/>
      <c r="H875" s="16"/>
    </row>
    <row r="876" spans="2:8">
      <c r="B876" s="5"/>
      <c r="H876" s="16"/>
    </row>
    <row r="877" spans="2:8">
      <c r="B877" s="5"/>
      <c r="H877" s="16"/>
    </row>
    <row r="878" spans="2:8">
      <c r="B878" s="5"/>
      <c r="H878" s="16"/>
    </row>
    <row r="879" spans="2:8">
      <c r="B879" s="5"/>
      <c r="H879" s="16"/>
    </row>
    <row r="880" spans="2:8">
      <c r="B880" s="5"/>
      <c r="H880" s="16"/>
    </row>
    <row r="881" spans="2:8">
      <c r="B881" s="5"/>
      <c r="H881" s="16"/>
    </row>
    <row r="882" spans="2:8">
      <c r="B882" s="5"/>
      <c r="H882" s="16"/>
    </row>
    <row r="883" spans="2:8">
      <c r="B883" s="5"/>
      <c r="H883" s="16"/>
    </row>
    <row r="884" spans="2:8">
      <c r="B884" s="5"/>
      <c r="H884" s="16"/>
    </row>
    <row r="885" spans="2:8">
      <c r="B885" s="5"/>
      <c r="H885" s="16"/>
    </row>
    <row r="886" spans="2:8">
      <c r="B886" s="5"/>
      <c r="H886" s="16"/>
    </row>
    <row r="887" spans="2:8">
      <c r="B887" s="5"/>
      <c r="H887" s="16"/>
    </row>
    <row r="888" spans="2:8">
      <c r="B888" s="5"/>
      <c r="H888" s="16"/>
    </row>
    <row r="889" spans="2:8">
      <c r="B889" s="5"/>
      <c r="H889" s="16"/>
    </row>
    <row r="890" spans="2:8">
      <c r="B890" s="5"/>
      <c r="H890" s="16"/>
    </row>
    <row r="891" spans="2:8">
      <c r="B891" s="5"/>
      <c r="H891" s="16"/>
    </row>
    <row r="892" spans="2:8">
      <c r="B892" s="5"/>
      <c r="H892" s="16"/>
    </row>
  </sheetData>
  <mergeCells count="27">
    <mergeCell ref="C47:F47"/>
    <mergeCell ref="C48:F48"/>
    <mergeCell ref="C49:F49"/>
    <mergeCell ref="C50:F50"/>
    <mergeCell ref="C42:F42"/>
    <mergeCell ref="C43:F43"/>
    <mergeCell ref="C44:F44"/>
    <mergeCell ref="C45:F45"/>
    <mergeCell ref="C46:F46"/>
    <mergeCell ref="A38:F38"/>
    <mergeCell ref="C41:F41"/>
    <mergeCell ref="A4:H4"/>
    <mergeCell ref="A10:F10"/>
    <mergeCell ref="A17:F17"/>
    <mergeCell ref="A23:F23"/>
    <mergeCell ref="A29:F29"/>
    <mergeCell ref="A35:F35"/>
    <mergeCell ref="G41:H41"/>
    <mergeCell ref="G47:H47"/>
    <mergeCell ref="G48:H48"/>
    <mergeCell ref="G49:H49"/>
    <mergeCell ref="G50:H50"/>
    <mergeCell ref="G42:H42"/>
    <mergeCell ref="G43:H43"/>
    <mergeCell ref="G44:H44"/>
    <mergeCell ref="G45:H45"/>
    <mergeCell ref="G46:H46"/>
  </mergeCells>
  <phoneticPr fontId="24" type="noConversion"/>
  <dataValidations count="1">
    <dataValidation type="list" allowBlank="1" showInputMessage="1" showErrorMessage="1" sqref="B42:B48" xr:uid="{00000000-0002-0000-0000-000000000000}">
      <formula1>$L$41:$L$45</formula1>
    </dataValidation>
  </dataValidations>
  <pageMargins left="0.7" right="0.7" top="0.75" bottom="0.75" header="0.3" footer="0.3"/>
  <pageSetup scale="57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892"/>
  <sheetViews>
    <sheetView showZeros="0" zoomScale="85" zoomScaleNormal="85" workbookViewId="0">
      <selection activeCell="B2" sqref="B2:H2"/>
    </sheetView>
  </sheetViews>
  <sheetFormatPr defaultColWidth="10.875" defaultRowHeight="18.95"/>
  <cols>
    <col min="1" max="1" width="35.625" customWidth="1"/>
    <col min="2" max="2" width="14.625" style="16" customWidth="1"/>
    <col min="3" max="7" width="15.875" style="5" customWidth="1"/>
    <col min="8" max="8" width="15.875" style="17" customWidth="1"/>
    <col min="9" max="9" width="10.875" style="5"/>
    <col min="10" max="12" width="0" style="5" hidden="1" customWidth="1"/>
    <col min="13" max="16384" width="10.875" style="5"/>
  </cols>
  <sheetData>
    <row r="1" spans="1:10" customFormat="1" ht="15.95">
      <c r="A1" s="41"/>
      <c r="B1" s="42"/>
      <c r="C1" s="43"/>
      <c r="D1" s="43"/>
      <c r="E1" s="45" t="s">
        <v>25</v>
      </c>
      <c r="F1" s="43"/>
      <c r="G1" s="45" t="s">
        <v>26</v>
      </c>
      <c r="H1" s="44"/>
    </row>
    <row r="2" spans="1:10" ht="18.75">
      <c r="A2" s="30"/>
      <c r="B2" s="19" t="s">
        <v>29</v>
      </c>
      <c r="C2" s="18" t="s">
        <v>30</v>
      </c>
      <c r="D2" s="18" t="s">
        <v>31</v>
      </c>
      <c r="E2" s="18" t="s">
        <v>32</v>
      </c>
      <c r="F2" s="18" t="s">
        <v>33</v>
      </c>
      <c r="G2" s="18" t="s">
        <v>27</v>
      </c>
      <c r="H2" s="18" t="s">
        <v>28</v>
      </c>
    </row>
    <row r="3" spans="1:10" ht="21" customHeight="1">
      <c r="A3" s="31" t="s">
        <v>7</v>
      </c>
      <c r="B3" s="6">
        <f>'OPENING WEEK 1'!H3+1</f>
        <v>45900</v>
      </c>
      <c r="C3" s="6">
        <f t="shared" ref="C3:H3" si="0">B3+1</f>
        <v>45901</v>
      </c>
      <c r="D3" s="6">
        <f t="shared" si="0"/>
        <v>45902</v>
      </c>
      <c r="E3" s="6">
        <f t="shared" si="0"/>
        <v>45903</v>
      </c>
      <c r="F3" s="6">
        <f t="shared" si="0"/>
        <v>45904</v>
      </c>
      <c r="G3" s="6">
        <f t="shared" si="0"/>
        <v>45905</v>
      </c>
      <c r="H3" s="6">
        <f t="shared" si="0"/>
        <v>45906</v>
      </c>
    </row>
    <row r="4" spans="1:10" s="7" customFormat="1">
      <c r="A4" s="181" t="s">
        <v>34</v>
      </c>
      <c r="B4" s="181"/>
      <c r="C4" s="181"/>
      <c r="D4" s="181"/>
      <c r="E4" s="181"/>
      <c r="F4" s="181"/>
      <c r="G4" s="181"/>
      <c r="H4" s="181"/>
    </row>
    <row r="5" spans="1:10" s="7" customFormat="1" ht="26.1" customHeight="1">
      <c r="A5" s="32" t="s">
        <v>8</v>
      </c>
      <c r="B5" s="27"/>
      <c r="C5" s="27"/>
      <c r="D5" s="27"/>
      <c r="E5" s="27"/>
      <c r="F5" s="27"/>
      <c r="G5" s="27"/>
      <c r="H5" s="27"/>
    </row>
    <row r="6" spans="1:10" s="7" customFormat="1" ht="26.1" customHeight="1">
      <c r="A6" s="4" t="s">
        <v>23</v>
      </c>
      <c r="B6" s="62"/>
      <c r="C6" s="62"/>
      <c r="D6" s="62"/>
      <c r="E6" s="62"/>
      <c r="F6" s="62"/>
      <c r="G6" s="62"/>
      <c r="H6" s="62"/>
    </row>
    <row r="7" spans="1:10" s="7" customFormat="1" ht="21.95" customHeight="1">
      <c r="A7" s="32" t="s">
        <v>35</v>
      </c>
      <c r="B7" s="27"/>
      <c r="C7" s="28"/>
      <c r="D7" s="28"/>
      <c r="E7" s="28"/>
      <c r="F7" s="28"/>
      <c r="G7" s="28"/>
      <c r="H7" s="27"/>
    </row>
    <row r="8" spans="1:10" s="7" customFormat="1" ht="24.95" customHeight="1" thickBot="1">
      <c r="A8" s="83" t="s">
        <v>36</v>
      </c>
      <c r="B8" s="84">
        <f t="shared" ref="B8:H8" si="1">B5+B6+B7</f>
        <v>0</v>
      </c>
      <c r="C8" s="84">
        <f t="shared" si="1"/>
        <v>0</v>
      </c>
      <c r="D8" s="84">
        <f t="shared" si="1"/>
        <v>0</v>
      </c>
      <c r="E8" s="84">
        <f t="shared" si="1"/>
        <v>0</v>
      </c>
      <c r="F8" s="84">
        <f t="shared" si="1"/>
        <v>0</v>
      </c>
      <c r="G8" s="84">
        <f t="shared" si="1"/>
        <v>0</v>
      </c>
      <c r="H8" s="84">
        <f t="shared" si="1"/>
        <v>0</v>
      </c>
    </row>
    <row r="9" spans="1:10" s="7" customFormat="1" ht="24.95" customHeight="1" thickBot="1">
      <c r="A9" s="33"/>
      <c r="B9" s="29"/>
      <c r="C9" s="29"/>
      <c r="D9" s="29"/>
      <c r="E9" s="29"/>
      <c r="F9" s="29"/>
      <c r="G9" s="63" t="s">
        <v>37</v>
      </c>
      <c r="H9" s="64">
        <f>SUM(B8:H8)</f>
        <v>0</v>
      </c>
    </row>
    <row r="10" spans="1:10" s="7" customFormat="1" ht="21" thickTop="1" thickBot="1">
      <c r="A10" s="182" t="s">
        <v>38</v>
      </c>
      <c r="B10" s="183"/>
      <c r="C10" s="183"/>
      <c r="D10" s="183"/>
      <c r="E10" s="183"/>
      <c r="F10" s="183"/>
      <c r="G10" s="65" t="s">
        <v>39</v>
      </c>
      <c r="H10" s="66">
        <v>-0.08</v>
      </c>
      <c r="I10" s="5"/>
      <c r="J10" s="26"/>
    </row>
    <row r="11" spans="1:10" s="7" customFormat="1" ht="30" customHeight="1">
      <c r="A11" s="39" t="s">
        <v>8</v>
      </c>
      <c r="B11" s="9">
        <f>B5+(B5*H10)</f>
        <v>0</v>
      </c>
      <c r="C11" s="9">
        <f>C5+(C5*H10)</f>
        <v>0</v>
      </c>
      <c r="D11" s="67"/>
      <c r="E11" s="67"/>
      <c r="F11" s="9">
        <f>F5+(F5*H10)</f>
        <v>0</v>
      </c>
      <c r="G11" s="68">
        <f>G5+(G5*H10)</f>
        <v>0</v>
      </c>
      <c r="H11" s="69">
        <f>H5+(H5*H10)</f>
        <v>0</v>
      </c>
    </row>
    <row r="12" spans="1:10" s="7" customFormat="1" ht="30" customHeight="1">
      <c r="A12" s="70" t="s">
        <v>23</v>
      </c>
      <c r="B12" s="59">
        <f>B6+(B6*H10)</f>
        <v>0</v>
      </c>
      <c r="C12" s="58">
        <f>C6+(C6*H10)</f>
        <v>0</v>
      </c>
      <c r="D12" s="58">
        <f>D6+(D6*H10)</f>
        <v>0</v>
      </c>
      <c r="E12" s="58">
        <f>E6+(E6*H10)</f>
        <v>0</v>
      </c>
      <c r="F12" s="58">
        <f>F6+(F6*H10)</f>
        <v>0</v>
      </c>
      <c r="G12" s="58">
        <f>G6+(G6*H10)</f>
        <v>0</v>
      </c>
      <c r="H12" s="59">
        <f>H6+(H6*H10)</f>
        <v>0</v>
      </c>
    </row>
    <row r="13" spans="1:10" s="7" customFormat="1" ht="30" customHeight="1">
      <c r="A13" s="3" t="s">
        <v>35</v>
      </c>
      <c r="B13" s="8">
        <f>B7+(B7*H10)</f>
        <v>0</v>
      </c>
      <c r="C13" s="8">
        <f>C7+(C7*H10)</f>
        <v>0</v>
      </c>
      <c r="D13" s="8">
        <f>D7+(D7*H10)</f>
        <v>0</v>
      </c>
      <c r="E13" s="8">
        <f>E7+(E7*H10)</f>
        <v>0</v>
      </c>
      <c r="F13" s="8">
        <f>F7+(F7*H10)</f>
        <v>0</v>
      </c>
      <c r="G13" s="8">
        <f>G7+(G7*H10)</f>
        <v>0</v>
      </c>
      <c r="H13" s="8">
        <f>H7+(H7*H10)</f>
        <v>0</v>
      </c>
    </row>
    <row r="14" spans="1:10" s="7" customFormat="1" ht="27" customHeight="1" thickBot="1">
      <c r="A14" s="85" t="s">
        <v>36</v>
      </c>
      <c r="B14" s="87">
        <f t="shared" ref="B14:H14" si="2">B11+B12+B13</f>
        <v>0</v>
      </c>
      <c r="C14" s="87">
        <f t="shared" si="2"/>
        <v>0</v>
      </c>
      <c r="D14" s="87">
        <f t="shared" si="2"/>
        <v>0</v>
      </c>
      <c r="E14" s="87">
        <f t="shared" si="2"/>
        <v>0</v>
      </c>
      <c r="F14" s="87">
        <f t="shared" si="2"/>
        <v>0</v>
      </c>
      <c r="G14" s="87">
        <f t="shared" si="2"/>
        <v>0</v>
      </c>
      <c r="H14" s="87">
        <f t="shared" si="2"/>
        <v>0</v>
      </c>
    </row>
    <row r="15" spans="1:10" s="7" customFormat="1" ht="24.95" customHeight="1" thickBot="1">
      <c r="A15" s="86" t="s">
        <v>40</v>
      </c>
      <c r="B15" s="92" t="e">
        <f t="shared" ref="B15:H15" si="3">(B14-B8)/B8</f>
        <v>#DIV/0!</v>
      </c>
      <c r="C15" s="93" t="e">
        <f t="shared" si="3"/>
        <v>#DIV/0!</v>
      </c>
      <c r="D15" s="93" t="e">
        <f t="shared" si="3"/>
        <v>#DIV/0!</v>
      </c>
      <c r="E15" s="93" t="e">
        <f t="shared" si="3"/>
        <v>#DIV/0!</v>
      </c>
      <c r="F15" s="93" t="e">
        <f t="shared" si="3"/>
        <v>#DIV/0!</v>
      </c>
      <c r="G15" s="93" t="e">
        <f t="shared" si="3"/>
        <v>#DIV/0!</v>
      </c>
      <c r="H15" s="94" t="e">
        <f t="shared" si="3"/>
        <v>#DIV/0!</v>
      </c>
      <c r="I15" s="71"/>
    </row>
    <row r="16" spans="1:10" ht="32.1" customHeight="1" thickBot="1">
      <c r="B16" s="88"/>
      <c r="C16" s="88"/>
      <c r="D16" s="88"/>
      <c r="E16" s="88"/>
      <c r="F16" s="89"/>
      <c r="G16" s="90" t="s">
        <v>37</v>
      </c>
      <c r="H16" s="91">
        <f>SUM(B14:H14)</f>
        <v>0</v>
      </c>
    </row>
    <row r="17" spans="1:8" s="7" customFormat="1" ht="21.95" thickTop="1" thickBot="1">
      <c r="A17" s="184" t="s">
        <v>41</v>
      </c>
      <c r="B17" s="185"/>
      <c r="C17" s="185"/>
      <c r="D17" s="185"/>
      <c r="E17" s="185"/>
      <c r="F17" s="185"/>
      <c r="G17" s="72" t="s">
        <v>42</v>
      </c>
      <c r="H17" s="66" t="e">
        <f>(H16-H9)/H9</f>
        <v>#DIV/0!</v>
      </c>
    </row>
    <row r="18" spans="1:8" s="7" customFormat="1" ht="30" customHeight="1">
      <c r="A18" s="35" t="s">
        <v>43</v>
      </c>
      <c r="B18" s="158"/>
      <c r="C18" s="158"/>
      <c r="D18" s="73">
        <v>325</v>
      </c>
      <c r="E18" s="73">
        <v>346</v>
      </c>
      <c r="F18" s="159">
        <v>264</v>
      </c>
      <c r="G18" s="159">
        <v>329</v>
      </c>
      <c r="H18" s="160"/>
    </row>
    <row r="19" spans="1:8" s="7" customFormat="1" ht="30" customHeight="1">
      <c r="A19" s="35" t="str">
        <f>'OPENING WEEK 1'!A19</f>
        <v>Non Meal Plan Meals</v>
      </c>
      <c r="B19" s="12"/>
      <c r="C19" s="12"/>
      <c r="D19" s="73"/>
      <c r="E19" s="73"/>
      <c r="F19" s="24"/>
      <c r="G19" s="24"/>
      <c r="H19" s="74"/>
    </row>
    <row r="20" spans="1:8" s="7" customFormat="1" ht="30" customHeight="1">
      <c r="A20" s="35" t="str">
        <f>'OPENING WEEK 1'!A20</f>
        <v>Meal Plan Meals</v>
      </c>
      <c r="B20" s="95"/>
      <c r="C20" s="95"/>
      <c r="D20" s="67"/>
      <c r="E20" s="67"/>
      <c r="F20" s="95"/>
      <c r="G20" s="95"/>
      <c r="H20" s="75"/>
    </row>
    <row r="21" spans="1:8" s="7" customFormat="1" ht="24.95" customHeight="1" thickBot="1">
      <c r="A21" s="36" t="s">
        <v>45</v>
      </c>
      <c r="B21" s="77">
        <f t="shared" ref="B21:H21" si="4">SUM(B18:B20)</f>
        <v>0</v>
      </c>
      <c r="C21" s="77">
        <f t="shared" si="4"/>
        <v>0</v>
      </c>
      <c r="D21" s="96">
        <f t="shared" si="4"/>
        <v>325</v>
      </c>
      <c r="E21" s="96">
        <f t="shared" si="4"/>
        <v>346</v>
      </c>
      <c r="F21" s="77">
        <f t="shared" si="4"/>
        <v>264</v>
      </c>
      <c r="G21" s="77">
        <f t="shared" si="4"/>
        <v>329</v>
      </c>
      <c r="H21" s="77">
        <f t="shared" si="4"/>
        <v>0</v>
      </c>
    </row>
    <row r="22" spans="1:8" s="7" customFormat="1" ht="24.95" customHeight="1" thickBot="1">
      <c r="A22" s="34" t="s">
        <v>40</v>
      </c>
      <c r="B22" s="92" t="e">
        <f>(B21-B5)/B5</f>
        <v>#DIV/0!</v>
      </c>
      <c r="C22" s="93" t="e">
        <f>(C21-C5)/C5</f>
        <v>#DIV/0!</v>
      </c>
      <c r="D22" s="99"/>
      <c r="E22" s="99"/>
      <c r="F22" s="110" t="e">
        <f>(F21-F5)/F5</f>
        <v>#DIV/0!</v>
      </c>
      <c r="G22" s="93" t="e">
        <f>(G21-G5)/G5</f>
        <v>#DIV/0!</v>
      </c>
      <c r="H22" s="94" t="e">
        <f>(H21-H5)/H5</f>
        <v>#DIV/0!</v>
      </c>
    </row>
    <row r="23" spans="1:8" s="7" customFormat="1">
      <c r="A23" s="186" t="s">
        <v>46</v>
      </c>
      <c r="B23" s="187"/>
      <c r="C23" s="187"/>
      <c r="D23" s="187"/>
      <c r="E23" s="187"/>
      <c r="F23" s="188" t="s">
        <v>47</v>
      </c>
      <c r="G23" s="97"/>
      <c r="H23" s="98"/>
    </row>
    <row r="24" spans="1:8" s="7" customFormat="1" ht="30" customHeight="1">
      <c r="A24" s="35" t="s">
        <v>43</v>
      </c>
      <c r="B24" s="11">
        <v>181</v>
      </c>
      <c r="C24" s="12">
        <v>260</v>
      </c>
      <c r="D24" s="12">
        <v>534</v>
      </c>
      <c r="E24" s="12">
        <v>574</v>
      </c>
      <c r="F24" s="12">
        <v>507</v>
      </c>
      <c r="G24" s="12">
        <v>500</v>
      </c>
      <c r="H24" s="11">
        <v>434</v>
      </c>
    </row>
    <row r="25" spans="1:8" s="7" customFormat="1" ht="30" customHeight="1">
      <c r="A25" s="35" t="str">
        <f>'OPENING WEEK 1'!A25</f>
        <v>Non Meal Plan Meals</v>
      </c>
      <c r="B25" s="117"/>
      <c r="C25" s="117"/>
      <c r="D25" s="117"/>
      <c r="E25" s="117"/>
      <c r="F25" s="117"/>
      <c r="G25" s="117"/>
      <c r="H25" s="117"/>
    </row>
    <row r="26" spans="1:8" s="7" customFormat="1" ht="30" customHeight="1">
      <c r="A26" s="35" t="str">
        <f>'OPENING WEEK 1'!A26</f>
        <v>Meal Plan Meals</v>
      </c>
      <c r="B26" s="11"/>
      <c r="C26" s="11"/>
      <c r="D26" s="11"/>
      <c r="E26" s="11"/>
      <c r="F26" s="11"/>
      <c r="G26" s="11"/>
      <c r="H26" s="11"/>
    </row>
    <row r="27" spans="1:8" s="7" customFormat="1" ht="27.95" customHeight="1">
      <c r="A27" s="35" t="str">
        <f>'OPENING WEEK 1'!A27</f>
        <v>Total - Lunch</v>
      </c>
      <c r="B27" s="100">
        <f t="shared" ref="B27:H27" si="5">SUM(B24:B26)</f>
        <v>181</v>
      </c>
      <c r="C27" s="100">
        <f t="shared" si="5"/>
        <v>260</v>
      </c>
      <c r="D27" s="100">
        <f t="shared" si="5"/>
        <v>534</v>
      </c>
      <c r="E27" s="100">
        <f t="shared" si="5"/>
        <v>574</v>
      </c>
      <c r="F27" s="100">
        <f t="shared" si="5"/>
        <v>507</v>
      </c>
      <c r="G27" s="100">
        <f t="shared" si="5"/>
        <v>500</v>
      </c>
      <c r="H27" s="100">
        <f t="shared" si="5"/>
        <v>434</v>
      </c>
    </row>
    <row r="28" spans="1:8" s="7" customFormat="1" ht="24.95" customHeight="1">
      <c r="A28" s="35" t="str">
        <f>'OPENING WEEK 1'!A28</f>
        <v>% vPY Act</v>
      </c>
      <c r="B28" s="92" t="e">
        <f>(B27-B6)/B6</f>
        <v>#DIV/0!</v>
      </c>
      <c r="C28" s="93" t="e">
        <f>(C27-C6)/C6</f>
        <v>#DIV/0!</v>
      </c>
      <c r="D28" s="93" t="e">
        <f>(D27-D6)/D6</f>
        <v>#DIV/0!</v>
      </c>
      <c r="E28" s="93" t="e">
        <f>(E27-E6)/E6</f>
        <v>#DIV/0!</v>
      </c>
      <c r="F28" s="93" t="e">
        <f>(F27-F6)/F6</f>
        <v>#DIV/0!</v>
      </c>
      <c r="G28" s="93" t="e">
        <f>(G27-G6)/G6</f>
        <v>#DIV/0!</v>
      </c>
      <c r="H28" s="94" t="e">
        <f>(H27-H6)/H6</f>
        <v>#DIV/0!</v>
      </c>
    </row>
    <row r="29" spans="1:8" s="7" customFormat="1" ht="18.95" customHeight="1">
      <c r="A29" s="161" t="str">
        <f>'OPENING WEEK 1'!A29</f>
        <v xml:space="preserve">                                                            Dinner</v>
      </c>
      <c r="B29" s="156"/>
      <c r="C29" s="156"/>
      <c r="D29" s="156"/>
      <c r="E29" s="156"/>
      <c r="F29" s="157" t="s">
        <v>35</v>
      </c>
      <c r="G29" s="101"/>
      <c r="H29" s="102"/>
    </row>
    <row r="30" spans="1:8" s="7" customFormat="1" ht="30" customHeight="1">
      <c r="A30" s="35" t="str">
        <f>'OPENING WEEK 1'!A30</f>
        <v>Greeter Total</v>
      </c>
      <c r="B30" s="10">
        <v>167</v>
      </c>
      <c r="C30" s="10">
        <v>501</v>
      </c>
      <c r="D30" s="9">
        <v>596</v>
      </c>
      <c r="E30" s="9">
        <v>496</v>
      </c>
      <c r="F30" s="9">
        <v>600</v>
      </c>
      <c r="G30" s="9">
        <v>394</v>
      </c>
      <c r="H30" s="10">
        <v>237</v>
      </c>
    </row>
    <row r="31" spans="1:8" s="7" customFormat="1" ht="30" customHeight="1">
      <c r="A31" s="35" t="str">
        <f>'OPENING WEEK 1'!A31</f>
        <v>Non Meal Plan Meals</v>
      </c>
      <c r="B31" s="60"/>
      <c r="C31" s="60"/>
      <c r="D31" s="60"/>
      <c r="E31" s="60"/>
      <c r="F31" s="60"/>
      <c r="G31" s="60"/>
      <c r="H31" s="60"/>
    </row>
    <row r="32" spans="1:8" s="7" customFormat="1" ht="30" customHeight="1">
      <c r="A32" s="35" t="str">
        <f>'OPENING WEEK 1'!A32</f>
        <v>Meal Plan Meals</v>
      </c>
      <c r="B32" s="10"/>
      <c r="C32" s="10"/>
      <c r="D32" s="10"/>
      <c r="E32" s="10"/>
      <c r="F32" s="10"/>
      <c r="G32" s="10"/>
      <c r="H32" s="10"/>
    </row>
    <row r="33" spans="1:12" s="7" customFormat="1" ht="30.95" customHeight="1">
      <c r="A33" s="36" t="s">
        <v>53</v>
      </c>
      <c r="B33" s="103">
        <f t="shared" ref="B33:H33" si="6">SUM(B30:B32)</f>
        <v>167</v>
      </c>
      <c r="C33" s="103">
        <f t="shared" si="6"/>
        <v>501</v>
      </c>
      <c r="D33" s="103">
        <f t="shared" si="6"/>
        <v>596</v>
      </c>
      <c r="E33" s="103">
        <f t="shared" si="6"/>
        <v>496</v>
      </c>
      <c r="F33" s="103">
        <f t="shared" si="6"/>
        <v>600</v>
      </c>
      <c r="G33" s="103">
        <f t="shared" si="6"/>
        <v>394</v>
      </c>
      <c r="H33" s="103">
        <f t="shared" si="6"/>
        <v>237</v>
      </c>
    </row>
    <row r="34" spans="1:12" s="7" customFormat="1" ht="24.95" customHeight="1" thickBot="1">
      <c r="A34" s="34" t="s">
        <v>40</v>
      </c>
      <c r="B34" s="92" t="e">
        <f>(B33-B7)/B7</f>
        <v>#DIV/0!</v>
      </c>
      <c r="C34" s="93" t="e">
        <f>(C33-C7)/C7</f>
        <v>#DIV/0!</v>
      </c>
      <c r="D34" s="93" t="e">
        <f>(D33-D7)/D7</f>
        <v>#DIV/0!</v>
      </c>
      <c r="E34" s="93" t="e">
        <f>(E33-E7)/E7</f>
        <v>#DIV/0!</v>
      </c>
      <c r="F34" s="93" t="e">
        <f>(F33-F7)/F7</f>
        <v>#DIV/0!</v>
      </c>
      <c r="G34" s="93" t="e">
        <f>(G33-G7)/G7</f>
        <v>#DIV/0!</v>
      </c>
      <c r="H34" s="94" t="e">
        <f>(H33-H7)/H7</f>
        <v>#DIV/0!</v>
      </c>
    </row>
    <row r="35" spans="1:12" s="7" customFormat="1">
      <c r="A35" s="192" t="s">
        <v>54</v>
      </c>
      <c r="B35" s="193"/>
      <c r="C35" s="193"/>
      <c r="D35" s="193"/>
      <c r="E35" s="193"/>
      <c r="F35" s="194" t="s">
        <v>35</v>
      </c>
      <c r="G35" s="104"/>
      <c r="H35" s="105"/>
    </row>
    <row r="36" spans="1:12" s="7" customFormat="1" ht="30.95" customHeight="1" thickBot="1">
      <c r="A36" s="78" t="s">
        <v>55</v>
      </c>
      <c r="B36" s="77">
        <f t="shared" ref="B36:H36" si="7">B33+B27+B21</f>
        <v>348</v>
      </c>
      <c r="C36" s="77">
        <f t="shared" si="7"/>
        <v>761</v>
      </c>
      <c r="D36" s="77">
        <f t="shared" si="7"/>
        <v>1455</v>
      </c>
      <c r="E36" s="77">
        <f t="shared" si="7"/>
        <v>1416</v>
      </c>
      <c r="F36" s="77">
        <f t="shared" si="7"/>
        <v>1371</v>
      </c>
      <c r="G36" s="77">
        <f t="shared" si="7"/>
        <v>1223</v>
      </c>
      <c r="H36" s="77">
        <f t="shared" si="7"/>
        <v>671</v>
      </c>
    </row>
    <row r="37" spans="1:12" s="7" customFormat="1" ht="24.95" customHeight="1" thickBot="1">
      <c r="A37" s="34" t="s">
        <v>40</v>
      </c>
      <c r="B37" s="92" t="e">
        <f>(B36-B8)/B8</f>
        <v>#DIV/0!</v>
      </c>
      <c r="C37" s="93" t="e">
        <f>(C36-C8)/C8</f>
        <v>#DIV/0!</v>
      </c>
      <c r="D37" s="93" t="e">
        <f>(D36-D8)/D8</f>
        <v>#DIV/0!</v>
      </c>
      <c r="E37" s="93" t="e">
        <f>(E36-E8)/E8</f>
        <v>#DIV/0!</v>
      </c>
      <c r="F37" s="93" t="e">
        <f>(F36-F8)/F8</f>
        <v>#DIV/0!</v>
      </c>
      <c r="G37" s="93" t="e">
        <f>(G36-G8)/G8</f>
        <v>#DIV/0!</v>
      </c>
      <c r="H37" s="94" t="e">
        <f>(H36-H8)/H8</f>
        <v>#DIV/0!</v>
      </c>
    </row>
    <row r="38" spans="1:12" ht="30" customHeight="1" thickBot="1">
      <c r="A38" s="195"/>
      <c r="B38" s="196"/>
      <c r="C38" s="196"/>
      <c r="D38" s="196"/>
      <c r="E38" s="196"/>
      <c r="F38" s="196"/>
      <c r="G38" s="106" t="s">
        <v>37</v>
      </c>
      <c r="H38" s="107">
        <f>SUM(B36:H36)</f>
        <v>7245</v>
      </c>
    </row>
    <row r="39" spans="1:12" s="7" customFormat="1" ht="24.95" customHeight="1" thickTop="1">
      <c r="A39" s="37"/>
      <c r="B39" s="25"/>
      <c r="C39" s="25"/>
      <c r="D39" s="25"/>
      <c r="E39" s="25"/>
      <c r="F39" s="25"/>
      <c r="G39" s="79" t="s">
        <v>40</v>
      </c>
      <c r="H39" s="80" t="e">
        <f>(H38-H9)/H9</f>
        <v>#DIV/0!</v>
      </c>
    </row>
    <row r="40" spans="1:12" s="7" customFormat="1" ht="24.95" customHeight="1" thickBot="1">
      <c r="A40" s="37"/>
      <c r="B40" s="25"/>
      <c r="C40" s="25"/>
      <c r="D40" s="25"/>
      <c r="E40" s="25"/>
      <c r="F40" s="25"/>
      <c r="G40" s="81" t="s">
        <v>56</v>
      </c>
      <c r="H40" s="82" t="e">
        <f>(H38-H16)/H16</f>
        <v>#DIV/0!</v>
      </c>
    </row>
    <row r="41" spans="1:12" s="46" customFormat="1" ht="23.1" customHeight="1">
      <c r="A41" s="40"/>
      <c r="B41" s="47" t="s">
        <v>57</v>
      </c>
      <c r="C41" s="197" t="s">
        <v>58</v>
      </c>
      <c r="D41" s="197"/>
      <c r="E41" s="197"/>
      <c r="F41" s="197"/>
      <c r="G41" s="198">
        <v>2020</v>
      </c>
      <c r="H41" s="199"/>
    </row>
    <row r="42" spans="1:12" ht="30" customHeight="1">
      <c r="A42" s="1" t="s">
        <v>60</v>
      </c>
      <c r="B42" s="57" t="s">
        <v>59</v>
      </c>
      <c r="C42" s="180" t="s">
        <v>80</v>
      </c>
      <c r="D42" s="180"/>
      <c r="E42" s="180"/>
      <c r="F42" s="180"/>
      <c r="G42" s="178"/>
      <c r="H42" s="179"/>
      <c r="J42" s="61"/>
      <c r="L42" s="7" t="s">
        <v>61</v>
      </c>
    </row>
    <row r="43" spans="1:12" ht="30" customHeight="1">
      <c r="A43" s="1" t="s">
        <v>1</v>
      </c>
      <c r="B43" s="57" t="s">
        <v>59</v>
      </c>
      <c r="C43" s="175" t="s">
        <v>81</v>
      </c>
      <c r="D43" s="175"/>
      <c r="E43" s="175"/>
      <c r="F43" s="175"/>
      <c r="G43" s="178"/>
      <c r="H43" s="179"/>
      <c r="J43" s="61"/>
      <c r="L43" s="5" t="s">
        <v>62</v>
      </c>
    </row>
    <row r="44" spans="1:12" ht="30" customHeight="1">
      <c r="A44" s="1" t="s">
        <v>2</v>
      </c>
      <c r="B44" s="57" t="s">
        <v>59</v>
      </c>
      <c r="C44" s="175"/>
      <c r="D44" s="175"/>
      <c r="E44" s="175"/>
      <c r="F44" s="175"/>
      <c r="G44" s="176"/>
      <c r="H44" s="177"/>
      <c r="J44" s="61"/>
      <c r="L44" s="5" t="s">
        <v>63</v>
      </c>
    </row>
    <row r="45" spans="1:12" ht="30" customHeight="1">
      <c r="A45" s="1" t="s">
        <v>3</v>
      </c>
      <c r="B45" s="57" t="s">
        <v>59</v>
      </c>
      <c r="C45" s="175" t="s">
        <v>82</v>
      </c>
      <c r="D45" s="175"/>
      <c r="E45" s="175"/>
      <c r="F45" s="175"/>
      <c r="G45" s="176"/>
      <c r="H45" s="177"/>
      <c r="J45" s="61"/>
      <c r="L45" s="5" t="s">
        <v>64</v>
      </c>
    </row>
    <row r="46" spans="1:12" ht="30.95" customHeight="1">
      <c r="A46" s="1" t="s">
        <v>4</v>
      </c>
      <c r="B46" s="57" t="s">
        <v>59</v>
      </c>
      <c r="C46" s="175"/>
      <c r="D46" s="175"/>
      <c r="E46" s="175"/>
      <c r="F46" s="175"/>
      <c r="G46" s="176"/>
      <c r="H46" s="177"/>
      <c r="J46" s="61" t="s">
        <v>83</v>
      </c>
    </row>
    <row r="47" spans="1:12" ht="30" customHeight="1">
      <c r="A47" s="1" t="s">
        <v>5</v>
      </c>
      <c r="B47" s="57" t="s">
        <v>59</v>
      </c>
      <c r="C47" s="175"/>
      <c r="D47" s="175"/>
      <c r="E47" s="175"/>
      <c r="F47" s="175"/>
      <c r="G47" s="176"/>
      <c r="H47" s="177"/>
      <c r="J47" s="61"/>
    </row>
    <row r="48" spans="1:12" ht="30" customHeight="1">
      <c r="A48" s="1" t="s">
        <v>6</v>
      </c>
      <c r="B48" s="57" t="s">
        <v>59</v>
      </c>
      <c r="C48" s="175"/>
      <c r="D48" s="175"/>
      <c r="E48" s="175"/>
      <c r="F48" s="175"/>
      <c r="G48" s="176"/>
      <c r="H48" s="177"/>
      <c r="J48" s="61"/>
    </row>
    <row r="49" spans="1:10" ht="30" customHeight="1">
      <c r="A49" s="1"/>
      <c r="B49" s="14"/>
      <c r="C49" s="175"/>
      <c r="D49" s="175"/>
      <c r="E49" s="175"/>
      <c r="F49" s="175"/>
      <c r="G49" s="176"/>
      <c r="H49" s="177"/>
      <c r="J49" s="61"/>
    </row>
    <row r="50" spans="1:10" ht="30" customHeight="1">
      <c r="A50" s="2"/>
      <c r="B50" s="14"/>
      <c r="C50" s="175"/>
      <c r="D50" s="175"/>
      <c r="E50" s="175"/>
      <c r="F50" s="175"/>
      <c r="G50" s="176"/>
      <c r="H50" s="177"/>
      <c r="J50" s="61"/>
    </row>
    <row r="51" spans="1:10">
      <c r="A51" s="30"/>
      <c r="B51" s="18" t="s">
        <v>27</v>
      </c>
      <c r="C51" s="18" t="s">
        <v>28</v>
      </c>
      <c r="D51" s="18" t="s">
        <v>65</v>
      </c>
      <c r="E51" s="18" t="s">
        <v>30</v>
      </c>
      <c r="F51" s="18" t="s">
        <v>66</v>
      </c>
      <c r="G51" s="18" t="s">
        <v>32</v>
      </c>
      <c r="H51" s="18" t="s">
        <v>33</v>
      </c>
    </row>
    <row r="52" spans="1:10">
      <c r="A52" s="38" t="s">
        <v>67</v>
      </c>
      <c r="B52" s="15"/>
      <c r="C52" s="20"/>
      <c r="D52" s="20"/>
      <c r="E52" s="20"/>
      <c r="F52" s="20"/>
      <c r="G52" s="20"/>
      <c r="H52" s="15"/>
    </row>
    <row r="53" spans="1:10" customFormat="1" ht="15.95">
      <c r="A53" s="48" t="s">
        <v>68</v>
      </c>
      <c r="B53" s="22"/>
      <c r="C53" s="21"/>
      <c r="D53" s="21"/>
      <c r="E53" s="21"/>
      <c r="F53" s="21"/>
      <c r="G53" s="23" t="s">
        <v>37</v>
      </c>
      <c r="H53" s="23">
        <f>SUM(B52:H52)</f>
        <v>0</v>
      </c>
    </row>
    <row r="54" spans="1:10">
      <c r="A54" s="30"/>
      <c r="B54" s="18" t="s">
        <v>27</v>
      </c>
      <c r="C54" s="18" t="s">
        <v>28</v>
      </c>
      <c r="D54" s="18" t="s">
        <v>65</v>
      </c>
      <c r="E54" s="18" t="s">
        <v>30</v>
      </c>
      <c r="F54" s="18" t="s">
        <v>66</v>
      </c>
      <c r="G54" s="18" t="s">
        <v>32</v>
      </c>
      <c r="H54" s="18" t="s">
        <v>33</v>
      </c>
    </row>
    <row r="55" spans="1:10">
      <c r="A55" s="38" t="s">
        <v>69</v>
      </c>
      <c r="B55" s="51"/>
      <c r="C55" s="52"/>
      <c r="D55" s="52"/>
      <c r="E55" s="52"/>
      <c r="F55" s="52"/>
      <c r="G55" s="20"/>
      <c r="H55" s="15"/>
    </row>
    <row r="56" spans="1:10" customFormat="1" ht="15.95">
      <c r="A56" s="49" t="s">
        <v>70</v>
      </c>
      <c r="B56" s="53"/>
      <c r="C56" s="53" t="s">
        <v>71</v>
      </c>
      <c r="D56" s="54"/>
      <c r="E56" s="54"/>
      <c r="F56" s="55"/>
      <c r="G56" s="50" t="s">
        <v>37</v>
      </c>
      <c r="H56" s="23"/>
    </row>
    <row r="57" spans="1:10">
      <c r="H57" s="16"/>
    </row>
    <row r="58" spans="1:10">
      <c r="H58" s="16"/>
    </row>
    <row r="59" spans="1:10">
      <c r="H59" s="16"/>
    </row>
    <row r="60" spans="1:10">
      <c r="H60" s="16"/>
    </row>
    <row r="61" spans="1:10">
      <c r="H61" s="16"/>
    </row>
    <row r="62" spans="1:10">
      <c r="H62" s="16"/>
    </row>
    <row r="63" spans="1:10">
      <c r="H63" s="16"/>
    </row>
    <row r="64" spans="1:10">
      <c r="B64" s="5"/>
      <c r="H64" s="16"/>
    </row>
    <row r="65" spans="2:8">
      <c r="B65" s="5"/>
      <c r="H65" s="16"/>
    </row>
    <row r="66" spans="2:8">
      <c r="B66" s="5"/>
      <c r="H66" s="16"/>
    </row>
    <row r="67" spans="2:8">
      <c r="B67" s="5"/>
      <c r="H67" s="16"/>
    </row>
    <row r="68" spans="2:8">
      <c r="B68" s="5"/>
      <c r="H68" s="16"/>
    </row>
    <row r="69" spans="2:8">
      <c r="B69" s="5"/>
      <c r="H69" s="16"/>
    </row>
    <row r="70" spans="2:8">
      <c r="B70" s="5"/>
      <c r="H70" s="16"/>
    </row>
    <row r="71" spans="2:8">
      <c r="B71" s="5"/>
      <c r="H71" s="16"/>
    </row>
    <row r="72" spans="2:8">
      <c r="B72" s="5"/>
      <c r="H72" s="16"/>
    </row>
    <row r="73" spans="2:8">
      <c r="B73" s="5"/>
      <c r="H73" s="16"/>
    </row>
    <row r="74" spans="2:8">
      <c r="B74" s="5"/>
      <c r="H74" s="16"/>
    </row>
    <row r="75" spans="2:8">
      <c r="B75" s="5"/>
      <c r="H75" s="16"/>
    </row>
    <row r="76" spans="2:8">
      <c r="B76" s="5"/>
      <c r="H76" s="16"/>
    </row>
    <row r="77" spans="2:8">
      <c r="B77" s="5"/>
      <c r="H77" s="16"/>
    </row>
    <row r="78" spans="2:8">
      <c r="B78" s="5"/>
      <c r="H78" s="16"/>
    </row>
    <row r="79" spans="2:8">
      <c r="B79" s="5"/>
      <c r="H79" s="16"/>
    </row>
    <row r="80" spans="2:8">
      <c r="B80" s="5"/>
      <c r="H80" s="16"/>
    </row>
    <row r="81" spans="2:8">
      <c r="B81" s="5"/>
      <c r="H81" s="16"/>
    </row>
    <row r="82" spans="2:8">
      <c r="B82" s="5"/>
      <c r="H82" s="16"/>
    </row>
    <row r="83" spans="2:8">
      <c r="B83" s="5"/>
      <c r="H83" s="16"/>
    </row>
    <row r="84" spans="2:8">
      <c r="B84" s="5"/>
      <c r="H84" s="16"/>
    </row>
    <row r="85" spans="2:8">
      <c r="B85" s="5"/>
      <c r="H85" s="16"/>
    </row>
    <row r="86" spans="2:8">
      <c r="B86" s="5"/>
      <c r="H86" s="16"/>
    </row>
    <row r="87" spans="2:8">
      <c r="B87" s="5"/>
      <c r="H87" s="16"/>
    </row>
    <row r="88" spans="2:8">
      <c r="B88" s="5"/>
      <c r="H88" s="16"/>
    </row>
    <row r="89" spans="2:8">
      <c r="B89" s="5"/>
      <c r="H89" s="16"/>
    </row>
    <row r="90" spans="2:8">
      <c r="B90" s="5"/>
      <c r="H90" s="16"/>
    </row>
    <row r="91" spans="2:8">
      <c r="B91" s="5"/>
      <c r="H91" s="16"/>
    </row>
    <row r="92" spans="2:8">
      <c r="B92" s="5"/>
      <c r="H92" s="16"/>
    </row>
    <row r="93" spans="2:8">
      <c r="B93" s="5"/>
      <c r="H93" s="16"/>
    </row>
    <row r="94" spans="2:8">
      <c r="B94" s="5"/>
      <c r="H94" s="16"/>
    </row>
    <row r="95" spans="2:8">
      <c r="B95" s="5"/>
      <c r="H95" s="16"/>
    </row>
    <row r="96" spans="2:8">
      <c r="B96" s="5"/>
      <c r="H96" s="16"/>
    </row>
    <row r="97" spans="2:8">
      <c r="B97" s="5"/>
      <c r="H97" s="16"/>
    </row>
    <row r="98" spans="2:8">
      <c r="B98" s="5"/>
      <c r="H98" s="16"/>
    </row>
    <row r="99" spans="2:8">
      <c r="B99" s="5"/>
      <c r="H99" s="16"/>
    </row>
    <row r="100" spans="2:8">
      <c r="B100" s="5"/>
      <c r="H100" s="16"/>
    </row>
    <row r="101" spans="2:8">
      <c r="B101" s="5"/>
      <c r="H101" s="16"/>
    </row>
    <row r="102" spans="2:8">
      <c r="B102" s="5"/>
      <c r="H102" s="16"/>
    </row>
    <row r="103" spans="2:8">
      <c r="B103" s="5"/>
      <c r="H103" s="16"/>
    </row>
    <row r="104" spans="2:8">
      <c r="B104" s="5"/>
      <c r="H104" s="16"/>
    </row>
    <row r="105" spans="2:8">
      <c r="B105" s="5"/>
      <c r="H105" s="16"/>
    </row>
    <row r="106" spans="2:8">
      <c r="B106" s="5"/>
      <c r="H106" s="16"/>
    </row>
    <row r="107" spans="2:8">
      <c r="B107" s="5"/>
      <c r="H107" s="16"/>
    </row>
    <row r="108" spans="2:8">
      <c r="B108" s="5"/>
      <c r="H108" s="16"/>
    </row>
    <row r="109" spans="2:8">
      <c r="B109" s="5"/>
      <c r="H109" s="16"/>
    </row>
    <row r="110" spans="2:8">
      <c r="B110" s="5"/>
      <c r="H110" s="16"/>
    </row>
    <row r="111" spans="2:8">
      <c r="B111" s="5"/>
      <c r="H111" s="16"/>
    </row>
    <row r="112" spans="2:8">
      <c r="B112" s="5"/>
      <c r="H112" s="16"/>
    </row>
    <row r="113" spans="2:8">
      <c r="B113" s="5"/>
      <c r="H113" s="16"/>
    </row>
    <row r="114" spans="2:8">
      <c r="B114" s="5"/>
      <c r="H114" s="16"/>
    </row>
    <row r="115" spans="2:8">
      <c r="B115" s="5"/>
      <c r="H115" s="16"/>
    </row>
    <row r="116" spans="2:8">
      <c r="B116" s="5"/>
      <c r="H116" s="16"/>
    </row>
    <row r="117" spans="2:8">
      <c r="B117" s="5"/>
      <c r="H117" s="16"/>
    </row>
    <row r="118" spans="2:8">
      <c r="B118" s="5"/>
      <c r="H118" s="16"/>
    </row>
    <row r="119" spans="2:8">
      <c r="B119" s="5"/>
      <c r="H119" s="16"/>
    </row>
    <row r="120" spans="2:8">
      <c r="B120" s="5"/>
      <c r="H120" s="16"/>
    </row>
    <row r="121" spans="2:8">
      <c r="B121" s="5"/>
      <c r="H121" s="16"/>
    </row>
    <row r="122" spans="2:8">
      <c r="B122" s="5"/>
      <c r="H122" s="16"/>
    </row>
    <row r="123" spans="2:8">
      <c r="B123" s="5"/>
      <c r="H123" s="16"/>
    </row>
    <row r="124" spans="2:8">
      <c r="B124" s="5"/>
      <c r="H124" s="16"/>
    </row>
    <row r="125" spans="2:8">
      <c r="B125" s="5"/>
      <c r="H125" s="16"/>
    </row>
    <row r="126" spans="2:8">
      <c r="B126" s="5"/>
      <c r="H126" s="16"/>
    </row>
    <row r="127" spans="2:8">
      <c r="B127" s="5"/>
      <c r="H127" s="16"/>
    </row>
    <row r="128" spans="2:8">
      <c r="B128" s="5"/>
      <c r="H128" s="16"/>
    </row>
    <row r="129" spans="2:8">
      <c r="B129" s="5"/>
      <c r="H129" s="16"/>
    </row>
    <row r="130" spans="2:8">
      <c r="B130" s="5"/>
      <c r="H130" s="16"/>
    </row>
    <row r="131" spans="2:8">
      <c r="B131" s="5"/>
      <c r="H131" s="16"/>
    </row>
    <row r="132" spans="2:8">
      <c r="B132" s="5"/>
      <c r="H132" s="16"/>
    </row>
    <row r="133" spans="2:8">
      <c r="B133" s="5"/>
      <c r="H133" s="16"/>
    </row>
    <row r="134" spans="2:8">
      <c r="B134" s="5"/>
      <c r="H134" s="16"/>
    </row>
    <row r="135" spans="2:8">
      <c r="B135" s="5"/>
      <c r="H135" s="16"/>
    </row>
    <row r="136" spans="2:8">
      <c r="B136" s="5"/>
      <c r="H136" s="16"/>
    </row>
    <row r="137" spans="2:8">
      <c r="B137" s="5"/>
      <c r="H137" s="16"/>
    </row>
    <row r="138" spans="2:8">
      <c r="B138" s="5"/>
      <c r="H138" s="16"/>
    </row>
    <row r="139" spans="2:8">
      <c r="B139" s="5"/>
      <c r="H139" s="16"/>
    </row>
    <row r="140" spans="2:8">
      <c r="B140" s="5"/>
      <c r="H140" s="16"/>
    </row>
    <row r="141" spans="2:8">
      <c r="B141" s="5"/>
      <c r="H141" s="16"/>
    </row>
    <row r="142" spans="2:8">
      <c r="B142" s="5"/>
      <c r="H142" s="16"/>
    </row>
    <row r="143" spans="2:8">
      <c r="B143" s="5"/>
      <c r="H143" s="16"/>
    </row>
    <row r="144" spans="2:8">
      <c r="B144" s="5"/>
      <c r="H144" s="16"/>
    </row>
    <row r="145" spans="2:8">
      <c r="B145" s="5"/>
      <c r="H145" s="16"/>
    </row>
    <row r="146" spans="2:8">
      <c r="B146" s="5"/>
      <c r="H146" s="16"/>
    </row>
    <row r="147" spans="2:8">
      <c r="B147" s="5"/>
      <c r="H147" s="16"/>
    </row>
    <row r="148" spans="2:8">
      <c r="B148" s="5"/>
      <c r="H148" s="16"/>
    </row>
    <row r="149" spans="2:8">
      <c r="B149" s="5"/>
      <c r="H149" s="16"/>
    </row>
    <row r="150" spans="2:8">
      <c r="B150" s="5"/>
      <c r="H150" s="16"/>
    </row>
    <row r="151" spans="2:8">
      <c r="B151" s="5"/>
      <c r="H151" s="16"/>
    </row>
    <row r="152" spans="2:8">
      <c r="B152" s="5"/>
      <c r="H152" s="16"/>
    </row>
    <row r="153" spans="2:8">
      <c r="B153" s="5"/>
      <c r="H153" s="16"/>
    </row>
    <row r="154" spans="2:8">
      <c r="B154" s="5"/>
      <c r="H154" s="16"/>
    </row>
    <row r="155" spans="2:8">
      <c r="B155" s="5"/>
      <c r="H155" s="16"/>
    </row>
    <row r="156" spans="2:8">
      <c r="B156" s="5"/>
      <c r="H156" s="16"/>
    </row>
    <row r="157" spans="2:8">
      <c r="B157" s="5"/>
      <c r="H157" s="16"/>
    </row>
    <row r="158" spans="2:8">
      <c r="B158" s="5"/>
      <c r="H158" s="16"/>
    </row>
    <row r="159" spans="2:8">
      <c r="B159" s="5"/>
      <c r="H159" s="16"/>
    </row>
    <row r="160" spans="2:8">
      <c r="B160" s="5"/>
      <c r="H160" s="16"/>
    </row>
    <row r="161" spans="2:8">
      <c r="B161" s="5"/>
      <c r="H161" s="16"/>
    </row>
    <row r="162" spans="2:8">
      <c r="B162" s="5"/>
      <c r="H162" s="16"/>
    </row>
    <row r="163" spans="2:8">
      <c r="B163" s="5"/>
      <c r="H163" s="16"/>
    </row>
    <row r="164" spans="2:8">
      <c r="B164" s="5"/>
      <c r="H164" s="16"/>
    </row>
    <row r="165" spans="2:8">
      <c r="B165" s="5"/>
      <c r="H165" s="16"/>
    </row>
    <row r="166" spans="2:8">
      <c r="B166" s="5"/>
      <c r="H166" s="16"/>
    </row>
    <row r="167" spans="2:8">
      <c r="B167" s="5"/>
      <c r="H167" s="16"/>
    </row>
    <row r="168" spans="2:8">
      <c r="B168" s="5"/>
      <c r="H168" s="16"/>
    </row>
    <row r="169" spans="2:8">
      <c r="B169" s="5"/>
      <c r="H169" s="16"/>
    </row>
    <row r="170" spans="2:8">
      <c r="B170" s="5"/>
      <c r="H170" s="16"/>
    </row>
    <row r="171" spans="2:8">
      <c r="B171" s="5"/>
      <c r="H171" s="16"/>
    </row>
    <row r="172" spans="2:8">
      <c r="B172" s="5"/>
      <c r="H172" s="16"/>
    </row>
    <row r="173" spans="2:8">
      <c r="B173" s="5"/>
      <c r="H173" s="16"/>
    </row>
    <row r="174" spans="2:8">
      <c r="B174" s="5"/>
      <c r="H174" s="16"/>
    </row>
    <row r="175" spans="2:8">
      <c r="B175" s="5"/>
      <c r="H175" s="16"/>
    </row>
    <row r="176" spans="2:8">
      <c r="B176" s="5"/>
      <c r="H176" s="16"/>
    </row>
    <row r="177" spans="2:8">
      <c r="B177" s="5"/>
      <c r="H177" s="16"/>
    </row>
    <row r="178" spans="2:8">
      <c r="B178" s="5"/>
      <c r="H178" s="16"/>
    </row>
    <row r="179" spans="2:8">
      <c r="B179" s="5"/>
      <c r="H179" s="16"/>
    </row>
    <row r="180" spans="2:8">
      <c r="B180" s="5"/>
      <c r="H180" s="16"/>
    </row>
    <row r="181" spans="2:8">
      <c r="B181" s="5"/>
      <c r="H181" s="16"/>
    </row>
    <row r="182" spans="2:8">
      <c r="B182" s="5"/>
      <c r="H182" s="16"/>
    </row>
    <row r="183" spans="2:8">
      <c r="B183" s="5"/>
      <c r="H183" s="16"/>
    </row>
    <row r="184" spans="2:8">
      <c r="B184" s="5"/>
      <c r="H184" s="16"/>
    </row>
    <row r="185" spans="2:8">
      <c r="B185" s="5"/>
      <c r="H185" s="16"/>
    </row>
    <row r="186" spans="2:8">
      <c r="B186" s="5"/>
      <c r="H186" s="16"/>
    </row>
    <row r="187" spans="2:8">
      <c r="B187" s="5"/>
      <c r="H187" s="16"/>
    </row>
    <row r="188" spans="2:8">
      <c r="B188" s="5"/>
      <c r="H188" s="16"/>
    </row>
    <row r="189" spans="2:8">
      <c r="B189" s="5"/>
      <c r="H189" s="16"/>
    </row>
    <row r="190" spans="2:8">
      <c r="B190" s="5"/>
      <c r="H190" s="16"/>
    </row>
    <row r="191" spans="2:8">
      <c r="B191" s="5"/>
      <c r="H191" s="16"/>
    </row>
    <row r="192" spans="2:8">
      <c r="B192" s="5"/>
      <c r="H192" s="16"/>
    </row>
    <row r="193" spans="2:8">
      <c r="B193" s="5"/>
      <c r="H193" s="16"/>
    </row>
    <row r="194" spans="2:8">
      <c r="B194" s="5"/>
      <c r="H194" s="16"/>
    </row>
    <row r="195" spans="2:8">
      <c r="B195" s="5"/>
      <c r="H195" s="16"/>
    </row>
    <row r="196" spans="2:8">
      <c r="B196" s="5"/>
      <c r="H196" s="16"/>
    </row>
    <row r="197" spans="2:8">
      <c r="B197" s="5"/>
      <c r="H197" s="16"/>
    </row>
    <row r="198" spans="2:8">
      <c r="B198" s="5"/>
      <c r="H198" s="16"/>
    </row>
    <row r="199" spans="2:8">
      <c r="B199" s="5"/>
      <c r="H199" s="16"/>
    </row>
    <row r="200" spans="2:8">
      <c r="B200" s="5"/>
      <c r="H200" s="16"/>
    </row>
    <row r="201" spans="2:8">
      <c r="B201" s="5"/>
      <c r="H201" s="16"/>
    </row>
    <row r="202" spans="2:8">
      <c r="B202" s="5"/>
      <c r="H202" s="16"/>
    </row>
    <row r="203" spans="2:8">
      <c r="B203" s="5"/>
      <c r="H203" s="16"/>
    </row>
    <row r="204" spans="2:8">
      <c r="B204" s="5"/>
      <c r="H204" s="16"/>
    </row>
    <row r="205" spans="2:8">
      <c r="B205" s="5"/>
      <c r="H205" s="16"/>
    </row>
    <row r="206" spans="2:8">
      <c r="B206" s="5"/>
      <c r="H206" s="16"/>
    </row>
    <row r="207" spans="2:8">
      <c r="B207" s="5"/>
      <c r="H207" s="16"/>
    </row>
    <row r="208" spans="2:8">
      <c r="B208" s="5"/>
      <c r="H208" s="16"/>
    </row>
    <row r="209" spans="2:8">
      <c r="B209" s="5"/>
      <c r="H209" s="16"/>
    </row>
    <row r="210" spans="2:8">
      <c r="B210" s="5"/>
      <c r="H210" s="16"/>
    </row>
    <row r="211" spans="2:8">
      <c r="B211" s="5"/>
      <c r="H211" s="16"/>
    </row>
    <row r="212" spans="2:8">
      <c r="B212" s="5"/>
      <c r="H212" s="16"/>
    </row>
    <row r="213" spans="2:8">
      <c r="B213" s="5"/>
      <c r="H213" s="16"/>
    </row>
    <row r="214" spans="2:8">
      <c r="B214" s="5"/>
      <c r="H214" s="16"/>
    </row>
    <row r="215" spans="2:8">
      <c r="B215" s="5"/>
      <c r="H215" s="16"/>
    </row>
    <row r="216" spans="2:8">
      <c r="B216" s="5"/>
      <c r="H216" s="16"/>
    </row>
    <row r="217" spans="2:8">
      <c r="B217" s="5"/>
      <c r="H217" s="16"/>
    </row>
    <row r="218" spans="2:8">
      <c r="B218" s="5"/>
      <c r="H218" s="16"/>
    </row>
    <row r="219" spans="2:8">
      <c r="B219" s="5"/>
      <c r="H219" s="16"/>
    </row>
    <row r="220" spans="2:8">
      <c r="B220" s="5"/>
      <c r="H220" s="16"/>
    </row>
    <row r="221" spans="2:8">
      <c r="B221" s="5"/>
      <c r="H221" s="16"/>
    </row>
    <row r="222" spans="2:8">
      <c r="B222" s="5"/>
      <c r="H222" s="16"/>
    </row>
    <row r="223" spans="2:8">
      <c r="B223" s="5"/>
      <c r="H223" s="16"/>
    </row>
    <row r="224" spans="2:8">
      <c r="B224" s="5"/>
      <c r="H224" s="16"/>
    </row>
    <row r="225" spans="2:8">
      <c r="B225" s="5"/>
      <c r="H225" s="16"/>
    </row>
    <row r="226" spans="2:8">
      <c r="B226" s="5"/>
      <c r="H226" s="16"/>
    </row>
    <row r="227" spans="2:8">
      <c r="B227" s="5"/>
      <c r="H227" s="16"/>
    </row>
    <row r="228" spans="2:8">
      <c r="B228" s="5"/>
      <c r="H228" s="16"/>
    </row>
    <row r="229" spans="2:8">
      <c r="B229" s="5"/>
      <c r="H229" s="16"/>
    </row>
    <row r="230" spans="2:8">
      <c r="B230" s="5"/>
      <c r="H230" s="16"/>
    </row>
    <row r="231" spans="2:8">
      <c r="B231" s="5"/>
      <c r="H231" s="16"/>
    </row>
    <row r="232" spans="2:8">
      <c r="B232" s="5"/>
      <c r="H232" s="16"/>
    </row>
    <row r="233" spans="2:8">
      <c r="B233" s="5"/>
      <c r="H233" s="16"/>
    </row>
    <row r="234" spans="2:8">
      <c r="B234" s="5"/>
      <c r="H234" s="16"/>
    </row>
    <row r="235" spans="2:8">
      <c r="B235" s="5"/>
      <c r="H235" s="16"/>
    </row>
    <row r="236" spans="2:8">
      <c r="B236" s="5"/>
      <c r="H236" s="16"/>
    </row>
    <row r="237" spans="2:8">
      <c r="B237" s="5"/>
      <c r="H237" s="16"/>
    </row>
    <row r="238" spans="2:8">
      <c r="B238" s="5"/>
      <c r="H238" s="16"/>
    </row>
    <row r="239" spans="2:8">
      <c r="B239" s="5"/>
      <c r="H239" s="16"/>
    </row>
    <row r="240" spans="2:8">
      <c r="B240" s="5"/>
      <c r="H240" s="16"/>
    </row>
    <row r="241" spans="2:8">
      <c r="B241" s="5"/>
      <c r="H241" s="16"/>
    </row>
    <row r="242" spans="2:8">
      <c r="B242" s="5"/>
      <c r="H242" s="16"/>
    </row>
    <row r="243" spans="2:8">
      <c r="B243" s="5"/>
      <c r="H243" s="16"/>
    </row>
    <row r="244" spans="2:8">
      <c r="B244" s="5"/>
      <c r="H244" s="16"/>
    </row>
    <row r="245" spans="2:8">
      <c r="B245" s="5"/>
      <c r="H245" s="16"/>
    </row>
    <row r="246" spans="2:8">
      <c r="B246" s="5"/>
      <c r="H246" s="16"/>
    </row>
    <row r="247" spans="2:8">
      <c r="B247" s="5"/>
      <c r="H247" s="16"/>
    </row>
    <row r="248" spans="2:8">
      <c r="B248" s="5"/>
      <c r="H248" s="16"/>
    </row>
    <row r="249" spans="2:8">
      <c r="B249" s="5"/>
      <c r="H249" s="16"/>
    </row>
    <row r="250" spans="2:8">
      <c r="B250" s="5"/>
      <c r="H250" s="16"/>
    </row>
    <row r="251" spans="2:8">
      <c r="B251" s="5"/>
      <c r="H251" s="16"/>
    </row>
    <row r="252" spans="2:8">
      <c r="B252" s="5"/>
      <c r="H252" s="16"/>
    </row>
    <row r="253" spans="2:8">
      <c r="B253" s="5"/>
      <c r="H253" s="16"/>
    </row>
    <row r="254" spans="2:8">
      <c r="B254" s="5"/>
      <c r="H254" s="16"/>
    </row>
    <row r="255" spans="2:8">
      <c r="B255" s="5"/>
      <c r="H255" s="16"/>
    </row>
    <row r="256" spans="2:8">
      <c r="B256" s="5"/>
      <c r="H256" s="16"/>
    </row>
    <row r="257" spans="2:8">
      <c r="B257" s="5"/>
      <c r="H257" s="16"/>
    </row>
    <row r="258" spans="2:8">
      <c r="B258" s="5"/>
      <c r="H258" s="16"/>
    </row>
    <row r="259" spans="2:8">
      <c r="B259" s="5"/>
      <c r="H259" s="16"/>
    </row>
    <row r="260" spans="2:8">
      <c r="B260" s="5"/>
      <c r="H260" s="16"/>
    </row>
    <row r="261" spans="2:8">
      <c r="B261" s="5"/>
      <c r="H261" s="16"/>
    </row>
    <row r="262" spans="2:8">
      <c r="B262" s="5"/>
      <c r="H262" s="16"/>
    </row>
    <row r="263" spans="2:8">
      <c r="B263" s="5"/>
      <c r="H263" s="16"/>
    </row>
    <row r="264" spans="2:8">
      <c r="B264" s="5"/>
      <c r="H264" s="16"/>
    </row>
    <row r="265" spans="2:8">
      <c r="B265" s="5"/>
      <c r="H265" s="16"/>
    </row>
    <row r="266" spans="2:8">
      <c r="B266" s="5"/>
      <c r="H266" s="16"/>
    </row>
    <row r="267" spans="2:8">
      <c r="B267" s="5"/>
      <c r="H267" s="16"/>
    </row>
    <row r="268" spans="2:8">
      <c r="B268" s="5"/>
      <c r="H268" s="16"/>
    </row>
    <row r="269" spans="2:8">
      <c r="B269" s="5"/>
      <c r="H269" s="16"/>
    </row>
    <row r="270" spans="2:8">
      <c r="B270" s="5"/>
      <c r="H270" s="16"/>
    </row>
    <row r="271" spans="2:8">
      <c r="B271" s="5"/>
      <c r="H271" s="16"/>
    </row>
    <row r="272" spans="2:8">
      <c r="B272" s="5"/>
      <c r="H272" s="16"/>
    </row>
    <row r="273" spans="2:8">
      <c r="B273" s="5"/>
      <c r="H273" s="16"/>
    </row>
    <row r="274" spans="2:8">
      <c r="B274" s="5"/>
      <c r="H274" s="16"/>
    </row>
    <row r="275" spans="2:8">
      <c r="B275" s="5"/>
      <c r="H275" s="16"/>
    </row>
    <row r="276" spans="2:8">
      <c r="B276" s="5"/>
      <c r="H276" s="16"/>
    </row>
    <row r="277" spans="2:8">
      <c r="B277" s="5"/>
      <c r="H277" s="16"/>
    </row>
    <row r="278" spans="2:8">
      <c r="B278" s="5"/>
      <c r="H278" s="16"/>
    </row>
    <row r="279" spans="2:8">
      <c r="B279" s="5"/>
      <c r="H279" s="16"/>
    </row>
    <row r="280" spans="2:8">
      <c r="B280" s="5"/>
      <c r="H280" s="16"/>
    </row>
    <row r="281" spans="2:8">
      <c r="B281" s="5"/>
      <c r="H281" s="16"/>
    </row>
    <row r="282" spans="2:8">
      <c r="B282" s="5"/>
      <c r="H282" s="16"/>
    </row>
    <row r="283" spans="2:8">
      <c r="B283" s="5"/>
      <c r="H283" s="16"/>
    </row>
    <row r="284" spans="2:8">
      <c r="B284" s="5"/>
      <c r="H284" s="16"/>
    </row>
    <row r="285" spans="2:8">
      <c r="B285" s="5"/>
      <c r="H285" s="16"/>
    </row>
    <row r="286" spans="2:8">
      <c r="B286" s="5"/>
      <c r="H286" s="16"/>
    </row>
    <row r="287" spans="2:8">
      <c r="B287" s="5"/>
      <c r="H287" s="16"/>
    </row>
    <row r="288" spans="2:8">
      <c r="B288" s="5"/>
      <c r="H288" s="16"/>
    </row>
    <row r="289" spans="2:8">
      <c r="B289" s="5"/>
      <c r="H289" s="16"/>
    </row>
    <row r="290" spans="2:8">
      <c r="B290" s="5"/>
      <c r="H290" s="16"/>
    </row>
    <row r="291" spans="2:8">
      <c r="B291" s="5"/>
      <c r="H291" s="16"/>
    </row>
    <row r="292" spans="2:8">
      <c r="B292" s="5"/>
      <c r="H292" s="16"/>
    </row>
    <row r="293" spans="2:8">
      <c r="B293" s="5"/>
      <c r="H293" s="16"/>
    </row>
    <row r="294" spans="2:8">
      <c r="B294" s="5"/>
      <c r="H294" s="16"/>
    </row>
    <row r="295" spans="2:8">
      <c r="B295" s="5"/>
      <c r="H295" s="16"/>
    </row>
    <row r="296" spans="2:8">
      <c r="B296" s="5"/>
      <c r="H296" s="16"/>
    </row>
    <row r="297" spans="2:8">
      <c r="B297" s="5"/>
      <c r="H297" s="16"/>
    </row>
    <row r="298" spans="2:8">
      <c r="B298" s="5"/>
      <c r="H298" s="16"/>
    </row>
    <row r="299" spans="2:8">
      <c r="B299" s="5"/>
      <c r="H299" s="16"/>
    </row>
    <row r="300" spans="2:8">
      <c r="B300" s="5"/>
      <c r="H300" s="16"/>
    </row>
    <row r="301" spans="2:8">
      <c r="B301" s="5"/>
      <c r="H301" s="16"/>
    </row>
    <row r="302" spans="2:8">
      <c r="B302" s="5"/>
      <c r="H302" s="16"/>
    </row>
    <row r="303" spans="2:8">
      <c r="B303" s="5"/>
      <c r="H303" s="16"/>
    </row>
    <row r="304" spans="2:8">
      <c r="B304" s="5"/>
      <c r="H304" s="16"/>
    </row>
    <row r="305" spans="2:8">
      <c r="B305" s="5"/>
      <c r="H305" s="16"/>
    </row>
    <row r="306" spans="2:8">
      <c r="B306" s="5"/>
      <c r="H306" s="16"/>
    </row>
    <row r="307" spans="2:8">
      <c r="B307" s="5"/>
      <c r="H307" s="16"/>
    </row>
    <row r="308" spans="2:8">
      <c r="B308" s="5"/>
      <c r="H308" s="16"/>
    </row>
    <row r="309" spans="2:8">
      <c r="B309" s="5"/>
      <c r="H309" s="16"/>
    </row>
    <row r="310" spans="2:8">
      <c r="B310" s="5"/>
      <c r="H310" s="16"/>
    </row>
    <row r="311" spans="2:8">
      <c r="B311" s="5"/>
      <c r="H311" s="16"/>
    </row>
    <row r="312" spans="2:8">
      <c r="B312" s="5"/>
      <c r="H312" s="16"/>
    </row>
    <row r="313" spans="2:8">
      <c r="B313" s="5"/>
      <c r="H313" s="16"/>
    </row>
    <row r="314" spans="2:8">
      <c r="B314" s="5"/>
      <c r="H314" s="16"/>
    </row>
    <row r="315" spans="2:8">
      <c r="B315" s="5"/>
      <c r="H315" s="16"/>
    </row>
    <row r="316" spans="2:8">
      <c r="B316" s="5"/>
      <c r="H316" s="16"/>
    </row>
    <row r="317" spans="2:8">
      <c r="B317" s="5"/>
      <c r="H317" s="16"/>
    </row>
    <row r="318" spans="2:8">
      <c r="B318" s="5"/>
      <c r="H318" s="16"/>
    </row>
    <row r="319" spans="2:8">
      <c r="B319" s="5"/>
      <c r="H319" s="16"/>
    </row>
    <row r="320" spans="2:8">
      <c r="B320" s="5"/>
      <c r="H320" s="16"/>
    </row>
    <row r="321" spans="2:8">
      <c r="B321" s="5"/>
      <c r="H321" s="16"/>
    </row>
    <row r="322" spans="2:8">
      <c r="B322" s="5"/>
      <c r="H322" s="16"/>
    </row>
    <row r="323" spans="2:8">
      <c r="B323" s="5"/>
      <c r="H323" s="16"/>
    </row>
    <row r="324" spans="2:8">
      <c r="B324" s="5"/>
      <c r="H324" s="16"/>
    </row>
    <row r="325" spans="2:8">
      <c r="B325" s="5"/>
      <c r="H325" s="16"/>
    </row>
    <row r="326" spans="2:8">
      <c r="B326" s="5"/>
      <c r="H326" s="16"/>
    </row>
    <row r="327" spans="2:8">
      <c r="B327" s="5"/>
      <c r="H327" s="16"/>
    </row>
    <row r="328" spans="2:8">
      <c r="B328" s="5"/>
      <c r="H328" s="16"/>
    </row>
    <row r="329" spans="2:8">
      <c r="B329" s="5"/>
      <c r="H329" s="16"/>
    </row>
    <row r="330" spans="2:8">
      <c r="B330" s="5"/>
      <c r="H330" s="16"/>
    </row>
    <row r="331" spans="2:8">
      <c r="B331" s="5"/>
      <c r="H331" s="16"/>
    </row>
    <row r="332" spans="2:8">
      <c r="B332" s="5"/>
      <c r="H332" s="16"/>
    </row>
    <row r="333" spans="2:8">
      <c r="B333" s="5"/>
      <c r="H333" s="16"/>
    </row>
    <row r="334" spans="2:8">
      <c r="B334" s="5"/>
      <c r="H334" s="16"/>
    </row>
    <row r="335" spans="2:8">
      <c r="B335" s="5"/>
      <c r="H335" s="16"/>
    </row>
    <row r="336" spans="2:8">
      <c r="B336" s="5"/>
      <c r="H336" s="16"/>
    </row>
    <row r="337" spans="2:8">
      <c r="B337" s="5"/>
      <c r="H337" s="16"/>
    </row>
    <row r="338" spans="2:8">
      <c r="B338" s="5"/>
      <c r="H338" s="16"/>
    </row>
    <row r="339" spans="2:8">
      <c r="B339" s="5"/>
      <c r="H339" s="16"/>
    </row>
    <row r="340" spans="2:8">
      <c r="B340" s="5"/>
      <c r="H340" s="16"/>
    </row>
    <row r="341" spans="2:8">
      <c r="B341" s="5"/>
      <c r="H341" s="16"/>
    </row>
    <row r="342" spans="2:8">
      <c r="B342" s="5"/>
      <c r="H342" s="16"/>
    </row>
    <row r="343" spans="2:8">
      <c r="B343" s="5"/>
      <c r="H343" s="16"/>
    </row>
    <row r="344" spans="2:8">
      <c r="B344" s="5"/>
      <c r="H344" s="16"/>
    </row>
    <row r="345" spans="2:8">
      <c r="B345" s="5"/>
      <c r="H345" s="16"/>
    </row>
    <row r="346" spans="2:8">
      <c r="B346" s="5"/>
      <c r="H346" s="16"/>
    </row>
    <row r="347" spans="2:8">
      <c r="B347" s="5"/>
      <c r="H347" s="16"/>
    </row>
    <row r="348" spans="2:8">
      <c r="B348" s="5"/>
      <c r="H348" s="16"/>
    </row>
    <row r="349" spans="2:8">
      <c r="B349" s="5"/>
      <c r="H349" s="16"/>
    </row>
    <row r="350" spans="2:8">
      <c r="B350" s="5"/>
      <c r="H350" s="16"/>
    </row>
    <row r="351" spans="2:8">
      <c r="B351" s="5"/>
      <c r="H351" s="16"/>
    </row>
    <row r="352" spans="2:8">
      <c r="B352" s="5"/>
      <c r="H352" s="16"/>
    </row>
    <row r="353" spans="2:8">
      <c r="B353" s="5"/>
      <c r="H353" s="16"/>
    </row>
    <row r="354" spans="2:8">
      <c r="B354" s="5"/>
      <c r="H354" s="16"/>
    </row>
    <row r="355" spans="2:8">
      <c r="B355" s="5"/>
      <c r="H355" s="16"/>
    </row>
    <row r="356" spans="2:8">
      <c r="B356" s="5"/>
      <c r="H356" s="16"/>
    </row>
    <row r="357" spans="2:8">
      <c r="B357" s="5"/>
      <c r="H357" s="16"/>
    </row>
    <row r="358" spans="2:8">
      <c r="B358" s="5"/>
      <c r="H358" s="16"/>
    </row>
    <row r="359" spans="2:8">
      <c r="B359" s="5"/>
      <c r="H359" s="16"/>
    </row>
    <row r="360" spans="2:8">
      <c r="B360" s="5"/>
      <c r="H360" s="16"/>
    </row>
    <row r="361" spans="2:8">
      <c r="B361" s="5"/>
      <c r="H361" s="16"/>
    </row>
    <row r="362" spans="2:8">
      <c r="B362" s="5"/>
      <c r="H362" s="16"/>
    </row>
    <row r="363" spans="2:8">
      <c r="B363" s="5"/>
      <c r="H363" s="16"/>
    </row>
    <row r="364" spans="2:8">
      <c r="B364" s="5"/>
      <c r="H364" s="16"/>
    </row>
    <row r="365" spans="2:8">
      <c r="B365" s="5"/>
      <c r="H365" s="16"/>
    </row>
    <row r="366" spans="2:8">
      <c r="B366" s="5"/>
      <c r="H366" s="16"/>
    </row>
    <row r="367" spans="2:8">
      <c r="B367" s="5"/>
      <c r="H367" s="16"/>
    </row>
    <row r="368" spans="2:8">
      <c r="B368" s="5"/>
      <c r="H368" s="16"/>
    </row>
    <row r="369" spans="2:8">
      <c r="B369" s="5"/>
      <c r="H369" s="16"/>
    </row>
    <row r="370" spans="2:8">
      <c r="B370" s="5"/>
      <c r="H370" s="16"/>
    </row>
    <row r="371" spans="2:8">
      <c r="B371" s="5"/>
      <c r="H371" s="16"/>
    </row>
    <row r="372" spans="2:8">
      <c r="B372" s="5"/>
      <c r="H372" s="16"/>
    </row>
    <row r="373" spans="2:8">
      <c r="B373" s="5"/>
      <c r="H373" s="16"/>
    </row>
    <row r="374" spans="2:8">
      <c r="B374" s="5"/>
      <c r="H374" s="16"/>
    </row>
    <row r="375" spans="2:8">
      <c r="B375" s="5"/>
      <c r="H375" s="16"/>
    </row>
    <row r="376" spans="2:8">
      <c r="B376" s="5"/>
      <c r="H376" s="16"/>
    </row>
    <row r="377" spans="2:8">
      <c r="B377" s="5"/>
      <c r="H377" s="16"/>
    </row>
    <row r="378" spans="2:8">
      <c r="B378" s="5"/>
      <c r="H378" s="16"/>
    </row>
    <row r="379" spans="2:8">
      <c r="B379" s="5"/>
      <c r="H379" s="16"/>
    </row>
    <row r="380" spans="2:8">
      <c r="B380" s="5"/>
      <c r="H380" s="16"/>
    </row>
    <row r="381" spans="2:8">
      <c r="B381" s="5"/>
      <c r="H381" s="16"/>
    </row>
    <row r="382" spans="2:8">
      <c r="B382" s="5"/>
      <c r="H382" s="16"/>
    </row>
    <row r="383" spans="2:8">
      <c r="B383" s="5"/>
      <c r="H383" s="16"/>
    </row>
    <row r="384" spans="2:8">
      <c r="B384" s="5"/>
      <c r="H384" s="16"/>
    </row>
    <row r="385" spans="2:8">
      <c r="B385" s="5"/>
      <c r="H385" s="16"/>
    </row>
    <row r="386" spans="2:8">
      <c r="B386" s="5"/>
      <c r="H386" s="16"/>
    </row>
    <row r="387" spans="2:8">
      <c r="B387" s="5"/>
      <c r="H387" s="16"/>
    </row>
    <row r="388" spans="2:8">
      <c r="B388" s="5"/>
      <c r="H388" s="16"/>
    </row>
    <row r="389" spans="2:8">
      <c r="B389" s="5"/>
      <c r="H389" s="16"/>
    </row>
    <row r="390" spans="2:8">
      <c r="B390" s="5"/>
      <c r="H390" s="16"/>
    </row>
    <row r="391" spans="2:8">
      <c r="B391" s="5"/>
      <c r="H391" s="16"/>
    </row>
    <row r="392" spans="2:8">
      <c r="B392" s="5"/>
      <c r="H392" s="16"/>
    </row>
    <row r="393" spans="2:8">
      <c r="B393" s="5"/>
      <c r="H393" s="16"/>
    </row>
    <row r="394" spans="2:8">
      <c r="B394" s="5"/>
      <c r="H394" s="16"/>
    </row>
    <row r="395" spans="2:8">
      <c r="B395" s="5"/>
      <c r="H395" s="16"/>
    </row>
    <row r="396" spans="2:8">
      <c r="B396" s="5"/>
      <c r="H396" s="16"/>
    </row>
    <row r="397" spans="2:8">
      <c r="B397" s="5"/>
      <c r="H397" s="16"/>
    </row>
    <row r="398" spans="2:8">
      <c r="B398" s="5"/>
      <c r="H398" s="16"/>
    </row>
    <row r="399" spans="2:8">
      <c r="B399" s="5"/>
      <c r="H399" s="16"/>
    </row>
    <row r="400" spans="2:8">
      <c r="B400" s="5"/>
      <c r="H400" s="16"/>
    </row>
    <row r="401" spans="2:8">
      <c r="B401" s="5"/>
      <c r="H401" s="16"/>
    </row>
    <row r="402" spans="2:8">
      <c r="B402" s="5"/>
      <c r="H402" s="16"/>
    </row>
    <row r="403" spans="2:8">
      <c r="B403" s="5"/>
      <c r="H403" s="16"/>
    </row>
    <row r="404" spans="2:8">
      <c r="B404" s="5"/>
      <c r="H404" s="16"/>
    </row>
    <row r="405" spans="2:8">
      <c r="B405" s="5"/>
      <c r="H405" s="16"/>
    </row>
    <row r="406" spans="2:8">
      <c r="B406" s="5"/>
      <c r="H406" s="16"/>
    </row>
    <row r="407" spans="2:8">
      <c r="B407" s="5"/>
      <c r="H407" s="16"/>
    </row>
    <row r="408" spans="2:8">
      <c r="B408" s="5"/>
      <c r="H408" s="16"/>
    </row>
    <row r="409" spans="2:8">
      <c r="B409" s="5"/>
      <c r="H409" s="16"/>
    </row>
    <row r="410" spans="2:8">
      <c r="B410" s="5"/>
      <c r="H410" s="16"/>
    </row>
    <row r="411" spans="2:8">
      <c r="B411" s="5"/>
      <c r="H411" s="16"/>
    </row>
    <row r="412" spans="2:8">
      <c r="B412" s="5"/>
      <c r="H412" s="16"/>
    </row>
    <row r="413" spans="2:8">
      <c r="B413" s="5"/>
      <c r="H413" s="16"/>
    </row>
    <row r="414" spans="2:8">
      <c r="B414" s="5"/>
      <c r="H414" s="16"/>
    </row>
    <row r="415" spans="2:8">
      <c r="B415" s="5"/>
      <c r="H415" s="16"/>
    </row>
    <row r="416" spans="2:8">
      <c r="B416" s="5"/>
      <c r="H416" s="16"/>
    </row>
    <row r="417" spans="2:8">
      <c r="B417" s="5"/>
      <c r="H417" s="16"/>
    </row>
    <row r="418" spans="2:8">
      <c r="B418" s="5"/>
      <c r="H418" s="16"/>
    </row>
    <row r="419" spans="2:8">
      <c r="B419" s="5"/>
      <c r="H419" s="16"/>
    </row>
    <row r="420" spans="2:8">
      <c r="B420" s="5"/>
      <c r="H420" s="16"/>
    </row>
    <row r="421" spans="2:8">
      <c r="B421" s="5"/>
      <c r="H421" s="16"/>
    </row>
    <row r="422" spans="2:8">
      <c r="B422" s="5"/>
      <c r="H422" s="16"/>
    </row>
    <row r="423" spans="2:8">
      <c r="B423" s="5"/>
      <c r="H423" s="16"/>
    </row>
    <row r="424" spans="2:8">
      <c r="B424" s="5"/>
      <c r="H424" s="16"/>
    </row>
    <row r="425" spans="2:8">
      <c r="B425" s="5"/>
      <c r="H425" s="16"/>
    </row>
    <row r="426" spans="2:8">
      <c r="B426" s="5"/>
      <c r="H426" s="16"/>
    </row>
    <row r="427" spans="2:8">
      <c r="B427" s="5"/>
      <c r="H427" s="16"/>
    </row>
    <row r="428" spans="2:8">
      <c r="B428" s="5"/>
      <c r="H428" s="16"/>
    </row>
    <row r="429" spans="2:8">
      <c r="B429" s="5"/>
      <c r="H429" s="16"/>
    </row>
    <row r="430" spans="2:8">
      <c r="B430" s="5"/>
      <c r="H430" s="16"/>
    </row>
    <row r="431" spans="2:8">
      <c r="B431" s="5"/>
      <c r="H431" s="16"/>
    </row>
    <row r="432" spans="2:8">
      <c r="B432" s="5"/>
      <c r="H432" s="16"/>
    </row>
    <row r="433" spans="2:8">
      <c r="B433" s="5"/>
      <c r="H433" s="16"/>
    </row>
    <row r="434" spans="2:8">
      <c r="B434" s="5"/>
      <c r="H434" s="16"/>
    </row>
    <row r="435" spans="2:8">
      <c r="B435" s="5"/>
      <c r="H435" s="16"/>
    </row>
    <row r="436" spans="2:8">
      <c r="B436" s="5"/>
      <c r="H436" s="16"/>
    </row>
    <row r="437" spans="2:8">
      <c r="B437" s="5"/>
      <c r="H437" s="16"/>
    </row>
    <row r="438" spans="2:8">
      <c r="B438" s="5"/>
      <c r="H438" s="16"/>
    </row>
    <row r="439" spans="2:8">
      <c r="B439" s="5"/>
      <c r="H439" s="16"/>
    </row>
    <row r="440" spans="2:8">
      <c r="B440" s="5"/>
      <c r="H440" s="16"/>
    </row>
    <row r="441" spans="2:8">
      <c r="B441" s="5"/>
      <c r="H441" s="16"/>
    </row>
    <row r="442" spans="2:8">
      <c r="B442" s="5"/>
      <c r="H442" s="16"/>
    </row>
    <row r="443" spans="2:8">
      <c r="B443" s="5"/>
      <c r="H443" s="16"/>
    </row>
    <row r="444" spans="2:8">
      <c r="B444" s="5"/>
      <c r="H444" s="16"/>
    </row>
    <row r="445" spans="2:8">
      <c r="B445" s="5"/>
      <c r="H445" s="16"/>
    </row>
    <row r="446" spans="2:8">
      <c r="B446" s="5"/>
      <c r="H446" s="16"/>
    </row>
    <row r="447" spans="2:8">
      <c r="B447" s="5"/>
      <c r="H447" s="16"/>
    </row>
    <row r="448" spans="2:8">
      <c r="B448" s="5"/>
      <c r="H448" s="16"/>
    </row>
    <row r="449" spans="2:8">
      <c r="B449" s="5"/>
      <c r="H449" s="16"/>
    </row>
    <row r="450" spans="2:8">
      <c r="B450" s="5"/>
      <c r="H450" s="16"/>
    </row>
    <row r="451" spans="2:8">
      <c r="B451" s="5"/>
      <c r="H451" s="16"/>
    </row>
    <row r="452" spans="2:8">
      <c r="B452" s="5"/>
      <c r="H452" s="16"/>
    </row>
    <row r="453" spans="2:8">
      <c r="B453" s="5"/>
      <c r="H453" s="16"/>
    </row>
    <row r="454" spans="2:8">
      <c r="B454" s="5"/>
      <c r="H454" s="16"/>
    </row>
    <row r="455" spans="2:8">
      <c r="B455" s="5"/>
      <c r="H455" s="16"/>
    </row>
    <row r="456" spans="2:8">
      <c r="B456" s="5"/>
      <c r="H456" s="16"/>
    </row>
    <row r="457" spans="2:8">
      <c r="B457" s="5"/>
      <c r="H457" s="16"/>
    </row>
    <row r="458" spans="2:8">
      <c r="B458" s="5"/>
      <c r="H458" s="16"/>
    </row>
    <row r="459" spans="2:8">
      <c r="B459" s="5"/>
      <c r="H459" s="16"/>
    </row>
    <row r="460" spans="2:8">
      <c r="B460" s="5"/>
      <c r="H460" s="16"/>
    </row>
    <row r="461" spans="2:8">
      <c r="B461" s="5"/>
      <c r="H461" s="16"/>
    </row>
    <row r="462" spans="2:8">
      <c r="B462" s="5"/>
      <c r="H462" s="16"/>
    </row>
    <row r="463" spans="2:8">
      <c r="B463" s="5"/>
      <c r="H463" s="16"/>
    </row>
    <row r="464" spans="2:8">
      <c r="B464" s="5"/>
      <c r="H464" s="16"/>
    </row>
    <row r="465" spans="2:8">
      <c r="B465" s="5"/>
      <c r="H465" s="16"/>
    </row>
    <row r="466" spans="2:8">
      <c r="B466" s="5"/>
      <c r="H466" s="16"/>
    </row>
    <row r="467" spans="2:8">
      <c r="B467" s="5"/>
      <c r="H467" s="16"/>
    </row>
    <row r="468" spans="2:8">
      <c r="B468" s="5"/>
      <c r="H468" s="16"/>
    </row>
    <row r="469" spans="2:8">
      <c r="B469" s="5"/>
      <c r="H469" s="16"/>
    </row>
    <row r="470" spans="2:8">
      <c r="B470" s="5"/>
      <c r="H470" s="16"/>
    </row>
    <row r="471" spans="2:8">
      <c r="B471" s="5"/>
      <c r="H471" s="16"/>
    </row>
    <row r="472" spans="2:8">
      <c r="B472" s="5"/>
      <c r="H472" s="16"/>
    </row>
    <row r="473" spans="2:8">
      <c r="B473" s="5"/>
      <c r="H473" s="16"/>
    </row>
    <row r="474" spans="2:8">
      <c r="B474" s="5"/>
      <c r="H474" s="16"/>
    </row>
    <row r="475" spans="2:8">
      <c r="B475" s="5"/>
      <c r="H475" s="16"/>
    </row>
    <row r="476" spans="2:8">
      <c r="B476" s="5"/>
      <c r="H476" s="16"/>
    </row>
    <row r="477" spans="2:8">
      <c r="B477" s="5"/>
      <c r="H477" s="16"/>
    </row>
    <row r="478" spans="2:8">
      <c r="B478" s="5"/>
      <c r="H478" s="16"/>
    </row>
    <row r="479" spans="2:8">
      <c r="B479" s="5"/>
      <c r="H479" s="16"/>
    </row>
    <row r="480" spans="2:8">
      <c r="B480" s="5"/>
      <c r="H480" s="16"/>
    </row>
    <row r="481" spans="2:8">
      <c r="B481" s="5"/>
      <c r="H481" s="16"/>
    </row>
    <row r="482" spans="2:8">
      <c r="B482" s="5"/>
      <c r="H482" s="16"/>
    </row>
    <row r="483" spans="2:8">
      <c r="B483" s="5"/>
      <c r="H483" s="16"/>
    </row>
    <row r="484" spans="2:8">
      <c r="B484" s="5"/>
      <c r="H484" s="16"/>
    </row>
    <row r="485" spans="2:8">
      <c r="B485" s="5"/>
      <c r="H485" s="16"/>
    </row>
    <row r="486" spans="2:8">
      <c r="B486" s="5"/>
      <c r="H486" s="16"/>
    </row>
    <row r="487" spans="2:8">
      <c r="B487" s="5"/>
      <c r="H487" s="16"/>
    </row>
    <row r="488" spans="2:8">
      <c r="B488" s="5"/>
      <c r="H488" s="16"/>
    </row>
    <row r="489" spans="2:8">
      <c r="B489" s="5"/>
      <c r="H489" s="16"/>
    </row>
    <row r="490" spans="2:8">
      <c r="B490" s="5"/>
      <c r="H490" s="16"/>
    </row>
    <row r="491" spans="2:8">
      <c r="B491" s="5"/>
      <c r="H491" s="16"/>
    </row>
    <row r="492" spans="2:8">
      <c r="B492" s="5"/>
      <c r="H492" s="16"/>
    </row>
    <row r="493" spans="2:8">
      <c r="B493" s="5"/>
      <c r="H493" s="16"/>
    </row>
    <row r="494" spans="2:8">
      <c r="B494" s="5"/>
      <c r="H494" s="16"/>
    </row>
    <row r="495" spans="2:8">
      <c r="B495" s="5"/>
      <c r="H495" s="16"/>
    </row>
    <row r="496" spans="2:8">
      <c r="B496" s="5"/>
      <c r="H496" s="16"/>
    </row>
    <row r="497" spans="2:8">
      <c r="B497" s="5"/>
      <c r="H497" s="16"/>
    </row>
    <row r="498" spans="2:8">
      <c r="B498" s="5"/>
      <c r="H498" s="16"/>
    </row>
    <row r="499" spans="2:8">
      <c r="B499" s="5"/>
      <c r="H499" s="16"/>
    </row>
    <row r="500" spans="2:8">
      <c r="B500" s="5"/>
      <c r="H500" s="16"/>
    </row>
    <row r="501" spans="2:8">
      <c r="B501" s="5"/>
      <c r="H501" s="16"/>
    </row>
    <row r="502" spans="2:8">
      <c r="B502" s="5"/>
      <c r="H502" s="16"/>
    </row>
    <row r="503" spans="2:8">
      <c r="B503" s="5"/>
      <c r="H503" s="16"/>
    </row>
    <row r="504" spans="2:8">
      <c r="B504" s="5"/>
      <c r="H504" s="16"/>
    </row>
    <row r="505" spans="2:8">
      <c r="B505" s="5"/>
      <c r="H505" s="16"/>
    </row>
    <row r="506" spans="2:8">
      <c r="B506" s="5"/>
      <c r="H506" s="16"/>
    </row>
    <row r="507" spans="2:8">
      <c r="B507" s="5"/>
      <c r="H507" s="16"/>
    </row>
    <row r="508" spans="2:8">
      <c r="B508" s="5"/>
      <c r="H508" s="16"/>
    </row>
    <row r="509" spans="2:8">
      <c r="B509" s="5"/>
      <c r="H509" s="16"/>
    </row>
    <row r="510" spans="2:8">
      <c r="B510" s="5"/>
      <c r="H510" s="16"/>
    </row>
    <row r="511" spans="2:8">
      <c r="B511" s="5"/>
      <c r="H511" s="16"/>
    </row>
    <row r="512" spans="2:8">
      <c r="B512" s="5"/>
      <c r="H512" s="16"/>
    </row>
    <row r="513" spans="2:8">
      <c r="B513" s="5"/>
      <c r="H513" s="16"/>
    </row>
    <row r="514" spans="2:8">
      <c r="B514" s="5"/>
      <c r="H514" s="16"/>
    </row>
    <row r="515" spans="2:8">
      <c r="B515" s="5"/>
      <c r="H515" s="16"/>
    </row>
    <row r="516" spans="2:8">
      <c r="B516" s="5"/>
      <c r="H516" s="16"/>
    </row>
    <row r="517" spans="2:8">
      <c r="B517" s="5"/>
      <c r="H517" s="16"/>
    </row>
    <row r="518" spans="2:8">
      <c r="B518" s="5"/>
      <c r="H518" s="16"/>
    </row>
    <row r="519" spans="2:8">
      <c r="B519" s="5"/>
      <c r="H519" s="16"/>
    </row>
    <row r="520" spans="2:8">
      <c r="B520" s="5"/>
      <c r="H520" s="16"/>
    </row>
    <row r="521" spans="2:8">
      <c r="B521" s="5"/>
      <c r="H521" s="16"/>
    </row>
    <row r="522" spans="2:8">
      <c r="B522" s="5"/>
      <c r="H522" s="16"/>
    </row>
    <row r="523" spans="2:8">
      <c r="B523" s="5"/>
      <c r="H523" s="16"/>
    </row>
    <row r="524" spans="2:8">
      <c r="B524" s="5"/>
      <c r="H524" s="16"/>
    </row>
    <row r="525" spans="2:8">
      <c r="B525" s="5"/>
      <c r="H525" s="16"/>
    </row>
    <row r="526" spans="2:8">
      <c r="B526" s="5"/>
      <c r="H526" s="16"/>
    </row>
    <row r="527" spans="2:8">
      <c r="B527" s="5"/>
      <c r="H527" s="16"/>
    </row>
    <row r="528" spans="2:8">
      <c r="B528" s="5"/>
      <c r="H528" s="16"/>
    </row>
    <row r="529" spans="2:8">
      <c r="B529" s="5"/>
      <c r="H529" s="16"/>
    </row>
    <row r="530" spans="2:8">
      <c r="B530" s="5"/>
      <c r="H530" s="16"/>
    </row>
    <row r="531" spans="2:8">
      <c r="B531" s="5"/>
      <c r="H531" s="16"/>
    </row>
    <row r="532" spans="2:8">
      <c r="B532" s="5"/>
      <c r="H532" s="16"/>
    </row>
    <row r="533" spans="2:8">
      <c r="B533" s="5"/>
      <c r="H533" s="16"/>
    </row>
    <row r="534" spans="2:8">
      <c r="B534" s="5"/>
      <c r="H534" s="16"/>
    </row>
    <row r="535" spans="2:8">
      <c r="B535" s="5"/>
      <c r="H535" s="16"/>
    </row>
    <row r="536" spans="2:8">
      <c r="B536" s="5"/>
      <c r="H536" s="16"/>
    </row>
    <row r="537" spans="2:8">
      <c r="B537" s="5"/>
      <c r="H537" s="16"/>
    </row>
    <row r="538" spans="2:8">
      <c r="B538" s="5"/>
      <c r="H538" s="16"/>
    </row>
    <row r="539" spans="2:8">
      <c r="B539" s="5"/>
      <c r="H539" s="16"/>
    </row>
    <row r="540" spans="2:8">
      <c r="B540" s="5"/>
      <c r="H540" s="16"/>
    </row>
    <row r="541" spans="2:8">
      <c r="B541" s="5"/>
      <c r="H541" s="16"/>
    </row>
    <row r="542" spans="2:8">
      <c r="B542" s="5"/>
      <c r="H542" s="16"/>
    </row>
    <row r="543" spans="2:8">
      <c r="B543" s="5"/>
      <c r="H543" s="16"/>
    </row>
    <row r="544" spans="2:8">
      <c r="B544" s="5"/>
      <c r="H544" s="16"/>
    </row>
    <row r="545" spans="2:8">
      <c r="B545" s="5"/>
      <c r="H545" s="16"/>
    </row>
    <row r="546" spans="2:8">
      <c r="B546" s="5"/>
      <c r="H546" s="16"/>
    </row>
    <row r="547" spans="2:8">
      <c r="B547" s="5"/>
      <c r="H547" s="16"/>
    </row>
    <row r="548" spans="2:8">
      <c r="B548" s="5"/>
      <c r="H548" s="16"/>
    </row>
    <row r="549" spans="2:8">
      <c r="B549" s="5"/>
      <c r="H549" s="16"/>
    </row>
    <row r="550" spans="2:8">
      <c r="B550" s="5"/>
      <c r="H550" s="16"/>
    </row>
    <row r="551" spans="2:8">
      <c r="B551" s="5"/>
      <c r="H551" s="16"/>
    </row>
    <row r="552" spans="2:8">
      <c r="B552" s="5"/>
      <c r="H552" s="16"/>
    </row>
    <row r="553" spans="2:8">
      <c r="B553" s="5"/>
      <c r="H553" s="16"/>
    </row>
    <row r="554" spans="2:8">
      <c r="B554" s="5"/>
      <c r="H554" s="16"/>
    </row>
    <row r="555" spans="2:8">
      <c r="B555" s="5"/>
      <c r="H555" s="16"/>
    </row>
    <row r="556" spans="2:8">
      <c r="B556" s="5"/>
      <c r="H556" s="16"/>
    </row>
    <row r="557" spans="2:8">
      <c r="B557" s="5"/>
      <c r="H557" s="16"/>
    </row>
    <row r="558" spans="2:8">
      <c r="B558" s="5"/>
      <c r="H558" s="16"/>
    </row>
    <row r="559" spans="2:8">
      <c r="B559" s="5"/>
      <c r="H559" s="16"/>
    </row>
    <row r="560" spans="2:8">
      <c r="B560" s="5"/>
      <c r="H560" s="16"/>
    </row>
    <row r="561" spans="2:8">
      <c r="B561" s="5"/>
      <c r="H561" s="16"/>
    </row>
    <row r="562" spans="2:8">
      <c r="B562" s="5"/>
      <c r="H562" s="16"/>
    </row>
    <row r="563" spans="2:8">
      <c r="B563" s="5"/>
      <c r="H563" s="16"/>
    </row>
    <row r="564" spans="2:8">
      <c r="B564" s="5"/>
      <c r="H564" s="16"/>
    </row>
    <row r="565" spans="2:8">
      <c r="B565" s="5"/>
      <c r="H565" s="16"/>
    </row>
    <row r="566" spans="2:8">
      <c r="B566" s="5"/>
      <c r="H566" s="16"/>
    </row>
    <row r="567" spans="2:8">
      <c r="B567" s="5"/>
      <c r="H567" s="16"/>
    </row>
    <row r="568" spans="2:8">
      <c r="B568" s="5"/>
      <c r="H568" s="16"/>
    </row>
    <row r="569" spans="2:8">
      <c r="B569" s="5"/>
      <c r="H569" s="16"/>
    </row>
    <row r="570" spans="2:8">
      <c r="B570" s="5"/>
      <c r="H570" s="16"/>
    </row>
    <row r="571" spans="2:8">
      <c r="B571" s="5"/>
      <c r="H571" s="16"/>
    </row>
    <row r="572" spans="2:8">
      <c r="B572" s="5"/>
      <c r="H572" s="16"/>
    </row>
    <row r="573" spans="2:8">
      <c r="B573" s="5"/>
      <c r="H573" s="16"/>
    </row>
    <row r="574" spans="2:8">
      <c r="B574" s="5"/>
      <c r="H574" s="16"/>
    </row>
    <row r="575" spans="2:8">
      <c r="B575" s="5"/>
      <c r="H575" s="16"/>
    </row>
    <row r="576" spans="2:8">
      <c r="B576" s="5"/>
      <c r="H576" s="16"/>
    </row>
    <row r="577" spans="2:8">
      <c r="B577" s="5"/>
      <c r="H577" s="16"/>
    </row>
    <row r="578" spans="2:8">
      <c r="B578" s="5"/>
      <c r="H578" s="16"/>
    </row>
    <row r="579" spans="2:8">
      <c r="B579" s="5"/>
      <c r="H579" s="16"/>
    </row>
    <row r="580" spans="2:8">
      <c r="B580" s="5"/>
      <c r="H580" s="16"/>
    </row>
    <row r="581" spans="2:8">
      <c r="B581" s="5"/>
      <c r="H581" s="16"/>
    </row>
    <row r="582" spans="2:8">
      <c r="B582" s="5"/>
      <c r="H582" s="16"/>
    </row>
    <row r="583" spans="2:8">
      <c r="B583" s="5"/>
      <c r="H583" s="16"/>
    </row>
    <row r="584" spans="2:8">
      <c r="B584" s="5"/>
      <c r="H584" s="16"/>
    </row>
    <row r="585" spans="2:8">
      <c r="B585" s="5"/>
      <c r="H585" s="16"/>
    </row>
    <row r="586" spans="2:8">
      <c r="B586" s="5"/>
      <c r="H586" s="16"/>
    </row>
    <row r="587" spans="2:8">
      <c r="B587" s="5"/>
      <c r="H587" s="16"/>
    </row>
    <row r="588" spans="2:8">
      <c r="B588" s="5"/>
      <c r="H588" s="16"/>
    </row>
    <row r="589" spans="2:8">
      <c r="B589" s="5"/>
      <c r="H589" s="16"/>
    </row>
    <row r="590" spans="2:8">
      <c r="B590" s="5"/>
      <c r="H590" s="16"/>
    </row>
    <row r="591" spans="2:8">
      <c r="B591" s="5"/>
      <c r="H591" s="16"/>
    </row>
    <row r="592" spans="2:8">
      <c r="B592" s="5"/>
      <c r="H592" s="16"/>
    </row>
    <row r="593" spans="2:8">
      <c r="B593" s="5"/>
      <c r="H593" s="16"/>
    </row>
    <row r="594" spans="2:8">
      <c r="B594" s="5"/>
      <c r="H594" s="16"/>
    </row>
    <row r="595" spans="2:8">
      <c r="B595" s="5"/>
      <c r="H595" s="16"/>
    </row>
    <row r="596" spans="2:8">
      <c r="B596" s="5"/>
      <c r="H596" s="16"/>
    </row>
    <row r="597" spans="2:8">
      <c r="B597" s="5"/>
      <c r="H597" s="16"/>
    </row>
    <row r="598" spans="2:8">
      <c r="B598" s="5"/>
      <c r="H598" s="16"/>
    </row>
    <row r="599" spans="2:8">
      <c r="B599" s="5"/>
      <c r="H599" s="16"/>
    </row>
    <row r="600" spans="2:8">
      <c r="B600" s="5"/>
      <c r="H600" s="16"/>
    </row>
    <row r="601" spans="2:8">
      <c r="B601" s="5"/>
      <c r="H601" s="16"/>
    </row>
    <row r="602" spans="2:8">
      <c r="B602" s="5"/>
      <c r="H602" s="16"/>
    </row>
    <row r="603" spans="2:8">
      <c r="B603" s="5"/>
      <c r="H603" s="16"/>
    </row>
    <row r="604" spans="2:8">
      <c r="B604" s="5"/>
      <c r="H604" s="16"/>
    </row>
    <row r="605" spans="2:8">
      <c r="B605" s="5"/>
      <c r="H605" s="16"/>
    </row>
    <row r="606" spans="2:8">
      <c r="B606" s="5"/>
      <c r="H606" s="16"/>
    </row>
    <row r="607" spans="2:8">
      <c r="B607" s="5"/>
      <c r="H607" s="16"/>
    </row>
    <row r="608" spans="2:8">
      <c r="B608" s="5"/>
      <c r="H608" s="16"/>
    </row>
    <row r="609" spans="2:8">
      <c r="B609" s="5"/>
      <c r="H609" s="16"/>
    </row>
    <row r="610" spans="2:8">
      <c r="B610" s="5"/>
      <c r="H610" s="16"/>
    </row>
    <row r="611" spans="2:8">
      <c r="B611" s="5"/>
      <c r="H611" s="16"/>
    </row>
    <row r="612" spans="2:8">
      <c r="B612" s="5"/>
      <c r="H612" s="16"/>
    </row>
    <row r="613" spans="2:8">
      <c r="B613" s="5"/>
      <c r="H613" s="16"/>
    </row>
    <row r="614" spans="2:8">
      <c r="B614" s="5"/>
      <c r="H614" s="16"/>
    </row>
    <row r="615" spans="2:8">
      <c r="B615" s="5"/>
      <c r="H615" s="16"/>
    </row>
    <row r="616" spans="2:8">
      <c r="B616" s="5"/>
      <c r="H616" s="16"/>
    </row>
    <row r="617" spans="2:8">
      <c r="B617" s="5"/>
      <c r="H617" s="16"/>
    </row>
    <row r="618" spans="2:8">
      <c r="B618" s="5"/>
      <c r="H618" s="16"/>
    </row>
    <row r="619" spans="2:8">
      <c r="B619" s="5"/>
      <c r="H619" s="16"/>
    </row>
    <row r="620" spans="2:8">
      <c r="B620" s="5"/>
      <c r="H620" s="16"/>
    </row>
    <row r="621" spans="2:8">
      <c r="B621" s="5"/>
      <c r="H621" s="16"/>
    </row>
    <row r="622" spans="2:8">
      <c r="B622" s="5"/>
      <c r="H622" s="16"/>
    </row>
    <row r="623" spans="2:8">
      <c r="B623" s="5"/>
      <c r="H623" s="16"/>
    </row>
    <row r="624" spans="2:8">
      <c r="B624" s="5"/>
      <c r="H624" s="16"/>
    </row>
    <row r="625" spans="2:8">
      <c r="B625" s="5"/>
      <c r="H625" s="16"/>
    </row>
    <row r="626" spans="2:8">
      <c r="B626" s="5"/>
      <c r="H626" s="16"/>
    </row>
    <row r="627" spans="2:8">
      <c r="B627" s="5"/>
      <c r="H627" s="16"/>
    </row>
    <row r="628" spans="2:8">
      <c r="B628" s="5"/>
      <c r="H628" s="16"/>
    </row>
    <row r="629" spans="2:8">
      <c r="B629" s="5"/>
      <c r="H629" s="16"/>
    </row>
    <row r="630" spans="2:8">
      <c r="B630" s="5"/>
      <c r="H630" s="16"/>
    </row>
    <row r="631" spans="2:8">
      <c r="B631" s="5"/>
      <c r="H631" s="16"/>
    </row>
    <row r="632" spans="2:8">
      <c r="B632" s="5"/>
      <c r="H632" s="16"/>
    </row>
    <row r="633" spans="2:8">
      <c r="B633" s="5"/>
      <c r="H633" s="16"/>
    </row>
    <row r="634" spans="2:8">
      <c r="B634" s="5"/>
      <c r="H634" s="16"/>
    </row>
    <row r="635" spans="2:8">
      <c r="B635" s="5"/>
      <c r="H635" s="16"/>
    </row>
    <row r="636" spans="2:8">
      <c r="B636" s="5"/>
      <c r="H636" s="16"/>
    </row>
    <row r="637" spans="2:8">
      <c r="B637" s="5"/>
      <c r="H637" s="16"/>
    </row>
    <row r="638" spans="2:8">
      <c r="B638" s="5"/>
      <c r="H638" s="16"/>
    </row>
    <row r="639" spans="2:8">
      <c r="B639" s="5"/>
      <c r="H639" s="16"/>
    </row>
    <row r="640" spans="2:8">
      <c r="B640" s="5"/>
      <c r="H640" s="16"/>
    </row>
    <row r="641" spans="2:8">
      <c r="B641" s="5"/>
      <c r="H641" s="16"/>
    </row>
    <row r="642" spans="2:8">
      <c r="B642" s="5"/>
      <c r="H642" s="16"/>
    </row>
    <row r="643" spans="2:8">
      <c r="B643" s="5"/>
      <c r="H643" s="16"/>
    </row>
    <row r="644" spans="2:8">
      <c r="B644" s="5"/>
      <c r="H644" s="16"/>
    </row>
    <row r="645" spans="2:8">
      <c r="B645" s="5"/>
      <c r="H645" s="16"/>
    </row>
    <row r="646" spans="2:8">
      <c r="B646" s="5"/>
      <c r="H646" s="16"/>
    </row>
    <row r="647" spans="2:8">
      <c r="B647" s="5"/>
      <c r="H647" s="16"/>
    </row>
    <row r="648" spans="2:8">
      <c r="B648" s="5"/>
      <c r="H648" s="16"/>
    </row>
    <row r="649" spans="2:8">
      <c r="B649" s="5"/>
      <c r="H649" s="16"/>
    </row>
    <row r="650" spans="2:8">
      <c r="B650" s="5"/>
      <c r="H650" s="16"/>
    </row>
    <row r="651" spans="2:8">
      <c r="B651" s="5"/>
      <c r="H651" s="16"/>
    </row>
    <row r="652" spans="2:8">
      <c r="B652" s="5"/>
      <c r="H652" s="16"/>
    </row>
    <row r="653" spans="2:8">
      <c r="B653" s="5"/>
      <c r="H653" s="16"/>
    </row>
    <row r="654" spans="2:8">
      <c r="B654" s="5"/>
      <c r="H654" s="16"/>
    </row>
    <row r="655" spans="2:8">
      <c r="B655" s="5"/>
      <c r="H655" s="16"/>
    </row>
    <row r="656" spans="2:8">
      <c r="B656" s="5"/>
      <c r="H656" s="16"/>
    </row>
    <row r="657" spans="2:8">
      <c r="B657" s="5"/>
      <c r="H657" s="16"/>
    </row>
    <row r="658" spans="2:8">
      <c r="B658" s="5"/>
      <c r="H658" s="16"/>
    </row>
    <row r="659" spans="2:8">
      <c r="B659" s="5"/>
      <c r="H659" s="16"/>
    </row>
    <row r="660" spans="2:8">
      <c r="B660" s="5"/>
      <c r="H660" s="16"/>
    </row>
    <row r="661" spans="2:8">
      <c r="B661" s="5"/>
      <c r="H661" s="16"/>
    </row>
    <row r="662" spans="2:8">
      <c r="B662" s="5"/>
      <c r="H662" s="16"/>
    </row>
    <row r="663" spans="2:8">
      <c r="B663" s="5"/>
      <c r="H663" s="16"/>
    </row>
    <row r="664" spans="2:8">
      <c r="B664" s="5"/>
      <c r="H664" s="16"/>
    </row>
    <row r="665" spans="2:8">
      <c r="B665" s="5"/>
      <c r="H665" s="16"/>
    </row>
    <row r="666" spans="2:8">
      <c r="B666" s="5"/>
      <c r="H666" s="16"/>
    </row>
    <row r="667" spans="2:8">
      <c r="B667" s="5"/>
      <c r="H667" s="16"/>
    </row>
    <row r="668" spans="2:8">
      <c r="B668" s="5"/>
      <c r="H668" s="16"/>
    </row>
    <row r="669" spans="2:8">
      <c r="B669" s="5"/>
      <c r="H669" s="16"/>
    </row>
    <row r="670" spans="2:8">
      <c r="B670" s="5"/>
      <c r="H670" s="16"/>
    </row>
    <row r="671" spans="2:8">
      <c r="B671" s="5"/>
      <c r="H671" s="16"/>
    </row>
    <row r="672" spans="2:8">
      <c r="B672" s="5"/>
      <c r="H672" s="16"/>
    </row>
    <row r="673" spans="2:8">
      <c r="B673" s="5"/>
      <c r="H673" s="16"/>
    </row>
    <row r="674" spans="2:8">
      <c r="B674" s="5"/>
      <c r="H674" s="16"/>
    </row>
    <row r="675" spans="2:8">
      <c r="B675" s="5"/>
      <c r="H675" s="16"/>
    </row>
    <row r="676" spans="2:8">
      <c r="B676" s="5"/>
      <c r="H676" s="16"/>
    </row>
    <row r="677" spans="2:8">
      <c r="B677" s="5"/>
      <c r="H677" s="16"/>
    </row>
    <row r="678" spans="2:8">
      <c r="B678" s="5"/>
      <c r="H678" s="16"/>
    </row>
    <row r="679" spans="2:8">
      <c r="B679" s="5"/>
      <c r="H679" s="16"/>
    </row>
    <row r="680" spans="2:8">
      <c r="B680" s="5"/>
      <c r="H680" s="16"/>
    </row>
    <row r="681" spans="2:8">
      <c r="B681" s="5"/>
      <c r="H681" s="16"/>
    </row>
    <row r="682" spans="2:8">
      <c r="B682" s="5"/>
      <c r="H682" s="16"/>
    </row>
    <row r="683" spans="2:8">
      <c r="B683" s="5"/>
      <c r="H683" s="16"/>
    </row>
    <row r="684" spans="2:8">
      <c r="B684" s="5"/>
      <c r="H684" s="16"/>
    </row>
    <row r="685" spans="2:8">
      <c r="B685" s="5"/>
      <c r="H685" s="16"/>
    </row>
    <row r="686" spans="2:8">
      <c r="B686" s="5"/>
      <c r="H686" s="16"/>
    </row>
    <row r="687" spans="2:8">
      <c r="B687" s="5"/>
      <c r="H687" s="16"/>
    </row>
    <row r="688" spans="2:8">
      <c r="B688" s="5"/>
      <c r="H688" s="16"/>
    </row>
    <row r="689" spans="2:8">
      <c r="B689" s="5"/>
      <c r="H689" s="16"/>
    </row>
    <row r="690" spans="2:8">
      <c r="B690" s="5"/>
      <c r="H690" s="16"/>
    </row>
    <row r="691" spans="2:8">
      <c r="B691" s="5"/>
      <c r="H691" s="16"/>
    </row>
    <row r="692" spans="2:8">
      <c r="B692" s="5"/>
      <c r="H692" s="16"/>
    </row>
    <row r="693" spans="2:8">
      <c r="B693" s="5"/>
      <c r="H693" s="16"/>
    </row>
    <row r="694" spans="2:8">
      <c r="B694" s="5"/>
      <c r="H694" s="16"/>
    </row>
    <row r="695" spans="2:8">
      <c r="B695" s="5"/>
      <c r="H695" s="16"/>
    </row>
    <row r="696" spans="2:8">
      <c r="B696" s="5"/>
      <c r="H696" s="16"/>
    </row>
    <row r="697" spans="2:8">
      <c r="B697" s="5"/>
      <c r="H697" s="16"/>
    </row>
    <row r="698" spans="2:8">
      <c r="B698" s="5"/>
      <c r="H698" s="16"/>
    </row>
    <row r="699" spans="2:8">
      <c r="B699" s="5"/>
      <c r="H699" s="16"/>
    </row>
    <row r="700" spans="2:8">
      <c r="B700" s="5"/>
      <c r="H700" s="16"/>
    </row>
    <row r="701" spans="2:8">
      <c r="B701" s="5"/>
      <c r="H701" s="16"/>
    </row>
    <row r="702" spans="2:8">
      <c r="B702" s="5"/>
      <c r="H702" s="16"/>
    </row>
    <row r="703" spans="2:8">
      <c r="B703" s="5"/>
      <c r="H703" s="16"/>
    </row>
    <row r="704" spans="2:8">
      <c r="B704" s="5"/>
      <c r="H704" s="16"/>
    </row>
    <row r="705" spans="2:8">
      <c r="B705" s="5"/>
      <c r="H705" s="16"/>
    </row>
    <row r="706" spans="2:8">
      <c r="B706" s="5"/>
      <c r="H706" s="16"/>
    </row>
    <row r="707" spans="2:8">
      <c r="B707" s="5"/>
      <c r="H707" s="16"/>
    </row>
    <row r="708" spans="2:8">
      <c r="B708" s="5"/>
      <c r="H708" s="16"/>
    </row>
    <row r="709" spans="2:8">
      <c r="B709" s="5"/>
      <c r="H709" s="16"/>
    </row>
    <row r="710" spans="2:8">
      <c r="B710" s="5"/>
      <c r="H710" s="16"/>
    </row>
    <row r="711" spans="2:8">
      <c r="B711" s="5"/>
      <c r="H711" s="16"/>
    </row>
    <row r="712" spans="2:8">
      <c r="B712" s="5"/>
      <c r="H712" s="16"/>
    </row>
    <row r="713" spans="2:8">
      <c r="B713" s="5"/>
      <c r="H713" s="16"/>
    </row>
    <row r="714" spans="2:8">
      <c r="B714" s="5"/>
      <c r="H714" s="16"/>
    </row>
    <row r="715" spans="2:8">
      <c r="B715" s="5"/>
      <c r="H715" s="16"/>
    </row>
    <row r="716" spans="2:8">
      <c r="B716" s="5"/>
      <c r="H716" s="16"/>
    </row>
    <row r="717" spans="2:8">
      <c r="B717" s="5"/>
      <c r="H717" s="16"/>
    </row>
    <row r="718" spans="2:8">
      <c r="B718" s="5"/>
      <c r="H718" s="16"/>
    </row>
    <row r="719" spans="2:8">
      <c r="B719" s="5"/>
      <c r="H719" s="16"/>
    </row>
    <row r="720" spans="2:8">
      <c r="B720" s="5"/>
      <c r="H720" s="16"/>
    </row>
    <row r="721" spans="2:8">
      <c r="B721" s="5"/>
      <c r="H721" s="16"/>
    </row>
    <row r="722" spans="2:8">
      <c r="B722" s="5"/>
      <c r="H722" s="16"/>
    </row>
    <row r="723" spans="2:8">
      <c r="B723" s="5"/>
      <c r="H723" s="16"/>
    </row>
    <row r="724" spans="2:8">
      <c r="B724" s="5"/>
      <c r="H724" s="16"/>
    </row>
    <row r="725" spans="2:8">
      <c r="B725" s="5"/>
      <c r="H725" s="16"/>
    </row>
    <row r="726" spans="2:8">
      <c r="B726" s="5"/>
      <c r="H726" s="16"/>
    </row>
    <row r="727" spans="2:8">
      <c r="B727" s="5"/>
      <c r="H727" s="16"/>
    </row>
    <row r="728" spans="2:8">
      <c r="B728" s="5"/>
      <c r="H728" s="16"/>
    </row>
    <row r="729" spans="2:8">
      <c r="B729" s="5"/>
      <c r="H729" s="16"/>
    </row>
    <row r="730" spans="2:8">
      <c r="B730" s="5"/>
      <c r="H730" s="16"/>
    </row>
    <row r="731" spans="2:8">
      <c r="B731" s="5"/>
      <c r="H731" s="16"/>
    </row>
    <row r="732" spans="2:8">
      <c r="B732" s="5"/>
      <c r="H732" s="16"/>
    </row>
    <row r="733" spans="2:8">
      <c r="B733" s="5"/>
      <c r="H733" s="16"/>
    </row>
    <row r="734" spans="2:8">
      <c r="B734" s="5"/>
      <c r="H734" s="16"/>
    </row>
    <row r="735" spans="2:8">
      <c r="B735" s="5"/>
      <c r="H735" s="16"/>
    </row>
    <row r="736" spans="2:8">
      <c r="B736" s="5"/>
      <c r="H736" s="16"/>
    </row>
    <row r="737" spans="2:8">
      <c r="B737" s="5"/>
      <c r="H737" s="16"/>
    </row>
    <row r="738" spans="2:8">
      <c r="B738" s="5"/>
      <c r="H738" s="16"/>
    </row>
    <row r="739" spans="2:8">
      <c r="B739" s="5"/>
      <c r="H739" s="16"/>
    </row>
    <row r="740" spans="2:8">
      <c r="B740" s="5"/>
      <c r="H740" s="16"/>
    </row>
    <row r="741" spans="2:8">
      <c r="B741" s="5"/>
      <c r="H741" s="16"/>
    </row>
    <row r="742" spans="2:8">
      <c r="B742" s="5"/>
      <c r="H742" s="16"/>
    </row>
    <row r="743" spans="2:8">
      <c r="B743" s="5"/>
      <c r="H743" s="16"/>
    </row>
    <row r="744" spans="2:8">
      <c r="B744" s="5"/>
      <c r="H744" s="16"/>
    </row>
    <row r="745" spans="2:8">
      <c r="B745" s="5"/>
      <c r="H745" s="16"/>
    </row>
    <row r="746" spans="2:8">
      <c r="B746" s="5"/>
      <c r="H746" s="16"/>
    </row>
    <row r="747" spans="2:8">
      <c r="B747" s="5"/>
      <c r="H747" s="16"/>
    </row>
    <row r="748" spans="2:8">
      <c r="B748" s="5"/>
      <c r="H748" s="16"/>
    </row>
    <row r="749" spans="2:8">
      <c r="B749" s="5"/>
      <c r="H749" s="16"/>
    </row>
    <row r="750" spans="2:8">
      <c r="B750" s="5"/>
      <c r="H750" s="16"/>
    </row>
    <row r="751" spans="2:8">
      <c r="B751" s="5"/>
      <c r="H751" s="16"/>
    </row>
    <row r="752" spans="2:8">
      <c r="B752" s="5"/>
      <c r="H752" s="16"/>
    </row>
    <row r="753" spans="2:8">
      <c r="B753" s="5"/>
      <c r="H753" s="16"/>
    </row>
    <row r="754" spans="2:8">
      <c r="B754" s="5"/>
      <c r="H754" s="16"/>
    </row>
    <row r="755" spans="2:8">
      <c r="B755" s="5"/>
      <c r="H755" s="16"/>
    </row>
    <row r="756" spans="2:8">
      <c r="B756" s="5"/>
      <c r="H756" s="16"/>
    </row>
    <row r="757" spans="2:8">
      <c r="B757" s="5"/>
      <c r="H757" s="16"/>
    </row>
    <row r="758" spans="2:8">
      <c r="B758" s="5"/>
      <c r="H758" s="16"/>
    </row>
    <row r="759" spans="2:8">
      <c r="B759" s="5"/>
      <c r="H759" s="16"/>
    </row>
    <row r="760" spans="2:8">
      <c r="B760" s="5"/>
      <c r="H760" s="16"/>
    </row>
    <row r="761" spans="2:8">
      <c r="B761" s="5"/>
      <c r="H761" s="16"/>
    </row>
    <row r="762" spans="2:8">
      <c r="B762" s="5"/>
      <c r="H762" s="16"/>
    </row>
    <row r="763" spans="2:8">
      <c r="B763" s="5"/>
      <c r="H763" s="16"/>
    </row>
    <row r="764" spans="2:8">
      <c r="B764" s="5"/>
      <c r="H764" s="16"/>
    </row>
    <row r="765" spans="2:8">
      <c r="B765" s="5"/>
      <c r="H765" s="16"/>
    </row>
    <row r="766" spans="2:8">
      <c r="B766" s="5"/>
      <c r="H766" s="16"/>
    </row>
    <row r="767" spans="2:8">
      <c r="B767" s="5"/>
      <c r="H767" s="16"/>
    </row>
    <row r="768" spans="2:8">
      <c r="B768" s="5"/>
      <c r="H768" s="16"/>
    </row>
    <row r="769" spans="2:8">
      <c r="B769" s="5"/>
      <c r="H769" s="16"/>
    </row>
    <row r="770" spans="2:8">
      <c r="B770" s="5"/>
      <c r="H770" s="16"/>
    </row>
    <row r="771" spans="2:8">
      <c r="B771" s="5"/>
      <c r="H771" s="16"/>
    </row>
    <row r="772" spans="2:8">
      <c r="B772" s="5"/>
      <c r="H772" s="16"/>
    </row>
    <row r="773" spans="2:8">
      <c r="B773" s="5"/>
      <c r="H773" s="16"/>
    </row>
    <row r="774" spans="2:8">
      <c r="B774" s="5"/>
      <c r="H774" s="16"/>
    </row>
    <row r="775" spans="2:8">
      <c r="B775" s="5"/>
      <c r="H775" s="16"/>
    </row>
    <row r="776" spans="2:8">
      <c r="B776" s="5"/>
      <c r="H776" s="16"/>
    </row>
    <row r="777" spans="2:8">
      <c r="B777" s="5"/>
      <c r="H777" s="16"/>
    </row>
    <row r="778" spans="2:8">
      <c r="B778" s="5"/>
      <c r="H778" s="16"/>
    </row>
    <row r="779" spans="2:8">
      <c r="B779" s="5"/>
      <c r="H779" s="16"/>
    </row>
    <row r="780" spans="2:8">
      <c r="B780" s="5"/>
      <c r="H780" s="16"/>
    </row>
    <row r="781" spans="2:8">
      <c r="B781" s="5"/>
      <c r="H781" s="16"/>
    </row>
    <row r="782" spans="2:8">
      <c r="B782" s="5"/>
      <c r="H782" s="16"/>
    </row>
    <row r="783" spans="2:8">
      <c r="B783" s="5"/>
      <c r="H783" s="16"/>
    </row>
    <row r="784" spans="2:8">
      <c r="B784" s="5"/>
      <c r="H784" s="16"/>
    </row>
    <row r="785" spans="2:8">
      <c r="B785" s="5"/>
      <c r="H785" s="16"/>
    </row>
    <row r="786" spans="2:8">
      <c r="B786" s="5"/>
      <c r="H786" s="16"/>
    </row>
    <row r="787" spans="2:8">
      <c r="B787" s="5"/>
      <c r="H787" s="16"/>
    </row>
    <row r="788" spans="2:8">
      <c r="B788" s="5"/>
      <c r="H788" s="16"/>
    </row>
    <row r="789" spans="2:8">
      <c r="B789" s="5"/>
      <c r="H789" s="16"/>
    </row>
    <row r="790" spans="2:8">
      <c r="B790" s="5"/>
      <c r="H790" s="16"/>
    </row>
    <row r="791" spans="2:8">
      <c r="B791" s="5"/>
      <c r="H791" s="16"/>
    </row>
    <row r="792" spans="2:8">
      <c r="B792" s="5"/>
      <c r="H792" s="16"/>
    </row>
    <row r="793" spans="2:8">
      <c r="B793" s="5"/>
      <c r="H793" s="16"/>
    </row>
    <row r="794" spans="2:8">
      <c r="B794" s="5"/>
      <c r="H794" s="16"/>
    </row>
    <row r="795" spans="2:8">
      <c r="B795" s="5"/>
      <c r="H795" s="16"/>
    </row>
    <row r="796" spans="2:8">
      <c r="B796" s="5"/>
      <c r="H796" s="16"/>
    </row>
    <row r="797" spans="2:8">
      <c r="B797" s="5"/>
      <c r="H797" s="16"/>
    </row>
    <row r="798" spans="2:8">
      <c r="B798" s="5"/>
      <c r="H798" s="16"/>
    </row>
    <row r="799" spans="2:8">
      <c r="B799" s="5"/>
      <c r="H799" s="16"/>
    </row>
    <row r="800" spans="2:8">
      <c r="B800" s="5"/>
      <c r="H800" s="16"/>
    </row>
    <row r="801" spans="2:8">
      <c r="B801" s="5"/>
      <c r="H801" s="16"/>
    </row>
    <row r="802" spans="2:8">
      <c r="B802" s="5"/>
      <c r="H802" s="16"/>
    </row>
    <row r="803" spans="2:8">
      <c r="B803" s="5"/>
      <c r="H803" s="16"/>
    </row>
    <row r="804" spans="2:8">
      <c r="B804" s="5"/>
      <c r="H804" s="16"/>
    </row>
    <row r="805" spans="2:8">
      <c r="B805" s="5"/>
      <c r="H805" s="16"/>
    </row>
    <row r="806" spans="2:8">
      <c r="B806" s="5"/>
      <c r="H806" s="16"/>
    </row>
    <row r="807" spans="2:8">
      <c r="B807" s="5"/>
      <c r="H807" s="16"/>
    </row>
    <row r="808" spans="2:8">
      <c r="B808" s="5"/>
      <c r="H808" s="16"/>
    </row>
    <row r="809" spans="2:8">
      <c r="B809" s="5"/>
      <c r="H809" s="16"/>
    </row>
    <row r="810" spans="2:8">
      <c r="B810" s="5"/>
      <c r="H810" s="16"/>
    </row>
    <row r="811" spans="2:8">
      <c r="B811" s="5"/>
      <c r="H811" s="16"/>
    </row>
    <row r="812" spans="2:8">
      <c r="B812" s="5"/>
      <c r="H812" s="16"/>
    </row>
    <row r="813" spans="2:8">
      <c r="B813" s="5"/>
      <c r="H813" s="16"/>
    </row>
    <row r="814" spans="2:8">
      <c r="B814" s="5"/>
      <c r="H814" s="16"/>
    </row>
    <row r="815" spans="2:8">
      <c r="B815" s="5"/>
      <c r="H815" s="16"/>
    </row>
    <row r="816" spans="2:8">
      <c r="B816" s="5"/>
      <c r="H816" s="16"/>
    </row>
    <row r="817" spans="2:8">
      <c r="B817" s="5"/>
      <c r="H817" s="16"/>
    </row>
    <row r="818" spans="2:8">
      <c r="B818" s="5"/>
      <c r="H818" s="16"/>
    </row>
    <row r="819" spans="2:8">
      <c r="B819" s="5"/>
      <c r="H819" s="16"/>
    </row>
    <row r="820" spans="2:8">
      <c r="B820" s="5"/>
      <c r="H820" s="16"/>
    </row>
    <row r="821" spans="2:8">
      <c r="B821" s="5"/>
      <c r="H821" s="16"/>
    </row>
    <row r="822" spans="2:8">
      <c r="B822" s="5"/>
      <c r="H822" s="16"/>
    </row>
    <row r="823" spans="2:8">
      <c r="B823" s="5"/>
      <c r="H823" s="16"/>
    </row>
    <row r="824" spans="2:8">
      <c r="B824" s="5"/>
      <c r="H824" s="16"/>
    </row>
    <row r="825" spans="2:8">
      <c r="B825" s="5"/>
      <c r="H825" s="16"/>
    </row>
    <row r="826" spans="2:8">
      <c r="B826" s="5"/>
      <c r="H826" s="16"/>
    </row>
    <row r="827" spans="2:8">
      <c r="B827" s="5"/>
      <c r="H827" s="16"/>
    </row>
    <row r="828" spans="2:8">
      <c r="B828" s="5"/>
      <c r="H828" s="16"/>
    </row>
    <row r="829" spans="2:8">
      <c r="B829" s="5"/>
      <c r="H829" s="16"/>
    </row>
    <row r="830" spans="2:8">
      <c r="B830" s="5"/>
      <c r="H830" s="16"/>
    </row>
    <row r="831" spans="2:8">
      <c r="B831" s="5"/>
      <c r="H831" s="16"/>
    </row>
    <row r="832" spans="2:8">
      <c r="B832" s="5"/>
      <c r="H832" s="16"/>
    </row>
    <row r="833" spans="2:8">
      <c r="B833" s="5"/>
      <c r="H833" s="16"/>
    </row>
    <row r="834" spans="2:8">
      <c r="B834" s="5"/>
      <c r="H834" s="16"/>
    </row>
    <row r="835" spans="2:8">
      <c r="B835" s="5"/>
      <c r="H835" s="16"/>
    </row>
    <row r="836" spans="2:8">
      <c r="B836" s="5"/>
      <c r="H836" s="16"/>
    </row>
    <row r="837" spans="2:8">
      <c r="B837" s="5"/>
      <c r="H837" s="16"/>
    </row>
    <row r="838" spans="2:8">
      <c r="B838" s="5"/>
      <c r="H838" s="16"/>
    </row>
    <row r="839" spans="2:8">
      <c r="B839" s="5"/>
      <c r="H839" s="16"/>
    </row>
    <row r="840" spans="2:8">
      <c r="B840" s="5"/>
      <c r="H840" s="16"/>
    </row>
    <row r="841" spans="2:8">
      <c r="B841" s="5"/>
      <c r="H841" s="16"/>
    </row>
    <row r="842" spans="2:8">
      <c r="B842" s="5"/>
      <c r="H842" s="16"/>
    </row>
    <row r="843" spans="2:8">
      <c r="B843" s="5"/>
      <c r="H843" s="16"/>
    </row>
    <row r="844" spans="2:8">
      <c r="B844" s="5"/>
      <c r="H844" s="16"/>
    </row>
    <row r="845" spans="2:8">
      <c r="B845" s="5"/>
      <c r="H845" s="16"/>
    </row>
    <row r="846" spans="2:8">
      <c r="B846" s="5"/>
      <c r="H846" s="16"/>
    </row>
    <row r="847" spans="2:8">
      <c r="B847" s="5"/>
      <c r="H847" s="16"/>
    </row>
    <row r="848" spans="2:8">
      <c r="B848" s="5"/>
      <c r="H848" s="16"/>
    </row>
    <row r="849" spans="2:8">
      <c r="B849" s="5"/>
      <c r="H849" s="16"/>
    </row>
    <row r="850" spans="2:8">
      <c r="B850" s="5"/>
      <c r="H850" s="16"/>
    </row>
    <row r="851" spans="2:8">
      <c r="B851" s="5"/>
      <c r="H851" s="16"/>
    </row>
    <row r="852" spans="2:8">
      <c r="B852" s="5"/>
      <c r="H852" s="16"/>
    </row>
    <row r="853" spans="2:8">
      <c r="B853" s="5"/>
      <c r="H853" s="16"/>
    </row>
    <row r="854" spans="2:8">
      <c r="B854" s="5"/>
      <c r="H854" s="16"/>
    </row>
    <row r="855" spans="2:8">
      <c r="B855" s="5"/>
      <c r="H855" s="16"/>
    </row>
    <row r="856" spans="2:8">
      <c r="B856" s="5"/>
      <c r="H856" s="16"/>
    </row>
    <row r="857" spans="2:8">
      <c r="B857" s="5"/>
      <c r="H857" s="16"/>
    </row>
    <row r="858" spans="2:8">
      <c r="B858" s="5"/>
      <c r="H858" s="16"/>
    </row>
    <row r="859" spans="2:8">
      <c r="B859" s="5"/>
      <c r="H859" s="16"/>
    </row>
    <row r="860" spans="2:8">
      <c r="B860" s="5"/>
      <c r="H860" s="16"/>
    </row>
    <row r="861" spans="2:8">
      <c r="B861" s="5"/>
      <c r="H861" s="16"/>
    </row>
    <row r="862" spans="2:8">
      <c r="B862" s="5"/>
      <c r="H862" s="16"/>
    </row>
    <row r="863" spans="2:8">
      <c r="B863" s="5"/>
      <c r="H863" s="16"/>
    </row>
    <row r="864" spans="2:8">
      <c r="B864" s="5"/>
      <c r="H864" s="16"/>
    </row>
    <row r="865" spans="2:8">
      <c r="B865" s="5"/>
      <c r="H865" s="16"/>
    </row>
    <row r="866" spans="2:8">
      <c r="B866" s="5"/>
      <c r="H866" s="16"/>
    </row>
    <row r="867" spans="2:8">
      <c r="B867" s="5"/>
      <c r="H867" s="16"/>
    </row>
    <row r="868" spans="2:8">
      <c r="B868" s="5"/>
      <c r="H868" s="16"/>
    </row>
    <row r="869" spans="2:8">
      <c r="B869" s="5"/>
      <c r="H869" s="16"/>
    </row>
    <row r="870" spans="2:8">
      <c r="B870" s="5"/>
      <c r="H870" s="16"/>
    </row>
    <row r="871" spans="2:8">
      <c r="B871" s="5"/>
      <c r="H871" s="16"/>
    </row>
    <row r="872" spans="2:8">
      <c r="B872" s="5"/>
      <c r="H872" s="16"/>
    </row>
    <row r="873" spans="2:8">
      <c r="B873" s="5"/>
      <c r="H873" s="16"/>
    </row>
    <row r="874" spans="2:8">
      <c r="B874" s="5"/>
      <c r="H874" s="16"/>
    </row>
    <row r="875" spans="2:8">
      <c r="B875" s="5"/>
      <c r="H875" s="16"/>
    </row>
    <row r="876" spans="2:8">
      <c r="B876" s="5"/>
      <c r="H876" s="16"/>
    </row>
    <row r="877" spans="2:8">
      <c r="B877" s="5"/>
      <c r="H877" s="16"/>
    </row>
    <row r="878" spans="2:8">
      <c r="B878" s="5"/>
      <c r="H878" s="16"/>
    </row>
    <row r="879" spans="2:8">
      <c r="B879" s="5"/>
      <c r="H879" s="16"/>
    </row>
    <row r="880" spans="2:8">
      <c r="B880" s="5"/>
      <c r="H880" s="16"/>
    </row>
    <row r="881" spans="2:8">
      <c r="B881" s="5"/>
      <c r="H881" s="16"/>
    </row>
    <row r="882" spans="2:8">
      <c r="B882" s="5"/>
      <c r="H882" s="16"/>
    </row>
    <row r="883" spans="2:8">
      <c r="B883" s="5"/>
      <c r="H883" s="16"/>
    </row>
    <row r="884" spans="2:8">
      <c r="B884" s="5"/>
      <c r="H884" s="16"/>
    </row>
    <row r="885" spans="2:8">
      <c r="B885" s="5"/>
      <c r="H885" s="16"/>
    </row>
    <row r="886" spans="2:8">
      <c r="B886" s="5"/>
      <c r="H886" s="16"/>
    </row>
    <row r="887" spans="2:8">
      <c r="B887" s="5"/>
      <c r="H887" s="16"/>
    </row>
    <row r="888" spans="2:8">
      <c r="B888" s="5"/>
      <c r="H888" s="16"/>
    </row>
    <row r="889" spans="2:8">
      <c r="B889" s="5"/>
      <c r="H889" s="16"/>
    </row>
    <row r="890" spans="2:8">
      <c r="B890" s="5"/>
      <c r="H890" s="16"/>
    </row>
    <row r="891" spans="2:8">
      <c r="B891" s="5"/>
      <c r="H891" s="16"/>
    </row>
    <row r="892" spans="2:8">
      <c r="B892" s="5"/>
      <c r="H892" s="16"/>
    </row>
  </sheetData>
  <mergeCells count="26">
    <mergeCell ref="C46:F46"/>
    <mergeCell ref="C47:F47"/>
    <mergeCell ref="C48:F48"/>
    <mergeCell ref="C44:F44"/>
    <mergeCell ref="C45:F45"/>
    <mergeCell ref="G48:H48"/>
    <mergeCell ref="G49:H49"/>
    <mergeCell ref="G50:H50"/>
    <mergeCell ref="A4:H4"/>
    <mergeCell ref="A38:F38"/>
    <mergeCell ref="C41:F41"/>
    <mergeCell ref="C42:F42"/>
    <mergeCell ref="C43:F43"/>
    <mergeCell ref="A10:F10"/>
    <mergeCell ref="A17:F17"/>
    <mergeCell ref="A23:F23"/>
    <mergeCell ref="A35:F35"/>
    <mergeCell ref="G41:H41"/>
    <mergeCell ref="C49:F49"/>
    <mergeCell ref="G42:H42"/>
    <mergeCell ref="C50:F50"/>
    <mergeCell ref="G43:H43"/>
    <mergeCell ref="G44:H44"/>
    <mergeCell ref="G45:H45"/>
    <mergeCell ref="G46:H46"/>
    <mergeCell ref="G47:H47"/>
  </mergeCells>
  <phoneticPr fontId="24" type="noConversion"/>
  <dataValidations count="1">
    <dataValidation type="list" allowBlank="1" showInputMessage="1" showErrorMessage="1" sqref="B42:B48" xr:uid="{00000000-0002-0000-0100-000000000000}">
      <formula1>$L$41:$L$45</formula1>
    </dataValidation>
  </dataValidations>
  <pageMargins left="0.7" right="0.7" top="0.75" bottom="0.75" header="0.3" footer="0.3"/>
  <pageSetup scale="52" orientation="portrait" copies="2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FD892"/>
  <sheetViews>
    <sheetView showZeros="0" zoomScale="75" zoomScaleNormal="75" workbookViewId="0">
      <selection activeCell="B2" sqref="B2:H2"/>
    </sheetView>
  </sheetViews>
  <sheetFormatPr defaultColWidth="10.875" defaultRowHeight="18.95"/>
  <cols>
    <col min="1" max="1" width="35.625" customWidth="1"/>
    <col min="2" max="2" width="14.625" style="16" customWidth="1"/>
    <col min="3" max="6" width="15.875" style="5" customWidth="1"/>
    <col min="7" max="7" width="18.125" style="5" customWidth="1"/>
    <col min="8" max="8" width="18.875" style="17" customWidth="1"/>
    <col min="9" max="9" width="2" style="5" customWidth="1"/>
    <col min="10" max="12" width="0" style="5" hidden="1" customWidth="1"/>
    <col min="13" max="16384" width="10.875" style="5"/>
  </cols>
  <sheetData>
    <row r="1" spans="1:10" customFormat="1" ht="15.95">
      <c r="A1" s="41"/>
      <c r="B1" s="42"/>
      <c r="C1" s="43"/>
      <c r="D1" s="43"/>
      <c r="E1" s="45" t="s">
        <v>25</v>
      </c>
      <c r="F1" s="43"/>
      <c r="G1" s="45" t="s">
        <v>26</v>
      </c>
      <c r="H1" s="44"/>
    </row>
    <row r="2" spans="1:10" ht="18.75">
      <c r="A2" s="30"/>
      <c r="B2" s="19" t="s">
        <v>29</v>
      </c>
      <c r="C2" s="18" t="s">
        <v>30</v>
      </c>
      <c r="D2" s="18" t="s">
        <v>31</v>
      </c>
      <c r="E2" s="18" t="s">
        <v>32</v>
      </c>
      <c r="F2" s="18" t="s">
        <v>33</v>
      </c>
      <c r="G2" s="18" t="s">
        <v>27</v>
      </c>
      <c r="H2" s="18" t="s">
        <v>28</v>
      </c>
    </row>
    <row r="3" spans="1:10" ht="21" customHeight="1">
      <c r="A3" s="31" t="s">
        <v>7</v>
      </c>
      <c r="B3" s="6">
        <f>'Week 2'!H3+1</f>
        <v>45907</v>
      </c>
      <c r="C3" s="6">
        <f t="shared" ref="C3:H3" si="0">B3+1</f>
        <v>45908</v>
      </c>
      <c r="D3" s="6">
        <f t="shared" si="0"/>
        <v>45909</v>
      </c>
      <c r="E3" s="6">
        <f t="shared" si="0"/>
        <v>45910</v>
      </c>
      <c r="F3" s="6">
        <f t="shared" si="0"/>
        <v>45911</v>
      </c>
      <c r="G3" s="6">
        <f t="shared" si="0"/>
        <v>45912</v>
      </c>
      <c r="H3" s="6">
        <f t="shared" si="0"/>
        <v>45913</v>
      </c>
    </row>
    <row r="4" spans="1:10" s="7" customFormat="1">
      <c r="A4" s="181" t="s">
        <v>34</v>
      </c>
      <c r="B4" s="181"/>
      <c r="C4" s="181"/>
      <c r="D4" s="181"/>
      <c r="E4" s="181"/>
      <c r="F4" s="181"/>
      <c r="G4" s="181"/>
      <c r="H4" s="181"/>
    </row>
    <row r="5" spans="1:10" s="7" customFormat="1" ht="26.1" customHeight="1">
      <c r="A5" s="32" t="s">
        <v>8</v>
      </c>
      <c r="B5" s="27"/>
      <c r="C5" s="27"/>
      <c r="D5" s="27"/>
      <c r="E5" s="27">
        <v>0</v>
      </c>
      <c r="F5" s="27"/>
      <c r="G5" s="27"/>
      <c r="H5" s="27"/>
    </row>
    <row r="6" spans="1:10" s="7" customFormat="1" ht="26.1" customHeight="1">
      <c r="A6" s="4" t="s">
        <v>23</v>
      </c>
      <c r="B6" s="62"/>
      <c r="C6" s="62">
        <v>0</v>
      </c>
      <c r="D6" s="62">
        <v>0</v>
      </c>
      <c r="E6" s="62">
        <v>0</v>
      </c>
      <c r="F6" s="62"/>
      <c r="G6" s="62"/>
      <c r="H6" s="62"/>
    </row>
    <row r="7" spans="1:10" s="7" customFormat="1" ht="21.95" customHeight="1">
      <c r="A7" s="32" t="s">
        <v>35</v>
      </c>
      <c r="B7" s="27">
        <v>0</v>
      </c>
      <c r="C7" s="28">
        <v>0</v>
      </c>
      <c r="D7" s="28">
        <v>0</v>
      </c>
      <c r="E7" s="28">
        <v>0</v>
      </c>
      <c r="F7" s="28"/>
      <c r="G7" s="28"/>
      <c r="H7" s="27"/>
    </row>
    <row r="8" spans="1:10" s="7" customFormat="1" ht="24.95" customHeight="1" thickBot="1">
      <c r="A8" s="83" t="s">
        <v>36</v>
      </c>
      <c r="B8" s="84">
        <f t="shared" ref="B8:H8" si="1">B5+B6+B7</f>
        <v>0</v>
      </c>
      <c r="C8" s="84">
        <f t="shared" si="1"/>
        <v>0</v>
      </c>
      <c r="D8" s="84">
        <f t="shared" si="1"/>
        <v>0</v>
      </c>
      <c r="E8" s="84">
        <f t="shared" si="1"/>
        <v>0</v>
      </c>
      <c r="F8" s="84">
        <f t="shared" si="1"/>
        <v>0</v>
      </c>
      <c r="G8" s="84">
        <f t="shared" si="1"/>
        <v>0</v>
      </c>
      <c r="H8" s="84">
        <f t="shared" si="1"/>
        <v>0</v>
      </c>
    </row>
    <row r="9" spans="1:10" s="7" customFormat="1" ht="24.95" customHeight="1" thickBot="1">
      <c r="A9" s="33"/>
      <c r="B9" s="29"/>
      <c r="C9" s="29"/>
      <c r="D9" s="29"/>
      <c r="E9" s="29"/>
      <c r="F9" s="29"/>
      <c r="G9" s="63" t="s">
        <v>37</v>
      </c>
      <c r="H9" s="64">
        <f>SUM(B8:H8)</f>
        <v>0</v>
      </c>
    </row>
    <row r="10" spans="1:10" s="7" customFormat="1" ht="21" thickTop="1" thickBot="1">
      <c r="A10" s="182" t="s">
        <v>38</v>
      </c>
      <c r="B10" s="183"/>
      <c r="C10" s="183"/>
      <c r="D10" s="183"/>
      <c r="E10" s="183"/>
      <c r="F10" s="183"/>
      <c r="G10" s="65" t="s">
        <v>39</v>
      </c>
      <c r="H10" s="66">
        <v>-0.08</v>
      </c>
      <c r="I10" s="5"/>
      <c r="J10" s="26"/>
    </row>
    <row r="11" spans="1:10" s="7" customFormat="1" ht="30" customHeight="1">
      <c r="A11" s="39" t="s">
        <v>8</v>
      </c>
      <c r="B11" s="9">
        <f>B5+(B5*H10)</f>
        <v>0</v>
      </c>
      <c r="C11" s="9">
        <f>C5+(C5*H10)</f>
        <v>0</v>
      </c>
      <c r="D11" s="67"/>
      <c r="E11" s="67"/>
      <c r="F11" s="9">
        <f>F5+(F5*H10)</f>
        <v>0</v>
      </c>
      <c r="G11" s="68">
        <f>G5+(G5*H10)</f>
        <v>0</v>
      </c>
      <c r="H11" s="69">
        <f>H5+(H5*H10)</f>
        <v>0</v>
      </c>
    </row>
    <row r="12" spans="1:10" s="7" customFormat="1" ht="30" customHeight="1">
      <c r="A12" s="70" t="s">
        <v>23</v>
      </c>
      <c r="B12" s="59">
        <f>B6+(B6*H10)</f>
        <v>0</v>
      </c>
      <c r="C12" s="58">
        <f>C6+(C6*H10)</f>
        <v>0</v>
      </c>
      <c r="D12" s="58">
        <f>D6+(D6*H10)</f>
        <v>0</v>
      </c>
      <c r="E12" s="58">
        <f>E6+(E6*H10)</f>
        <v>0</v>
      </c>
      <c r="F12" s="58">
        <f>F6+(F6*H10)</f>
        <v>0</v>
      </c>
      <c r="G12" s="58">
        <f>G6+(G6*H10)</f>
        <v>0</v>
      </c>
      <c r="H12" s="59">
        <f>H6+(H6*H10)</f>
        <v>0</v>
      </c>
    </row>
    <row r="13" spans="1:10" s="7" customFormat="1" ht="30" customHeight="1">
      <c r="A13" s="3" t="s">
        <v>35</v>
      </c>
      <c r="B13" s="8">
        <f>B7+(B7*H10)</f>
        <v>0</v>
      </c>
      <c r="C13" s="8">
        <f>C7+(C7*H10)</f>
        <v>0</v>
      </c>
      <c r="D13" s="8">
        <f>D7+(D7*H10)</f>
        <v>0</v>
      </c>
      <c r="E13" s="8"/>
      <c r="F13" s="8">
        <f>F7+(F7*H10)</f>
        <v>0</v>
      </c>
      <c r="G13" s="8">
        <f>G7+(G7*H10)</f>
        <v>0</v>
      </c>
      <c r="H13" s="8">
        <f>H7+(H7*H10)</f>
        <v>0</v>
      </c>
    </row>
    <row r="14" spans="1:10" s="7" customFormat="1" ht="27" customHeight="1">
      <c r="A14" s="85" t="s">
        <v>36</v>
      </c>
      <c r="B14" s="87">
        <f t="shared" ref="B14:H14" si="2">SUM(B11:B13)</f>
        <v>0</v>
      </c>
      <c r="C14" s="87">
        <f t="shared" si="2"/>
        <v>0</v>
      </c>
      <c r="D14" s="87">
        <f t="shared" si="2"/>
        <v>0</v>
      </c>
      <c r="E14" s="87">
        <f t="shared" si="2"/>
        <v>0</v>
      </c>
      <c r="F14" s="87">
        <f t="shared" si="2"/>
        <v>0</v>
      </c>
      <c r="G14" s="87">
        <f t="shared" si="2"/>
        <v>0</v>
      </c>
      <c r="H14" s="87">
        <f t="shared" si="2"/>
        <v>0</v>
      </c>
    </row>
    <row r="15" spans="1:10" s="7" customFormat="1" ht="24.95" customHeight="1">
      <c r="A15" s="86" t="s">
        <v>40</v>
      </c>
      <c r="B15" s="92" t="e">
        <f t="shared" ref="B15:H15" si="3">(B14-B8)/B8</f>
        <v>#DIV/0!</v>
      </c>
      <c r="C15" s="93" t="e">
        <f t="shared" si="3"/>
        <v>#DIV/0!</v>
      </c>
      <c r="D15" s="93" t="e">
        <f t="shared" si="3"/>
        <v>#DIV/0!</v>
      </c>
      <c r="E15" s="93" t="e">
        <f t="shared" si="3"/>
        <v>#DIV/0!</v>
      </c>
      <c r="F15" s="93" t="e">
        <f t="shared" si="3"/>
        <v>#DIV/0!</v>
      </c>
      <c r="G15" s="93" t="e">
        <f t="shared" si="3"/>
        <v>#DIV/0!</v>
      </c>
      <c r="H15" s="94" t="e">
        <f t="shared" si="3"/>
        <v>#DIV/0!</v>
      </c>
      <c r="I15" s="71"/>
    </row>
    <row r="16" spans="1:10" ht="30" customHeight="1">
      <c r="B16" s="88"/>
      <c r="C16" s="88"/>
      <c r="D16" s="88"/>
      <c r="E16" s="88"/>
      <c r="F16" s="89"/>
      <c r="G16" s="90" t="s">
        <v>37</v>
      </c>
      <c r="H16" s="91">
        <f>SUM(B14:H14)</f>
        <v>0</v>
      </c>
    </row>
    <row r="17" spans="1:8 16384:16384" s="7" customFormat="1" ht="18.75">
      <c r="A17" s="184" t="s">
        <v>41</v>
      </c>
      <c r="B17" s="185"/>
      <c r="C17" s="185"/>
      <c r="D17" s="185"/>
      <c r="E17" s="185"/>
      <c r="F17" s="185"/>
      <c r="G17" s="72" t="s">
        <v>42</v>
      </c>
      <c r="H17" s="66" t="e">
        <f>(H16-H9)/H9</f>
        <v>#DIV/0!</v>
      </c>
    </row>
    <row r="18" spans="1:8 16384:16384" s="7" customFormat="1" ht="30" customHeight="1">
      <c r="A18" s="35" t="s">
        <v>43</v>
      </c>
      <c r="B18" s="12"/>
      <c r="C18" s="12">
        <v>291</v>
      </c>
      <c r="D18" s="73">
        <v>310</v>
      </c>
      <c r="E18" s="73">
        <v>347</v>
      </c>
      <c r="F18" s="12">
        <v>275</v>
      </c>
      <c r="G18" s="24">
        <v>318</v>
      </c>
      <c r="H18" s="74" t="s">
        <v>74</v>
      </c>
    </row>
    <row r="19" spans="1:8 16384:16384" s="7" customFormat="1" ht="30" customHeight="1">
      <c r="A19" s="35" t="s">
        <v>72</v>
      </c>
      <c r="B19" s="12"/>
      <c r="C19" s="12"/>
      <c r="D19" s="73"/>
      <c r="E19" s="73"/>
      <c r="F19" s="12"/>
      <c r="G19" s="24"/>
      <c r="H19" s="74"/>
    </row>
    <row r="20" spans="1:8 16384:16384" s="7" customFormat="1" ht="30" customHeight="1">
      <c r="A20" s="35" t="s">
        <v>73</v>
      </c>
      <c r="B20" s="95"/>
      <c r="C20" s="95"/>
      <c r="D20" s="67"/>
      <c r="E20" s="67"/>
      <c r="F20" s="95"/>
      <c r="G20" s="95"/>
      <c r="H20" s="75"/>
    </row>
    <row r="21" spans="1:8 16384:16384" s="7" customFormat="1" ht="24.95" customHeight="1" thickBot="1">
      <c r="A21" s="36" t="s">
        <v>45</v>
      </c>
      <c r="B21" s="77">
        <f>SUM(B18:B20)</f>
        <v>0</v>
      </c>
      <c r="C21" s="77">
        <f>SUM(C18:C20)</f>
        <v>291</v>
      </c>
      <c r="D21" s="96">
        <f>SUM(D18:D20)</f>
        <v>310</v>
      </c>
      <c r="E21" s="96">
        <f>SUM(E18:E20)</f>
        <v>347</v>
      </c>
      <c r="F21" s="77">
        <f>SUM(F18:F20)</f>
        <v>275</v>
      </c>
      <c r="G21" s="77">
        <f>SUM(G18:G20)</f>
        <v>318</v>
      </c>
      <c r="H21" s="77">
        <f>SUM(H18:H20)</f>
        <v>0</v>
      </c>
      <c r="XFD21" s="7">
        <f>SUM(B21:XFC21)</f>
        <v>1541</v>
      </c>
    </row>
    <row r="22" spans="1:8 16384:16384" s="7" customFormat="1" ht="24.95" customHeight="1" thickBot="1">
      <c r="A22" s="34" t="s">
        <v>40</v>
      </c>
      <c r="B22" s="92" t="e">
        <f>(B21-B5)/B5</f>
        <v>#DIV/0!</v>
      </c>
      <c r="C22" s="93" t="e">
        <f>(C21-C5)/C5</f>
        <v>#DIV/0!</v>
      </c>
      <c r="D22" s="99"/>
      <c r="E22" s="99"/>
      <c r="F22" s="93" t="e">
        <f>(F21-F5)/F5</f>
        <v>#DIV/0!</v>
      </c>
      <c r="G22" s="93" t="e">
        <f>(G21-G5)/G5</f>
        <v>#DIV/0!</v>
      </c>
      <c r="H22" s="94" t="e">
        <f>(H21-H5)/H5</f>
        <v>#DIV/0!</v>
      </c>
    </row>
    <row r="23" spans="1:8 16384:16384" s="7" customFormat="1">
      <c r="A23" s="186" t="s">
        <v>46</v>
      </c>
      <c r="B23" s="187"/>
      <c r="C23" s="187"/>
      <c r="D23" s="187"/>
      <c r="E23" s="187"/>
      <c r="F23" s="188" t="s">
        <v>47</v>
      </c>
      <c r="G23" s="97"/>
      <c r="H23" s="98"/>
    </row>
    <row r="24" spans="1:8 16384:16384" s="7" customFormat="1" ht="30" customHeight="1">
      <c r="A24" s="35" t="str">
        <f>'Week 2'!A24</f>
        <v>Greeter Total</v>
      </c>
      <c r="B24" s="11">
        <v>405</v>
      </c>
      <c r="C24" s="12">
        <v>599</v>
      </c>
      <c r="D24" s="12">
        <v>552</v>
      </c>
      <c r="E24" s="12">
        <v>607</v>
      </c>
      <c r="F24" s="12">
        <v>540</v>
      </c>
      <c r="G24" s="12">
        <v>578</v>
      </c>
      <c r="H24" s="11"/>
    </row>
    <row r="25" spans="1:8 16384:16384" s="7" customFormat="1" ht="30" customHeight="1">
      <c r="A25" s="35" t="str">
        <f>'Week 2'!A25</f>
        <v>Non Meal Plan Meals</v>
      </c>
      <c r="B25" s="117"/>
      <c r="C25" s="117"/>
      <c r="D25" s="117"/>
      <c r="E25" s="117"/>
      <c r="F25" s="117"/>
      <c r="G25" s="117"/>
      <c r="H25" s="117"/>
    </row>
    <row r="26" spans="1:8 16384:16384" s="7" customFormat="1" ht="30" customHeight="1">
      <c r="A26" s="35" t="str">
        <f>'Week 2'!A26</f>
        <v>Meal Plan Meals</v>
      </c>
      <c r="B26" s="11"/>
      <c r="C26" s="11"/>
      <c r="D26" s="11"/>
      <c r="E26" s="11"/>
      <c r="F26" s="11"/>
      <c r="G26" s="11"/>
      <c r="H26" s="11"/>
    </row>
    <row r="27" spans="1:8 16384:16384" s="7" customFormat="1" ht="27.95" customHeight="1" thickBot="1">
      <c r="A27" s="36" t="s">
        <v>50</v>
      </c>
      <c r="B27" s="100">
        <f>SUM(B24:B26)</f>
        <v>405</v>
      </c>
      <c r="C27" s="100">
        <f>SUM(C24:C26)</f>
        <v>599</v>
      </c>
      <c r="D27" s="100">
        <f>SUM(D24:D26)</f>
        <v>552</v>
      </c>
      <c r="E27" s="100">
        <f>SUM(E24:E26)</f>
        <v>607</v>
      </c>
      <c r="F27" s="100">
        <f>SUM(F24:F26)</f>
        <v>540</v>
      </c>
      <c r="G27" s="100">
        <f>SUM(G24:G26)</f>
        <v>578</v>
      </c>
      <c r="H27" s="100">
        <f>SUM(H24:H26)</f>
        <v>0</v>
      </c>
    </row>
    <row r="28" spans="1:8 16384:16384" s="7" customFormat="1" ht="24.95" customHeight="1" thickBot="1">
      <c r="A28" s="34" t="s">
        <v>40</v>
      </c>
      <c r="B28" s="92" t="e">
        <f>(B27-B6)/B6</f>
        <v>#DIV/0!</v>
      </c>
      <c r="C28" s="93" t="e">
        <f>(C27-C6)/C6</f>
        <v>#DIV/0!</v>
      </c>
      <c r="D28" s="93" t="e">
        <f>(D27-D6)/D6</f>
        <v>#DIV/0!</v>
      </c>
      <c r="E28" s="93" t="e">
        <f>(E27-E6)/E6</f>
        <v>#DIV/0!</v>
      </c>
      <c r="F28" s="93" t="e">
        <f>(F27-F6)/F6</f>
        <v>#DIV/0!</v>
      </c>
      <c r="G28" s="93" t="e">
        <f>(G27-G6)/G6</f>
        <v>#DIV/0!</v>
      </c>
      <c r="H28" s="94" t="e">
        <f>(H27-H6)/H6</f>
        <v>#DIV/0!</v>
      </c>
    </row>
    <row r="29" spans="1:8 16384:16384" s="7" customFormat="1">
      <c r="A29" s="189" t="s">
        <v>51</v>
      </c>
      <c r="B29" s="190"/>
      <c r="C29" s="190"/>
      <c r="D29" s="190"/>
      <c r="E29" s="190"/>
      <c r="F29" s="191" t="s">
        <v>35</v>
      </c>
      <c r="G29" s="101"/>
      <c r="H29" s="102"/>
    </row>
    <row r="30" spans="1:8 16384:16384" s="7" customFormat="1" ht="30" customHeight="1">
      <c r="A30" s="35" t="s">
        <v>43</v>
      </c>
      <c r="B30" s="10">
        <v>284</v>
      </c>
      <c r="C30" s="9">
        <v>594</v>
      </c>
      <c r="D30" s="9">
        <v>564</v>
      </c>
      <c r="E30" s="9">
        <v>628</v>
      </c>
      <c r="F30" s="9">
        <v>552</v>
      </c>
      <c r="G30" s="9">
        <v>378</v>
      </c>
      <c r="H30" s="10"/>
    </row>
    <row r="31" spans="1:8 16384:16384" s="7" customFormat="1" ht="30" customHeight="1">
      <c r="A31" s="35" t="str">
        <f>'Week 2'!A31</f>
        <v>Non Meal Plan Meals</v>
      </c>
      <c r="B31" s="60"/>
      <c r="C31" s="60"/>
      <c r="D31" s="60"/>
      <c r="E31" s="60"/>
      <c r="F31" s="60"/>
      <c r="G31" s="60"/>
      <c r="H31" s="60"/>
    </row>
    <row r="32" spans="1:8 16384:16384" s="7" customFormat="1" ht="30" customHeight="1">
      <c r="A32" s="35" t="str">
        <f>'Week 2'!A32</f>
        <v>Meal Plan Meals</v>
      </c>
      <c r="B32" s="10"/>
      <c r="C32" s="10"/>
      <c r="D32" s="10"/>
      <c r="E32" s="10"/>
      <c r="F32" s="10"/>
      <c r="G32" s="10"/>
      <c r="H32" s="10"/>
    </row>
    <row r="33" spans="1:12" s="7" customFormat="1" ht="30.95" customHeight="1" thickBot="1">
      <c r="A33" s="36" t="s">
        <v>53</v>
      </c>
      <c r="B33" s="103">
        <f>SUM(B30:B32)</f>
        <v>284</v>
      </c>
      <c r="C33" s="103">
        <f>SUM(C30:C32)</f>
        <v>594</v>
      </c>
      <c r="D33" s="103">
        <f>SUM(D30:D32)</f>
        <v>564</v>
      </c>
      <c r="E33" s="103">
        <f>SUM(E30:E32)</f>
        <v>628</v>
      </c>
      <c r="F33" s="103">
        <f>SUM(F30:F32)</f>
        <v>552</v>
      </c>
      <c r="G33" s="103">
        <f>SUM(G30:G32)</f>
        <v>378</v>
      </c>
      <c r="H33" s="103">
        <f>SUM(H30:H32)</f>
        <v>0</v>
      </c>
    </row>
    <row r="34" spans="1:12" s="7" customFormat="1" ht="24.95" customHeight="1" thickBot="1">
      <c r="A34" s="34" t="s">
        <v>40</v>
      </c>
      <c r="B34" s="92" t="e">
        <f t="shared" ref="B34:H34" si="4">(B33-B7)/B7</f>
        <v>#DIV/0!</v>
      </c>
      <c r="C34" s="93" t="e">
        <f t="shared" si="4"/>
        <v>#DIV/0!</v>
      </c>
      <c r="D34" s="93" t="e">
        <f t="shared" si="4"/>
        <v>#DIV/0!</v>
      </c>
      <c r="E34" s="93" t="e">
        <f t="shared" si="4"/>
        <v>#DIV/0!</v>
      </c>
      <c r="F34" s="93" t="e">
        <f t="shared" si="4"/>
        <v>#DIV/0!</v>
      </c>
      <c r="G34" s="93" t="e">
        <f t="shared" si="4"/>
        <v>#DIV/0!</v>
      </c>
      <c r="H34" s="94" t="e">
        <f t="shared" si="4"/>
        <v>#DIV/0!</v>
      </c>
    </row>
    <row r="35" spans="1:12" s="7" customFormat="1">
      <c r="A35" s="192" t="s">
        <v>54</v>
      </c>
      <c r="B35" s="193"/>
      <c r="C35" s="193"/>
      <c r="D35" s="193"/>
      <c r="E35" s="193"/>
      <c r="F35" s="194" t="s">
        <v>35</v>
      </c>
      <c r="G35" s="104"/>
      <c r="H35" s="105"/>
    </row>
    <row r="36" spans="1:12" s="7" customFormat="1" ht="30.95" customHeight="1" thickBot="1">
      <c r="A36" s="78" t="s">
        <v>55</v>
      </c>
      <c r="B36" s="77">
        <f t="shared" ref="B36:H36" si="5">B33+B27+B21</f>
        <v>689</v>
      </c>
      <c r="C36" s="77">
        <f t="shared" si="5"/>
        <v>1484</v>
      </c>
      <c r="D36" s="77">
        <f t="shared" si="5"/>
        <v>1426</v>
      </c>
      <c r="E36" s="77">
        <f t="shared" si="5"/>
        <v>1582</v>
      </c>
      <c r="F36" s="77">
        <f t="shared" si="5"/>
        <v>1367</v>
      </c>
      <c r="G36" s="77">
        <f t="shared" si="5"/>
        <v>1274</v>
      </c>
      <c r="H36" s="77">
        <f t="shared" si="5"/>
        <v>0</v>
      </c>
    </row>
    <row r="37" spans="1:12" s="7" customFormat="1" ht="24.95" customHeight="1" thickBot="1">
      <c r="A37" s="34" t="s">
        <v>40</v>
      </c>
      <c r="B37" s="92" t="e">
        <f t="shared" ref="B37:H37" si="6">(B36-B8)/B8</f>
        <v>#DIV/0!</v>
      </c>
      <c r="C37" s="93" t="e">
        <f t="shared" si="6"/>
        <v>#DIV/0!</v>
      </c>
      <c r="D37" s="93" t="e">
        <f t="shared" si="6"/>
        <v>#DIV/0!</v>
      </c>
      <c r="E37" s="93" t="e">
        <f t="shared" si="6"/>
        <v>#DIV/0!</v>
      </c>
      <c r="F37" s="93" t="e">
        <f t="shared" si="6"/>
        <v>#DIV/0!</v>
      </c>
      <c r="G37" s="93" t="e">
        <f t="shared" si="6"/>
        <v>#DIV/0!</v>
      </c>
      <c r="H37" s="94" t="e">
        <f t="shared" si="6"/>
        <v>#DIV/0!</v>
      </c>
    </row>
    <row r="38" spans="1:12" ht="30" customHeight="1" thickBot="1">
      <c r="A38" s="195"/>
      <c r="B38" s="196"/>
      <c r="C38" s="196"/>
      <c r="D38" s="196"/>
      <c r="E38" s="196"/>
      <c r="F38" s="196"/>
      <c r="G38" s="106" t="s">
        <v>37</v>
      </c>
      <c r="H38" s="107">
        <f>SUM(B36:H36)</f>
        <v>7822</v>
      </c>
    </row>
    <row r="39" spans="1:12" s="7" customFormat="1" ht="24.95" customHeight="1" thickTop="1">
      <c r="A39" s="37"/>
      <c r="B39" s="25"/>
      <c r="C39" s="25"/>
      <c r="D39" s="25"/>
      <c r="E39" s="25"/>
      <c r="F39" s="25"/>
      <c r="G39" s="79" t="s">
        <v>40</v>
      </c>
      <c r="H39" s="80" t="e">
        <f>(H38-H9)/H9</f>
        <v>#DIV/0!</v>
      </c>
    </row>
    <row r="40" spans="1:12" s="7" customFormat="1" ht="24.95" customHeight="1" thickBot="1">
      <c r="A40" s="37"/>
      <c r="B40" s="25"/>
      <c r="C40" s="25"/>
      <c r="D40" s="25"/>
      <c r="E40" s="25"/>
      <c r="F40" s="25"/>
      <c r="G40" s="81" t="s">
        <v>56</v>
      </c>
      <c r="H40" s="82" t="e">
        <f>(H38-H16)/H16</f>
        <v>#DIV/0!</v>
      </c>
    </row>
    <row r="41" spans="1:12" s="46" customFormat="1" ht="23.1" customHeight="1">
      <c r="A41" s="40"/>
      <c r="B41" s="47" t="s">
        <v>57</v>
      </c>
      <c r="C41" s="197" t="s">
        <v>58</v>
      </c>
      <c r="D41" s="197"/>
      <c r="E41" s="197"/>
      <c r="F41" s="197"/>
      <c r="G41" s="198">
        <v>2020</v>
      </c>
      <c r="H41" s="199"/>
    </row>
    <row r="42" spans="1:12" ht="46.5" customHeight="1">
      <c r="A42" s="1" t="s">
        <v>0</v>
      </c>
      <c r="B42" s="57" t="s">
        <v>59</v>
      </c>
      <c r="C42" s="180" t="s">
        <v>84</v>
      </c>
      <c r="D42" s="180"/>
      <c r="E42" s="180"/>
      <c r="F42" s="180"/>
      <c r="G42" s="200" t="s">
        <v>85</v>
      </c>
      <c r="H42" s="200"/>
      <c r="I42" s="200"/>
      <c r="J42" s="200"/>
      <c r="L42" s="7" t="s">
        <v>61</v>
      </c>
    </row>
    <row r="43" spans="1:12" ht="36.75" customHeight="1">
      <c r="A43" s="1" t="s">
        <v>1</v>
      </c>
      <c r="B43" s="57" t="s">
        <v>59</v>
      </c>
      <c r="C43" s="175" t="s">
        <v>86</v>
      </c>
      <c r="D43" s="175"/>
      <c r="E43" s="175"/>
      <c r="F43" s="175"/>
      <c r="G43" s="201" t="s">
        <v>87</v>
      </c>
      <c r="H43" s="201"/>
      <c r="I43" s="201"/>
      <c r="J43" s="201"/>
      <c r="L43" s="5" t="s">
        <v>62</v>
      </c>
    </row>
    <row r="44" spans="1:12" ht="38.25" customHeight="1">
      <c r="A44" s="1" t="s">
        <v>2</v>
      </c>
      <c r="B44" s="57" t="s">
        <v>59</v>
      </c>
      <c r="C44" s="175" t="s">
        <v>86</v>
      </c>
      <c r="D44" s="175"/>
      <c r="E44" s="175"/>
      <c r="F44" s="175"/>
      <c r="G44" s="201" t="s">
        <v>87</v>
      </c>
      <c r="H44" s="201"/>
      <c r="I44" s="201"/>
      <c r="J44" s="201"/>
      <c r="L44" s="5" t="s">
        <v>63</v>
      </c>
    </row>
    <row r="45" spans="1:12" ht="36" customHeight="1">
      <c r="A45" s="1" t="s">
        <v>3</v>
      </c>
      <c r="B45" s="57" t="s">
        <v>59</v>
      </c>
      <c r="C45" s="175" t="s">
        <v>86</v>
      </c>
      <c r="D45" s="175"/>
      <c r="E45" s="175"/>
      <c r="F45" s="175"/>
      <c r="G45" s="201" t="s">
        <v>88</v>
      </c>
      <c r="H45" s="201"/>
      <c r="I45" s="201"/>
      <c r="J45" s="201"/>
      <c r="L45" s="5" t="s">
        <v>64</v>
      </c>
    </row>
    <row r="46" spans="1:12" ht="30.95" customHeight="1">
      <c r="A46" s="1" t="s">
        <v>4</v>
      </c>
      <c r="B46" s="57" t="s">
        <v>59</v>
      </c>
      <c r="C46" s="202"/>
      <c r="D46" s="202"/>
      <c r="E46" s="202"/>
      <c r="F46" s="202"/>
      <c r="G46" s="150"/>
      <c r="H46" s="150"/>
      <c r="J46" s="118"/>
    </row>
    <row r="47" spans="1:12" ht="30" customHeight="1">
      <c r="A47" s="1" t="s">
        <v>5</v>
      </c>
      <c r="B47" s="57" t="s">
        <v>59</v>
      </c>
      <c r="C47" s="175"/>
      <c r="D47" s="175"/>
      <c r="E47" s="175"/>
      <c r="F47" s="175"/>
      <c r="G47" s="175"/>
      <c r="H47" s="175"/>
      <c r="I47" s="175"/>
      <c r="J47" s="175"/>
    </row>
    <row r="48" spans="1:12" ht="30" customHeight="1">
      <c r="A48" s="1" t="s">
        <v>6</v>
      </c>
      <c r="B48" s="57" t="s">
        <v>59</v>
      </c>
      <c r="C48" s="203"/>
      <c r="D48" s="204"/>
      <c r="E48" s="204"/>
      <c r="F48" s="205"/>
      <c r="G48" s="206"/>
      <c r="H48" s="207"/>
      <c r="I48" s="119"/>
      <c r="J48" s="120"/>
    </row>
    <row r="49" spans="1:8" ht="30" customHeight="1">
      <c r="A49" s="1"/>
      <c r="B49" s="14"/>
      <c r="C49" s="175"/>
      <c r="D49" s="175"/>
      <c r="E49" s="175"/>
      <c r="F49" s="175"/>
      <c r="G49" s="176"/>
      <c r="H49" s="177"/>
    </row>
    <row r="50" spans="1:8" ht="30" customHeight="1">
      <c r="A50" s="2"/>
      <c r="B50" s="14"/>
      <c r="C50" s="175"/>
      <c r="D50" s="175"/>
      <c r="E50" s="175"/>
      <c r="F50" s="175"/>
      <c r="G50" s="176"/>
      <c r="H50" s="177"/>
    </row>
    <row r="51" spans="1:8">
      <c r="A51" s="30"/>
      <c r="B51" s="18" t="s">
        <v>27</v>
      </c>
      <c r="C51" s="18" t="s">
        <v>28</v>
      </c>
      <c r="D51" s="18" t="s">
        <v>65</v>
      </c>
      <c r="E51" s="18" t="s">
        <v>30</v>
      </c>
      <c r="F51" s="18" t="s">
        <v>66</v>
      </c>
      <c r="G51" s="18" t="s">
        <v>32</v>
      </c>
      <c r="H51" s="18" t="s">
        <v>33</v>
      </c>
    </row>
    <row r="52" spans="1:8">
      <c r="A52" s="38" t="s">
        <v>67</v>
      </c>
      <c r="B52" s="15"/>
      <c r="C52" s="20"/>
      <c r="D52" s="20"/>
      <c r="E52" s="20"/>
      <c r="F52" s="20"/>
      <c r="G52" s="20"/>
      <c r="H52" s="15"/>
    </row>
    <row r="53" spans="1:8" customFormat="1" ht="15.95">
      <c r="A53" s="48" t="s">
        <v>68</v>
      </c>
      <c r="B53" s="22"/>
      <c r="C53" s="21"/>
      <c r="D53" s="21"/>
      <c r="E53" s="21"/>
      <c r="F53" s="21"/>
      <c r="G53" s="23" t="s">
        <v>37</v>
      </c>
      <c r="H53" s="23">
        <f>SUM(B52:H52)</f>
        <v>0</v>
      </c>
    </row>
    <row r="54" spans="1:8">
      <c r="A54" s="30"/>
      <c r="B54" s="18" t="s">
        <v>27</v>
      </c>
      <c r="C54" s="18" t="s">
        <v>28</v>
      </c>
      <c r="D54" s="18" t="s">
        <v>65</v>
      </c>
      <c r="E54" s="18" t="s">
        <v>30</v>
      </c>
      <c r="F54" s="18" t="s">
        <v>66</v>
      </c>
      <c r="G54" s="18" t="s">
        <v>32</v>
      </c>
      <c r="H54" s="18" t="s">
        <v>33</v>
      </c>
    </row>
    <row r="55" spans="1:8">
      <c r="A55" s="38" t="s">
        <v>69</v>
      </c>
      <c r="B55" s="51"/>
      <c r="C55" s="52"/>
      <c r="D55" s="52"/>
      <c r="E55" s="52"/>
      <c r="F55" s="52"/>
      <c r="G55" s="20"/>
      <c r="H55" s="15"/>
    </row>
    <row r="56" spans="1:8" customFormat="1" ht="15.95">
      <c r="A56" s="49" t="s">
        <v>70</v>
      </c>
      <c r="B56" s="53"/>
      <c r="C56" s="53" t="s">
        <v>71</v>
      </c>
      <c r="D56" s="54"/>
      <c r="E56" s="54"/>
      <c r="F56" s="55"/>
      <c r="G56" s="50" t="s">
        <v>37</v>
      </c>
      <c r="H56" s="23"/>
    </row>
    <row r="57" spans="1:8">
      <c r="H57" s="16"/>
    </row>
    <row r="58" spans="1:8">
      <c r="H58" s="16"/>
    </row>
    <row r="59" spans="1:8">
      <c r="H59" s="16"/>
    </row>
    <row r="60" spans="1:8">
      <c r="H60" s="16"/>
    </row>
    <row r="61" spans="1:8">
      <c r="H61" s="16"/>
    </row>
    <row r="62" spans="1:8">
      <c r="H62" s="16"/>
    </row>
    <row r="63" spans="1:8">
      <c r="H63" s="16"/>
    </row>
    <row r="64" spans="1:8">
      <c r="B64" s="5"/>
      <c r="H64" s="16"/>
    </row>
    <row r="65" spans="2:8">
      <c r="B65" s="5"/>
      <c r="H65" s="16"/>
    </row>
    <row r="66" spans="2:8">
      <c r="B66" s="5"/>
      <c r="H66" s="16"/>
    </row>
    <row r="67" spans="2:8">
      <c r="B67" s="5"/>
      <c r="H67" s="16"/>
    </row>
    <row r="68" spans="2:8">
      <c r="B68" s="5"/>
      <c r="H68" s="16"/>
    </row>
    <row r="69" spans="2:8">
      <c r="B69" s="5"/>
      <c r="H69" s="16"/>
    </row>
    <row r="70" spans="2:8">
      <c r="B70" s="5"/>
      <c r="H70" s="16"/>
    </row>
    <row r="71" spans="2:8">
      <c r="B71" s="5"/>
      <c r="H71" s="16"/>
    </row>
    <row r="72" spans="2:8">
      <c r="B72" s="5"/>
      <c r="H72" s="16"/>
    </row>
    <row r="73" spans="2:8">
      <c r="B73" s="5"/>
      <c r="H73" s="16"/>
    </row>
    <row r="74" spans="2:8">
      <c r="B74" s="5"/>
      <c r="H74" s="16"/>
    </row>
    <row r="75" spans="2:8">
      <c r="B75" s="5"/>
      <c r="H75" s="16"/>
    </row>
    <row r="76" spans="2:8">
      <c r="B76" s="5"/>
      <c r="H76" s="16"/>
    </row>
    <row r="77" spans="2:8">
      <c r="B77" s="5"/>
      <c r="H77" s="16"/>
    </row>
    <row r="78" spans="2:8">
      <c r="B78" s="5"/>
      <c r="H78" s="16"/>
    </row>
    <row r="79" spans="2:8">
      <c r="B79" s="5"/>
      <c r="H79" s="16"/>
    </row>
    <row r="80" spans="2:8">
      <c r="B80" s="5"/>
      <c r="H80" s="16"/>
    </row>
    <row r="81" spans="2:8">
      <c r="B81" s="5"/>
      <c r="H81" s="16"/>
    </row>
    <row r="82" spans="2:8">
      <c r="B82" s="5"/>
      <c r="H82" s="16"/>
    </row>
    <row r="83" spans="2:8">
      <c r="B83" s="5"/>
      <c r="H83" s="16"/>
    </row>
    <row r="84" spans="2:8">
      <c r="B84" s="5"/>
      <c r="H84" s="16"/>
    </row>
    <row r="85" spans="2:8">
      <c r="B85" s="5"/>
      <c r="H85" s="16"/>
    </row>
    <row r="86" spans="2:8">
      <c r="B86" s="5"/>
      <c r="H86" s="16"/>
    </row>
    <row r="87" spans="2:8">
      <c r="B87" s="5"/>
      <c r="H87" s="16"/>
    </row>
    <row r="88" spans="2:8">
      <c r="B88" s="5"/>
      <c r="H88" s="16"/>
    </row>
    <row r="89" spans="2:8">
      <c r="B89" s="5"/>
      <c r="H89" s="16"/>
    </row>
    <row r="90" spans="2:8">
      <c r="B90" s="5"/>
      <c r="H90" s="16"/>
    </row>
    <row r="91" spans="2:8">
      <c r="B91" s="5"/>
      <c r="H91" s="16"/>
    </row>
    <row r="92" spans="2:8">
      <c r="B92" s="5"/>
      <c r="H92" s="16"/>
    </row>
    <row r="93" spans="2:8">
      <c r="B93" s="5"/>
      <c r="H93" s="16"/>
    </row>
    <row r="94" spans="2:8">
      <c r="B94" s="5"/>
      <c r="H94" s="16"/>
    </row>
    <row r="95" spans="2:8">
      <c r="B95" s="5"/>
      <c r="H95" s="16"/>
    </row>
    <row r="96" spans="2:8">
      <c r="B96" s="5"/>
      <c r="H96" s="16"/>
    </row>
    <row r="97" spans="2:8">
      <c r="B97" s="5"/>
      <c r="H97" s="16"/>
    </row>
    <row r="98" spans="2:8">
      <c r="B98" s="5"/>
      <c r="H98" s="16"/>
    </row>
    <row r="99" spans="2:8">
      <c r="B99" s="5"/>
      <c r="H99" s="16"/>
    </row>
    <row r="100" spans="2:8">
      <c r="B100" s="5"/>
      <c r="H100" s="16"/>
    </row>
    <row r="101" spans="2:8">
      <c r="B101" s="5"/>
      <c r="H101" s="16"/>
    </row>
    <row r="102" spans="2:8">
      <c r="B102" s="5"/>
      <c r="H102" s="16"/>
    </row>
    <row r="103" spans="2:8">
      <c r="B103" s="5"/>
      <c r="H103" s="16"/>
    </row>
    <row r="104" spans="2:8">
      <c r="B104" s="5"/>
      <c r="H104" s="16"/>
    </row>
    <row r="105" spans="2:8">
      <c r="B105" s="5"/>
      <c r="H105" s="16"/>
    </row>
    <row r="106" spans="2:8">
      <c r="B106" s="5"/>
      <c r="H106" s="16"/>
    </row>
    <row r="107" spans="2:8">
      <c r="B107" s="5"/>
      <c r="H107" s="16"/>
    </row>
    <row r="108" spans="2:8">
      <c r="B108" s="5"/>
      <c r="H108" s="16"/>
    </row>
    <row r="109" spans="2:8">
      <c r="B109" s="5"/>
      <c r="H109" s="16"/>
    </row>
    <row r="110" spans="2:8">
      <c r="B110" s="5"/>
      <c r="H110" s="16"/>
    </row>
    <row r="111" spans="2:8">
      <c r="B111" s="5"/>
      <c r="H111" s="16"/>
    </row>
    <row r="112" spans="2:8">
      <c r="B112" s="5"/>
      <c r="H112" s="16"/>
    </row>
    <row r="113" spans="2:8">
      <c r="B113" s="5"/>
      <c r="H113" s="16"/>
    </row>
    <row r="114" spans="2:8">
      <c r="B114" s="5"/>
      <c r="H114" s="16"/>
    </row>
    <row r="115" spans="2:8">
      <c r="B115" s="5"/>
      <c r="H115" s="16"/>
    </row>
    <row r="116" spans="2:8">
      <c r="B116" s="5"/>
      <c r="H116" s="16"/>
    </row>
    <row r="117" spans="2:8">
      <c r="B117" s="5"/>
      <c r="H117" s="16"/>
    </row>
    <row r="118" spans="2:8">
      <c r="B118" s="5"/>
      <c r="H118" s="16"/>
    </row>
    <row r="119" spans="2:8">
      <c r="B119" s="5"/>
      <c r="H119" s="16"/>
    </row>
    <row r="120" spans="2:8">
      <c r="B120" s="5"/>
      <c r="H120" s="16"/>
    </row>
    <row r="121" spans="2:8">
      <c r="B121" s="5"/>
      <c r="H121" s="16"/>
    </row>
    <row r="122" spans="2:8">
      <c r="B122" s="5"/>
      <c r="H122" s="16"/>
    </row>
    <row r="123" spans="2:8">
      <c r="B123" s="5"/>
      <c r="H123" s="16"/>
    </row>
    <row r="124" spans="2:8">
      <c r="B124" s="5"/>
      <c r="H124" s="16"/>
    </row>
    <row r="125" spans="2:8">
      <c r="B125" s="5"/>
      <c r="H125" s="16"/>
    </row>
    <row r="126" spans="2:8">
      <c r="B126" s="5"/>
      <c r="H126" s="16"/>
    </row>
    <row r="127" spans="2:8">
      <c r="B127" s="5"/>
      <c r="H127" s="16"/>
    </row>
    <row r="128" spans="2:8">
      <c r="B128" s="5"/>
      <c r="H128" s="16"/>
    </row>
    <row r="129" spans="2:8">
      <c r="B129" s="5"/>
      <c r="H129" s="16"/>
    </row>
    <row r="130" spans="2:8">
      <c r="B130" s="5"/>
      <c r="H130" s="16"/>
    </row>
    <row r="131" spans="2:8">
      <c r="B131" s="5"/>
      <c r="H131" s="16"/>
    </row>
    <row r="132" spans="2:8">
      <c r="B132" s="5"/>
      <c r="H132" s="16"/>
    </row>
    <row r="133" spans="2:8">
      <c r="B133" s="5"/>
      <c r="H133" s="16"/>
    </row>
    <row r="134" spans="2:8">
      <c r="B134" s="5"/>
      <c r="H134" s="16"/>
    </row>
    <row r="135" spans="2:8">
      <c r="B135" s="5"/>
      <c r="H135" s="16"/>
    </row>
    <row r="136" spans="2:8">
      <c r="B136" s="5"/>
      <c r="H136" s="16"/>
    </row>
    <row r="137" spans="2:8">
      <c r="B137" s="5"/>
      <c r="H137" s="16"/>
    </row>
    <row r="138" spans="2:8">
      <c r="B138" s="5"/>
      <c r="H138" s="16"/>
    </row>
    <row r="139" spans="2:8">
      <c r="B139" s="5"/>
      <c r="H139" s="16"/>
    </row>
    <row r="140" spans="2:8">
      <c r="B140" s="5"/>
      <c r="H140" s="16"/>
    </row>
    <row r="141" spans="2:8">
      <c r="B141" s="5"/>
      <c r="H141" s="16"/>
    </row>
    <row r="142" spans="2:8">
      <c r="B142" s="5"/>
      <c r="H142" s="16"/>
    </row>
    <row r="143" spans="2:8">
      <c r="B143" s="5"/>
      <c r="H143" s="16"/>
    </row>
    <row r="144" spans="2:8">
      <c r="B144" s="5"/>
      <c r="H144" s="16"/>
    </row>
    <row r="145" spans="2:8">
      <c r="B145" s="5"/>
      <c r="H145" s="16"/>
    </row>
    <row r="146" spans="2:8">
      <c r="B146" s="5"/>
      <c r="H146" s="16"/>
    </row>
    <row r="147" spans="2:8">
      <c r="B147" s="5"/>
      <c r="H147" s="16"/>
    </row>
    <row r="148" spans="2:8">
      <c r="B148" s="5"/>
      <c r="H148" s="16"/>
    </row>
    <row r="149" spans="2:8">
      <c r="B149" s="5"/>
      <c r="H149" s="16"/>
    </row>
    <row r="150" spans="2:8">
      <c r="B150" s="5"/>
      <c r="H150" s="16"/>
    </row>
    <row r="151" spans="2:8">
      <c r="B151" s="5"/>
      <c r="H151" s="16"/>
    </row>
    <row r="152" spans="2:8">
      <c r="B152" s="5"/>
      <c r="H152" s="16"/>
    </row>
    <row r="153" spans="2:8">
      <c r="B153" s="5"/>
      <c r="H153" s="16"/>
    </row>
    <row r="154" spans="2:8">
      <c r="B154" s="5"/>
      <c r="H154" s="16"/>
    </row>
    <row r="155" spans="2:8">
      <c r="B155" s="5"/>
      <c r="H155" s="16"/>
    </row>
    <row r="156" spans="2:8">
      <c r="B156" s="5"/>
      <c r="H156" s="16"/>
    </row>
    <row r="157" spans="2:8">
      <c r="B157" s="5"/>
      <c r="H157" s="16"/>
    </row>
    <row r="158" spans="2:8">
      <c r="B158" s="5"/>
      <c r="H158" s="16"/>
    </row>
    <row r="159" spans="2:8">
      <c r="B159" s="5"/>
      <c r="H159" s="16"/>
    </row>
    <row r="160" spans="2:8">
      <c r="B160" s="5"/>
      <c r="H160" s="16"/>
    </row>
    <row r="161" spans="2:8">
      <c r="B161" s="5"/>
      <c r="H161" s="16"/>
    </row>
    <row r="162" spans="2:8">
      <c r="B162" s="5"/>
      <c r="H162" s="16"/>
    </row>
    <row r="163" spans="2:8">
      <c r="B163" s="5"/>
      <c r="H163" s="16"/>
    </row>
    <row r="164" spans="2:8">
      <c r="B164" s="5"/>
      <c r="H164" s="16"/>
    </row>
    <row r="165" spans="2:8">
      <c r="B165" s="5"/>
      <c r="H165" s="16"/>
    </row>
    <row r="166" spans="2:8">
      <c r="B166" s="5"/>
      <c r="H166" s="16"/>
    </row>
    <row r="167" spans="2:8">
      <c r="B167" s="5"/>
      <c r="H167" s="16"/>
    </row>
    <row r="168" spans="2:8">
      <c r="B168" s="5"/>
      <c r="H168" s="16"/>
    </row>
    <row r="169" spans="2:8">
      <c r="B169" s="5"/>
      <c r="H169" s="16"/>
    </row>
    <row r="170" spans="2:8">
      <c r="B170" s="5"/>
      <c r="H170" s="16"/>
    </row>
    <row r="171" spans="2:8">
      <c r="B171" s="5"/>
      <c r="H171" s="16"/>
    </row>
    <row r="172" spans="2:8">
      <c r="B172" s="5"/>
      <c r="H172" s="16"/>
    </row>
    <row r="173" spans="2:8">
      <c r="B173" s="5"/>
      <c r="H173" s="16"/>
    </row>
    <row r="174" spans="2:8">
      <c r="B174" s="5"/>
      <c r="H174" s="16"/>
    </row>
    <row r="175" spans="2:8">
      <c r="B175" s="5"/>
      <c r="H175" s="16"/>
    </row>
    <row r="176" spans="2:8">
      <c r="B176" s="5"/>
      <c r="H176" s="16"/>
    </row>
    <row r="177" spans="2:8">
      <c r="B177" s="5"/>
      <c r="H177" s="16"/>
    </row>
    <row r="178" spans="2:8">
      <c r="B178" s="5"/>
      <c r="H178" s="16"/>
    </row>
    <row r="179" spans="2:8">
      <c r="B179" s="5"/>
      <c r="H179" s="16"/>
    </row>
    <row r="180" spans="2:8">
      <c r="B180" s="5"/>
      <c r="H180" s="16"/>
    </row>
    <row r="181" spans="2:8">
      <c r="B181" s="5"/>
      <c r="H181" s="16"/>
    </row>
    <row r="182" spans="2:8">
      <c r="B182" s="5"/>
      <c r="H182" s="16"/>
    </row>
    <row r="183" spans="2:8">
      <c r="B183" s="5"/>
      <c r="H183" s="16"/>
    </row>
    <row r="184" spans="2:8">
      <c r="B184" s="5"/>
      <c r="H184" s="16"/>
    </row>
    <row r="185" spans="2:8">
      <c r="B185" s="5"/>
      <c r="H185" s="16"/>
    </row>
    <row r="186" spans="2:8">
      <c r="B186" s="5"/>
      <c r="H186" s="16"/>
    </row>
    <row r="187" spans="2:8">
      <c r="B187" s="5"/>
      <c r="H187" s="16"/>
    </row>
    <row r="188" spans="2:8">
      <c r="B188" s="5"/>
      <c r="H188" s="16"/>
    </row>
    <row r="189" spans="2:8">
      <c r="B189" s="5"/>
      <c r="H189" s="16"/>
    </row>
    <row r="190" spans="2:8">
      <c r="B190" s="5"/>
      <c r="H190" s="16"/>
    </row>
    <row r="191" spans="2:8">
      <c r="B191" s="5"/>
      <c r="H191" s="16"/>
    </row>
    <row r="192" spans="2:8">
      <c r="B192" s="5"/>
      <c r="H192" s="16"/>
    </row>
    <row r="193" spans="2:8">
      <c r="B193" s="5"/>
      <c r="H193" s="16"/>
    </row>
    <row r="194" spans="2:8">
      <c r="B194" s="5"/>
      <c r="H194" s="16"/>
    </row>
    <row r="195" spans="2:8">
      <c r="B195" s="5"/>
      <c r="H195" s="16"/>
    </row>
    <row r="196" spans="2:8">
      <c r="B196" s="5"/>
      <c r="H196" s="16"/>
    </row>
    <row r="197" spans="2:8">
      <c r="B197" s="5"/>
      <c r="H197" s="16"/>
    </row>
    <row r="198" spans="2:8">
      <c r="B198" s="5"/>
      <c r="H198" s="16"/>
    </row>
    <row r="199" spans="2:8">
      <c r="B199" s="5"/>
      <c r="H199" s="16"/>
    </row>
    <row r="200" spans="2:8">
      <c r="B200" s="5"/>
      <c r="H200" s="16"/>
    </row>
    <row r="201" spans="2:8">
      <c r="B201" s="5"/>
      <c r="H201" s="16"/>
    </row>
    <row r="202" spans="2:8">
      <c r="B202" s="5"/>
      <c r="H202" s="16"/>
    </row>
    <row r="203" spans="2:8">
      <c r="B203" s="5"/>
      <c r="H203" s="16"/>
    </row>
    <row r="204" spans="2:8">
      <c r="B204" s="5"/>
      <c r="H204" s="16"/>
    </row>
    <row r="205" spans="2:8">
      <c r="B205" s="5"/>
      <c r="H205" s="16"/>
    </row>
    <row r="206" spans="2:8">
      <c r="B206" s="5"/>
      <c r="H206" s="16"/>
    </row>
    <row r="207" spans="2:8">
      <c r="B207" s="5"/>
      <c r="H207" s="16"/>
    </row>
    <row r="208" spans="2:8">
      <c r="B208" s="5"/>
      <c r="H208" s="16"/>
    </row>
    <row r="209" spans="2:8">
      <c r="B209" s="5"/>
      <c r="H209" s="16"/>
    </row>
    <row r="210" spans="2:8">
      <c r="B210" s="5"/>
      <c r="H210" s="16"/>
    </row>
    <row r="211" spans="2:8">
      <c r="B211" s="5"/>
      <c r="H211" s="16"/>
    </row>
    <row r="212" spans="2:8">
      <c r="B212" s="5"/>
      <c r="H212" s="16"/>
    </row>
    <row r="213" spans="2:8">
      <c r="B213" s="5"/>
      <c r="H213" s="16"/>
    </row>
    <row r="214" spans="2:8">
      <c r="B214" s="5"/>
      <c r="H214" s="16"/>
    </row>
    <row r="215" spans="2:8">
      <c r="B215" s="5"/>
      <c r="H215" s="16"/>
    </row>
    <row r="216" spans="2:8">
      <c r="B216" s="5"/>
      <c r="H216" s="16"/>
    </row>
    <row r="217" spans="2:8">
      <c r="B217" s="5"/>
      <c r="H217" s="16"/>
    </row>
    <row r="218" spans="2:8">
      <c r="B218" s="5"/>
      <c r="H218" s="16"/>
    </row>
    <row r="219" spans="2:8">
      <c r="B219" s="5"/>
      <c r="H219" s="16"/>
    </row>
    <row r="220" spans="2:8">
      <c r="B220" s="5"/>
      <c r="H220" s="16"/>
    </row>
    <row r="221" spans="2:8">
      <c r="B221" s="5"/>
      <c r="H221" s="16"/>
    </row>
    <row r="222" spans="2:8">
      <c r="B222" s="5"/>
      <c r="H222" s="16"/>
    </row>
    <row r="223" spans="2:8">
      <c r="B223" s="5"/>
      <c r="H223" s="16"/>
    </row>
    <row r="224" spans="2:8">
      <c r="B224" s="5"/>
      <c r="H224" s="16"/>
    </row>
    <row r="225" spans="2:8">
      <c r="B225" s="5"/>
      <c r="H225" s="16"/>
    </row>
    <row r="226" spans="2:8">
      <c r="B226" s="5"/>
      <c r="H226" s="16"/>
    </row>
    <row r="227" spans="2:8">
      <c r="B227" s="5"/>
      <c r="H227" s="16"/>
    </row>
    <row r="228" spans="2:8">
      <c r="B228" s="5"/>
      <c r="H228" s="16"/>
    </row>
    <row r="229" spans="2:8">
      <c r="B229" s="5"/>
      <c r="H229" s="16"/>
    </row>
    <row r="230" spans="2:8">
      <c r="B230" s="5"/>
      <c r="H230" s="16"/>
    </row>
    <row r="231" spans="2:8">
      <c r="B231" s="5"/>
      <c r="H231" s="16"/>
    </row>
    <row r="232" spans="2:8">
      <c r="B232" s="5"/>
      <c r="H232" s="16"/>
    </row>
    <row r="233" spans="2:8">
      <c r="B233" s="5"/>
      <c r="H233" s="16"/>
    </row>
    <row r="234" spans="2:8">
      <c r="B234" s="5"/>
      <c r="H234" s="16"/>
    </row>
    <row r="235" spans="2:8">
      <c r="B235" s="5"/>
      <c r="H235" s="16"/>
    </row>
    <row r="236" spans="2:8">
      <c r="B236" s="5"/>
      <c r="H236" s="16"/>
    </row>
    <row r="237" spans="2:8">
      <c r="B237" s="5"/>
      <c r="H237" s="16"/>
    </row>
    <row r="238" spans="2:8">
      <c r="B238" s="5"/>
      <c r="H238" s="16"/>
    </row>
    <row r="239" spans="2:8">
      <c r="B239" s="5"/>
      <c r="H239" s="16"/>
    </row>
    <row r="240" spans="2:8">
      <c r="B240" s="5"/>
      <c r="H240" s="16"/>
    </row>
    <row r="241" spans="2:8">
      <c r="B241" s="5"/>
      <c r="H241" s="16"/>
    </row>
    <row r="242" spans="2:8">
      <c r="B242" s="5"/>
      <c r="H242" s="16"/>
    </row>
    <row r="243" spans="2:8">
      <c r="B243" s="5"/>
      <c r="H243" s="16"/>
    </row>
    <row r="244" spans="2:8">
      <c r="B244" s="5"/>
      <c r="H244" s="16"/>
    </row>
    <row r="245" spans="2:8">
      <c r="B245" s="5"/>
      <c r="H245" s="16"/>
    </row>
    <row r="246" spans="2:8">
      <c r="B246" s="5"/>
      <c r="H246" s="16"/>
    </row>
    <row r="247" spans="2:8">
      <c r="B247" s="5"/>
      <c r="H247" s="16"/>
    </row>
    <row r="248" spans="2:8">
      <c r="B248" s="5"/>
      <c r="H248" s="16"/>
    </row>
    <row r="249" spans="2:8">
      <c r="B249" s="5"/>
      <c r="H249" s="16"/>
    </row>
    <row r="250" spans="2:8">
      <c r="B250" s="5"/>
      <c r="H250" s="16"/>
    </row>
    <row r="251" spans="2:8">
      <c r="B251" s="5"/>
      <c r="H251" s="16"/>
    </row>
    <row r="252" spans="2:8">
      <c r="B252" s="5"/>
      <c r="H252" s="16"/>
    </row>
    <row r="253" spans="2:8">
      <c r="B253" s="5"/>
      <c r="H253" s="16"/>
    </row>
    <row r="254" spans="2:8">
      <c r="B254" s="5"/>
      <c r="H254" s="16"/>
    </row>
    <row r="255" spans="2:8">
      <c r="B255" s="5"/>
      <c r="H255" s="16"/>
    </row>
    <row r="256" spans="2:8">
      <c r="B256" s="5"/>
      <c r="H256" s="16"/>
    </row>
    <row r="257" spans="2:8">
      <c r="B257" s="5"/>
      <c r="H257" s="16"/>
    </row>
    <row r="258" spans="2:8">
      <c r="B258" s="5"/>
      <c r="H258" s="16"/>
    </row>
    <row r="259" spans="2:8">
      <c r="B259" s="5"/>
      <c r="H259" s="16"/>
    </row>
    <row r="260" spans="2:8">
      <c r="B260" s="5"/>
      <c r="H260" s="16"/>
    </row>
    <row r="261" spans="2:8">
      <c r="B261" s="5"/>
      <c r="H261" s="16"/>
    </row>
    <row r="262" spans="2:8">
      <c r="B262" s="5"/>
      <c r="H262" s="16"/>
    </row>
    <row r="263" spans="2:8">
      <c r="B263" s="5"/>
      <c r="H263" s="16"/>
    </row>
    <row r="264" spans="2:8">
      <c r="B264" s="5"/>
      <c r="H264" s="16"/>
    </row>
    <row r="265" spans="2:8">
      <c r="B265" s="5"/>
      <c r="H265" s="16"/>
    </row>
    <row r="266" spans="2:8">
      <c r="B266" s="5"/>
      <c r="H266" s="16"/>
    </row>
    <row r="267" spans="2:8">
      <c r="B267" s="5"/>
      <c r="H267" s="16"/>
    </row>
    <row r="268" spans="2:8">
      <c r="B268" s="5"/>
      <c r="H268" s="16"/>
    </row>
    <row r="269" spans="2:8">
      <c r="B269" s="5"/>
      <c r="H269" s="16"/>
    </row>
    <row r="270" spans="2:8">
      <c r="B270" s="5"/>
      <c r="H270" s="16"/>
    </row>
    <row r="271" spans="2:8">
      <c r="B271" s="5"/>
      <c r="H271" s="16"/>
    </row>
    <row r="272" spans="2:8">
      <c r="B272" s="5"/>
      <c r="H272" s="16"/>
    </row>
    <row r="273" spans="2:8">
      <c r="B273" s="5"/>
      <c r="H273" s="16"/>
    </row>
    <row r="274" spans="2:8">
      <c r="B274" s="5"/>
      <c r="H274" s="16"/>
    </row>
    <row r="275" spans="2:8">
      <c r="B275" s="5"/>
      <c r="H275" s="16"/>
    </row>
    <row r="276" spans="2:8">
      <c r="B276" s="5"/>
      <c r="H276" s="16"/>
    </row>
    <row r="277" spans="2:8">
      <c r="B277" s="5"/>
      <c r="H277" s="16"/>
    </row>
    <row r="278" spans="2:8">
      <c r="B278" s="5"/>
      <c r="H278" s="16"/>
    </row>
    <row r="279" spans="2:8">
      <c r="B279" s="5"/>
      <c r="H279" s="16"/>
    </row>
    <row r="280" spans="2:8">
      <c r="B280" s="5"/>
      <c r="H280" s="16"/>
    </row>
    <row r="281" spans="2:8">
      <c r="B281" s="5"/>
      <c r="H281" s="16"/>
    </row>
    <row r="282" spans="2:8">
      <c r="B282" s="5"/>
      <c r="H282" s="16"/>
    </row>
    <row r="283" spans="2:8">
      <c r="B283" s="5"/>
      <c r="H283" s="16"/>
    </row>
    <row r="284" spans="2:8">
      <c r="B284" s="5"/>
      <c r="H284" s="16"/>
    </row>
    <row r="285" spans="2:8">
      <c r="B285" s="5"/>
      <c r="H285" s="16"/>
    </row>
    <row r="286" spans="2:8">
      <c r="B286" s="5"/>
      <c r="H286" s="16"/>
    </row>
    <row r="287" spans="2:8">
      <c r="B287" s="5"/>
      <c r="H287" s="16"/>
    </row>
    <row r="288" spans="2:8">
      <c r="B288" s="5"/>
      <c r="H288" s="16"/>
    </row>
    <row r="289" spans="2:8">
      <c r="B289" s="5"/>
      <c r="H289" s="16"/>
    </row>
    <row r="290" spans="2:8">
      <c r="B290" s="5"/>
      <c r="H290" s="16"/>
    </row>
    <row r="291" spans="2:8">
      <c r="B291" s="5"/>
      <c r="H291" s="16"/>
    </row>
    <row r="292" spans="2:8">
      <c r="B292" s="5"/>
      <c r="H292" s="16"/>
    </row>
    <row r="293" spans="2:8">
      <c r="B293" s="5"/>
      <c r="H293" s="16"/>
    </row>
    <row r="294" spans="2:8">
      <c r="B294" s="5"/>
      <c r="H294" s="16"/>
    </row>
    <row r="295" spans="2:8">
      <c r="B295" s="5"/>
      <c r="H295" s="16"/>
    </row>
    <row r="296" spans="2:8">
      <c r="B296" s="5"/>
      <c r="H296" s="16"/>
    </row>
    <row r="297" spans="2:8">
      <c r="B297" s="5"/>
      <c r="H297" s="16"/>
    </row>
    <row r="298" spans="2:8">
      <c r="B298" s="5"/>
      <c r="H298" s="16"/>
    </row>
    <row r="299" spans="2:8">
      <c r="B299" s="5"/>
      <c r="H299" s="16"/>
    </row>
    <row r="300" spans="2:8">
      <c r="B300" s="5"/>
      <c r="H300" s="16"/>
    </row>
    <row r="301" spans="2:8">
      <c r="B301" s="5"/>
      <c r="H301" s="16"/>
    </row>
    <row r="302" spans="2:8">
      <c r="B302" s="5"/>
      <c r="H302" s="16"/>
    </row>
    <row r="303" spans="2:8">
      <c r="B303" s="5"/>
      <c r="H303" s="16"/>
    </row>
    <row r="304" spans="2:8">
      <c r="B304" s="5"/>
      <c r="H304" s="16"/>
    </row>
    <row r="305" spans="2:8">
      <c r="B305" s="5"/>
      <c r="H305" s="16"/>
    </row>
    <row r="306" spans="2:8">
      <c r="B306" s="5"/>
      <c r="H306" s="16"/>
    </row>
    <row r="307" spans="2:8">
      <c r="B307" s="5"/>
      <c r="H307" s="16"/>
    </row>
    <row r="308" spans="2:8">
      <c r="B308" s="5"/>
      <c r="H308" s="16"/>
    </row>
    <row r="309" spans="2:8">
      <c r="B309" s="5"/>
      <c r="H309" s="16"/>
    </row>
    <row r="310" spans="2:8">
      <c r="B310" s="5"/>
      <c r="H310" s="16"/>
    </row>
    <row r="311" spans="2:8">
      <c r="B311" s="5"/>
      <c r="H311" s="16"/>
    </row>
    <row r="312" spans="2:8">
      <c r="B312" s="5"/>
      <c r="H312" s="16"/>
    </row>
    <row r="313" spans="2:8">
      <c r="B313" s="5"/>
      <c r="H313" s="16"/>
    </row>
    <row r="314" spans="2:8">
      <c r="B314" s="5"/>
      <c r="H314" s="16"/>
    </row>
    <row r="315" spans="2:8">
      <c r="B315" s="5"/>
      <c r="H315" s="16"/>
    </row>
    <row r="316" spans="2:8">
      <c r="B316" s="5"/>
      <c r="H316" s="16"/>
    </row>
    <row r="317" spans="2:8">
      <c r="B317" s="5"/>
      <c r="H317" s="16"/>
    </row>
    <row r="318" spans="2:8">
      <c r="B318" s="5"/>
      <c r="H318" s="16"/>
    </row>
    <row r="319" spans="2:8">
      <c r="B319" s="5"/>
      <c r="H319" s="16"/>
    </row>
    <row r="320" spans="2:8">
      <c r="B320" s="5"/>
      <c r="H320" s="16"/>
    </row>
    <row r="321" spans="2:8">
      <c r="B321" s="5"/>
      <c r="H321" s="16"/>
    </row>
    <row r="322" spans="2:8">
      <c r="B322" s="5"/>
      <c r="H322" s="16"/>
    </row>
    <row r="323" spans="2:8">
      <c r="B323" s="5"/>
      <c r="H323" s="16"/>
    </row>
    <row r="324" spans="2:8">
      <c r="B324" s="5"/>
      <c r="H324" s="16"/>
    </row>
    <row r="325" spans="2:8">
      <c r="B325" s="5"/>
      <c r="H325" s="16"/>
    </row>
    <row r="326" spans="2:8">
      <c r="B326" s="5"/>
      <c r="H326" s="16"/>
    </row>
    <row r="327" spans="2:8">
      <c r="B327" s="5"/>
      <c r="H327" s="16"/>
    </row>
    <row r="328" spans="2:8">
      <c r="B328" s="5"/>
      <c r="H328" s="16"/>
    </row>
    <row r="329" spans="2:8">
      <c r="B329" s="5"/>
      <c r="H329" s="16"/>
    </row>
    <row r="330" spans="2:8">
      <c r="B330" s="5"/>
      <c r="H330" s="16"/>
    </row>
    <row r="331" spans="2:8">
      <c r="B331" s="5"/>
      <c r="H331" s="16"/>
    </row>
    <row r="332" spans="2:8">
      <c r="B332" s="5"/>
      <c r="H332" s="16"/>
    </row>
    <row r="333" spans="2:8">
      <c r="B333" s="5"/>
      <c r="H333" s="16"/>
    </row>
    <row r="334" spans="2:8">
      <c r="B334" s="5"/>
      <c r="H334" s="16"/>
    </row>
    <row r="335" spans="2:8">
      <c r="B335" s="5"/>
      <c r="H335" s="16"/>
    </row>
    <row r="336" spans="2:8">
      <c r="B336" s="5"/>
      <c r="H336" s="16"/>
    </row>
    <row r="337" spans="2:8">
      <c r="B337" s="5"/>
      <c r="H337" s="16"/>
    </row>
    <row r="338" spans="2:8">
      <c r="B338" s="5"/>
      <c r="H338" s="16"/>
    </row>
    <row r="339" spans="2:8">
      <c r="B339" s="5"/>
      <c r="H339" s="16"/>
    </row>
    <row r="340" spans="2:8">
      <c r="B340" s="5"/>
      <c r="H340" s="16"/>
    </row>
    <row r="341" spans="2:8">
      <c r="B341" s="5"/>
      <c r="H341" s="16"/>
    </row>
    <row r="342" spans="2:8">
      <c r="B342" s="5"/>
      <c r="H342" s="16"/>
    </row>
    <row r="343" spans="2:8">
      <c r="B343" s="5"/>
      <c r="H343" s="16"/>
    </row>
    <row r="344" spans="2:8">
      <c r="B344" s="5"/>
      <c r="H344" s="16"/>
    </row>
    <row r="345" spans="2:8">
      <c r="B345" s="5"/>
      <c r="H345" s="16"/>
    </row>
    <row r="346" spans="2:8">
      <c r="B346" s="5"/>
      <c r="H346" s="16"/>
    </row>
    <row r="347" spans="2:8">
      <c r="B347" s="5"/>
      <c r="H347" s="16"/>
    </row>
    <row r="348" spans="2:8">
      <c r="B348" s="5"/>
      <c r="H348" s="16"/>
    </row>
    <row r="349" spans="2:8">
      <c r="B349" s="5"/>
      <c r="H349" s="16"/>
    </row>
    <row r="350" spans="2:8">
      <c r="B350" s="5"/>
      <c r="H350" s="16"/>
    </row>
    <row r="351" spans="2:8">
      <c r="B351" s="5"/>
      <c r="H351" s="16"/>
    </row>
    <row r="352" spans="2:8">
      <c r="B352" s="5"/>
      <c r="H352" s="16"/>
    </row>
    <row r="353" spans="2:8">
      <c r="B353" s="5"/>
      <c r="H353" s="16"/>
    </row>
    <row r="354" spans="2:8">
      <c r="B354" s="5"/>
      <c r="H354" s="16"/>
    </row>
    <row r="355" spans="2:8">
      <c r="B355" s="5"/>
      <c r="H355" s="16"/>
    </row>
    <row r="356" spans="2:8">
      <c r="B356" s="5"/>
      <c r="H356" s="16"/>
    </row>
    <row r="357" spans="2:8">
      <c r="B357" s="5"/>
      <c r="H357" s="16"/>
    </row>
    <row r="358" spans="2:8">
      <c r="B358" s="5"/>
      <c r="H358" s="16"/>
    </row>
    <row r="359" spans="2:8">
      <c r="B359" s="5"/>
      <c r="H359" s="16"/>
    </row>
    <row r="360" spans="2:8">
      <c r="B360" s="5"/>
      <c r="H360" s="16"/>
    </row>
    <row r="361" spans="2:8">
      <c r="B361" s="5"/>
      <c r="H361" s="16"/>
    </row>
    <row r="362" spans="2:8">
      <c r="B362" s="5"/>
      <c r="H362" s="16"/>
    </row>
    <row r="363" spans="2:8">
      <c r="B363" s="5"/>
      <c r="H363" s="16"/>
    </row>
    <row r="364" spans="2:8">
      <c r="B364" s="5"/>
      <c r="H364" s="16"/>
    </row>
    <row r="365" spans="2:8">
      <c r="B365" s="5"/>
      <c r="H365" s="16"/>
    </row>
    <row r="366" spans="2:8">
      <c r="B366" s="5"/>
      <c r="H366" s="16"/>
    </row>
    <row r="367" spans="2:8">
      <c r="B367" s="5"/>
      <c r="H367" s="16"/>
    </row>
    <row r="368" spans="2:8">
      <c r="B368" s="5"/>
      <c r="H368" s="16"/>
    </row>
    <row r="369" spans="2:8">
      <c r="B369" s="5"/>
      <c r="H369" s="16"/>
    </row>
    <row r="370" spans="2:8">
      <c r="B370" s="5"/>
      <c r="H370" s="16"/>
    </row>
    <row r="371" spans="2:8">
      <c r="B371" s="5"/>
      <c r="H371" s="16"/>
    </row>
    <row r="372" spans="2:8">
      <c r="B372" s="5"/>
      <c r="H372" s="16"/>
    </row>
    <row r="373" spans="2:8">
      <c r="B373" s="5"/>
      <c r="H373" s="16"/>
    </row>
    <row r="374" spans="2:8">
      <c r="B374" s="5"/>
      <c r="H374" s="16"/>
    </row>
    <row r="375" spans="2:8">
      <c r="B375" s="5"/>
      <c r="H375" s="16"/>
    </row>
    <row r="376" spans="2:8">
      <c r="B376" s="5"/>
      <c r="H376" s="16"/>
    </row>
    <row r="377" spans="2:8">
      <c r="B377" s="5"/>
      <c r="H377" s="16"/>
    </row>
    <row r="378" spans="2:8">
      <c r="B378" s="5"/>
      <c r="H378" s="16"/>
    </row>
    <row r="379" spans="2:8">
      <c r="B379" s="5"/>
      <c r="H379" s="16"/>
    </row>
    <row r="380" spans="2:8">
      <c r="B380" s="5"/>
      <c r="H380" s="16"/>
    </row>
    <row r="381" spans="2:8">
      <c r="B381" s="5"/>
      <c r="H381" s="16"/>
    </row>
    <row r="382" spans="2:8">
      <c r="B382" s="5"/>
      <c r="H382" s="16"/>
    </row>
    <row r="383" spans="2:8">
      <c r="B383" s="5"/>
      <c r="H383" s="16"/>
    </row>
    <row r="384" spans="2:8">
      <c r="B384" s="5"/>
      <c r="H384" s="16"/>
    </row>
    <row r="385" spans="2:8">
      <c r="B385" s="5"/>
      <c r="H385" s="16"/>
    </row>
    <row r="386" spans="2:8">
      <c r="B386" s="5"/>
      <c r="H386" s="16"/>
    </row>
    <row r="387" spans="2:8">
      <c r="B387" s="5"/>
      <c r="H387" s="16"/>
    </row>
    <row r="388" spans="2:8">
      <c r="B388" s="5"/>
      <c r="H388" s="16"/>
    </row>
    <row r="389" spans="2:8">
      <c r="B389" s="5"/>
      <c r="H389" s="16"/>
    </row>
    <row r="390" spans="2:8">
      <c r="B390" s="5"/>
      <c r="H390" s="16"/>
    </row>
    <row r="391" spans="2:8">
      <c r="B391" s="5"/>
      <c r="H391" s="16"/>
    </row>
    <row r="392" spans="2:8">
      <c r="B392" s="5"/>
      <c r="H392" s="16"/>
    </row>
    <row r="393" spans="2:8">
      <c r="B393" s="5"/>
      <c r="H393" s="16"/>
    </row>
    <row r="394" spans="2:8">
      <c r="B394" s="5"/>
      <c r="H394" s="16"/>
    </row>
    <row r="395" spans="2:8">
      <c r="B395" s="5"/>
      <c r="H395" s="16"/>
    </row>
    <row r="396" spans="2:8">
      <c r="B396" s="5"/>
      <c r="H396" s="16"/>
    </row>
    <row r="397" spans="2:8">
      <c r="B397" s="5"/>
      <c r="H397" s="16"/>
    </row>
    <row r="398" spans="2:8">
      <c r="B398" s="5"/>
      <c r="H398" s="16"/>
    </row>
    <row r="399" spans="2:8">
      <c r="B399" s="5"/>
      <c r="H399" s="16"/>
    </row>
    <row r="400" spans="2:8">
      <c r="B400" s="5"/>
      <c r="H400" s="16"/>
    </row>
    <row r="401" spans="2:8">
      <c r="B401" s="5"/>
      <c r="H401" s="16"/>
    </row>
    <row r="402" spans="2:8">
      <c r="B402" s="5"/>
      <c r="H402" s="16"/>
    </row>
    <row r="403" spans="2:8">
      <c r="B403" s="5"/>
      <c r="H403" s="16"/>
    </row>
    <row r="404" spans="2:8">
      <c r="B404" s="5"/>
      <c r="H404" s="16"/>
    </row>
    <row r="405" spans="2:8">
      <c r="B405" s="5"/>
      <c r="H405" s="16"/>
    </row>
    <row r="406" spans="2:8">
      <c r="B406" s="5"/>
      <c r="H406" s="16"/>
    </row>
    <row r="407" spans="2:8">
      <c r="B407" s="5"/>
      <c r="H407" s="16"/>
    </row>
    <row r="408" spans="2:8">
      <c r="B408" s="5"/>
      <c r="H408" s="16"/>
    </row>
    <row r="409" spans="2:8">
      <c r="B409" s="5"/>
      <c r="H409" s="16"/>
    </row>
    <row r="410" spans="2:8">
      <c r="B410" s="5"/>
      <c r="H410" s="16"/>
    </row>
    <row r="411" spans="2:8">
      <c r="B411" s="5"/>
      <c r="H411" s="16"/>
    </row>
    <row r="412" spans="2:8">
      <c r="B412" s="5"/>
      <c r="H412" s="16"/>
    </row>
    <row r="413" spans="2:8">
      <c r="B413" s="5"/>
      <c r="H413" s="16"/>
    </row>
    <row r="414" spans="2:8">
      <c r="B414" s="5"/>
      <c r="H414" s="16"/>
    </row>
    <row r="415" spans="2:8">
      <c r="B415" s="5"/>
      <c r="H415" s="16"/>
    </row>
    <row r="416" spans="2:8">
      <c r="B416" s="5"/>
      <c r="H416" s="16"/>
    </row>
    <row r="417" spans="2:8">
      <c r="B417" s="5"/>
      <c r="H417" s="16"/>
    </row>
    <row r="418" spans="2:8">
      <c r="B418" s="5"/>
      <c r="H418" s="16"/>
    </row>
    <row r="419" spans="2:8">
      <c r="B419" s="5"/>
      <c r="H419" s="16"/>
    </row>
    <row r="420" spans="2:8">
      <c r="B420" s="5"/>
      <c r="H420" s="16"/>
    </row>
    <row r="421" spans="2:8">
      <c r="B421" s="5"/>
      <c r="H421" s="16"/>
    </row>
    <row r="422" spans="2:8">
      <c r="B422" s="5"/>
      <c r="H422" s="16"/>
    </row>
    <row r="423" spans="2:8">
      <c r="B423" s="5"/>
      <c r="H423" s="16"/>
    </row>
    <row r="424" spans="2:8">
      <c r="B424" s="5"/>
      <c r="H424" s="16"/>
    </row>
    <row r="425" spans="2:8">
      <c r="B425" s="5"/>
      <c r="H425" s="16"/>
    </row>
    <row r="426" spans="2:8">
      <c r="B426" s="5"/>
      <c r="H426" s="16"/>
    </row>
    <row r="427" spans="2:8">
      <c r="B427" s="5"/>
      <c r="H427" s="16"/>
    </row>
    <row r="428" spans="2:8">
      <c r="B428" s="5"/>
      <c r="H428" s="16"/>
    </row>
    <row r="429" spans="2:8">
      <c r="B429" s="5"/>
      <c r="H429" s="16"/>
    </row>
    <row r="430" spans="2:8">
      <c r="B430" s="5"/>
      <c r="H430" s="16"/>
    </row>
    <row r="431" spans="2:8">
      <c r="B431" s="5"/>
      <c r="H431" s="16"/>
    </row>
    <row r="432" spans="2:8">
      <c r="B432" s="5"/>
      <c r="H432" s="16"/>
    </row>
    <row r="433" spans="2:8">
      <c r="B433" s="5"/>
      <c r="H433" s="16"/>
    </row>
    <row r="434" spans="2:8">
      <c r="B434" s="5"/>
      <c r="H434" s="16"/>
    </row>
    <row r="435" spans="2:8">
      <c r="B435" s="5"/>
      <c r="H435" s="16"/>
    </row>
    <row r="436" spans="2:8">
      <c r="B436" s="5"/>
      <c r="H436" s="16"/>
    </row>
    <row r="437" spans="2:8">
      <c r="B437" s="5"/>
      <c r="H437" s="16"/>
    </row>
    <row r="438" spans="2:8">
      <c r="B438" s="5"/>
      <c r="H438" s="16"/>
    </row>
    <row r="439" spans="2:8">
      <c r="B439" s="5"/>
      <c r="H439" s="16"/>
    </row>
    <row r="440" spans="2:8">
      <c r="B440" s="5"/>
      <c r="H440" s="16"/>
    </row>
    <row r="441" spans="2:8">
      <c r="B441" s="5"/>
      <c r="H441" s="16"/>
    </row>
    <row r="442" spans="2:8">
      <c r="B442" s="5"/>
      <c r="H442" s="16"/>
    </row>
    <row r="443" spans="2:8">
      <c r="B443" s="5"/>
      <c r="H443" s="16"/>
    </row>
    <row r="444" spans="2:8">
      <c r="B444" s="5"/>
      <c r="H444" s="16"/>
    </row>
    <row r="445" spans="2:8">
      <c r="B445" s="5"/>
      <c r="H445" s="16"/>
    </row>
    <row r="446" spans="2:8">
      <c r="B446" s="5"/>
      <c r="H446" s="16"/>
    </row>
    <row r="447" spans="2:8">
      <c r="B447" s="5"/>
      <c r="H447" s="16"/>
    </row>
    <row r="448" spans="2:8">
      <c r="B448" s="5"/>
      <c r="H448" s="16"/>
    </row>
    <row r="449" spans="2:8">
      <c r="B449" s="5"/>
      <c r="H449" s="16"/>
    </row>
    <row r="450" spans="2:8">
      <c r="B450" s="5"/>
      <c r="H450" s="16"/>
    </row>
    <row r="451" spans="2:8">
      <c r="B451" s="5"/>
      <c r="H451" s="16"/>
    </row>
    <row r="452" spans="2:8">
      <c r="B452" s="5"/>
      <c r="H452" s="16"/>
    </row>
    <row r="453" spans="2:8">
      <c r="B453" s="5"/>
      <c r="H453" s="16"/>
    </row>
    <row r="454" spans="2:8">
      <c r="B454" s="5"/>
      <c r="H454" s="16"/>
    </row>
    <row r="455" spans="2:8">
      <c r="B455" s="5"/>
      <c r="H455" s="16"/>
    </row>
    <row r="456" spans="2:8">
      <c r="B456" s="5"/>
      <c r="H456" s="16"/>
    </row>
    <row r="457" spans="2:8">
      <c r="B457" s="5"/>
      <c r="H457" s="16"/>
    </row>
    <row r="458" spans="2:8">
      <c r="B458" s="5"/>
      <c r="H458" s="16"/>
    </row>
    <row r="459" spans="2:8">
      <c r="B459" s="5"/>
      <c r="H459" s="16"/>
    </row>
    <row r="460" spans="2:8">
      <c r="B460" s="5"/>
      <c r="H460" s="16"/>
    </row>
    <row r="461" spans="2:8">
      <c r="B461" s="5"/>
      <c r="H461" s="16"/>
    </row>
    <row r="462" spans="2:8">
      <c r="B462" s="5"/>
      <c r="H462" s="16"/>
    </row>
    <row r="463" spans="2:8">
      <c r="B463" s="5"/>
      <c r="H463" s="16"/>
    </row>
    <row r="464" spans="2:8">
      <c r="B464" s="5"/>
      <c r="H464" s="16"/>
    </row>
    <row r="465" spans="2:8">
      <c r="B465" s="5"/>
      <c r="H465" s="16"/>
    </row>
    <row r="466" spans="2:8">
      <c r="B466" s="5"/>
      <c r="H466" s="16"/>
    </row>
    <row r="467" spans="2:8">
      <c r="B467" s="5"/>
      <c r="H467" s="16"/>
    </row>
    <row r="468" spans="2:8">
      <c r="B468" s="5"/>
      <c r="H468" s="16"/>
    </row>
    <row r="469" spans="2:8">
      <c r="B469" s="5"/>
      <c r="H469" s="16"/>
    </row>
    <row r="470" spans="2:8">
      <c r="B470" s="5"/>
      <c r="H470" s="16"/>
    </row>
    <row r="471" spans="2:8">
      <c r="B471" s="5"/>
      <c r="H471" s="16"/>
    </row>
    <row r="472" spans="2:8">
      <c r="B472" s="5"/>
      <c r="H472" s="16"/>
    </row>
    <row r="473" spans="2:8">
      <c r="B473" s="5"/>
      <c r="H473" s="16"/>
    </row>
    <row r="474" spans="2:8">
      <c r="B474" s="5"/>
      <c r="H474" s="16"/>
    </row>
    <row r="475" spans="2:8">
      <c r="B475" s="5"/>
      <c r="H475" s="16"/>
    </row>
    <row r="476" spans="2:8">
      <c r="B476" s="5"/>
      <c r="H476" s="16"/>
    </row>
    <row r="477" spans="2:8">
      <c r="B477" s="5"/>
      <c r="H477" s="16"/>
    </row>
    <row r="478" spans="2:8">
      <c r="B478" s="5"/>
      <c r="H478" s="16"/>
    </row>
    <row r="479" spans="2:8">
      <c r="B479" s="5"/>
      <c r="H479" s="16"/>
    </row>
    <row r="480" spans="2:8">
      <c r="B480" s="5"/>
      <c r="H480" s="16"/>
    </row>
    <row r="481" spans="2:8">
      <c r="B481" s="5"/>
      <c r="H481" s="16"/>
    </row>
    <row r="482" spans="2:8">
      <c r="B482" s="5"/>
      <c r="H482" s="16"/>
    </row>
    <row r="483" spans="2:8">
      <c r="B483" s="5"/>
      <c r="H483" s="16"/>
    </row>
    <row r="484" spans="2:8">
      <c r="B484" s="5"/>
      <c r="H484" s="16"/>
    </row>
    <row r="485" spans="2:8">
      <c r="B485" s="5"/>
      <c r="H485" s="16"/>
    </row>
    <row r="486" spans="2:8">
      <c r="B486" s="5"/>
      <c r="H486" s="16"/>
    </row>
    <row r="487" spans="2:8">
      <c r="B487" s="5"/>
      <c r="H487" s="16"/>
    </row>
    <row r="488" spans="2:8">
      <c r="B488" s="5"/>
      <c r="H488" s="16"/>
    </row>
    <row r="489" spans="2:8">
      <c r="B489" s="5"/>
      <c r="H489" s="16"/>
    </row>
    <row r="490" spans="2:8">
      <c r="B490" s="5"/>
      <c r="H490" s="16"/>
    </row>
    <row r="491" spans="2:8">
      <c r="B491" s="5"/>
      <c r="H491" s="16"/>
    </row>
    <row r="492" spans="2:8">
      <c r="B492" s="5"/>
      <c r="H492" s="16"/>
    </row>
    <row r="493" spans="2:8">
      <c r="B493" s="5"/>
      <c r="H493" s="16"/>
    </row>
    <row r="494" spans="2:8">
      <c r="B494" s="5"/>
      <c r="H494" s="16"/>
    </row>
    <row r="495" spans="2:8">
      <c r="B495" s="5"/>
      <c r="H495" s="16"/>
    </row>
    <row r="496" spans="2:8">
      <c r="B496" s="5"/>
      <c r="H496" s="16"/>
    </row>
    <row r="497" spans="2:8">
      <c r="B497" s="5"/>
      <c r="H497" s="16"/>
    </row>
    <row r="498" spans="2:8">
      <c r="B498" s="5"/>
      <c r="H498" s="16"/>
    </row>
    <row r="499" spans="2:8">
      <c r="B499" s="5"/>
      <c r="H499" s="16"/>
    </row>
    <row r="500" spans="2:8">
      <c r="B500" s="5"/>
      <c r="H500" s="16"/>
    </row>
    <row r="501" spans="2:8">
      <c r="B501" s="5"/>
      <c r="H501" s="16"/>
    </row>
    <row r="502" spans="2:8">
      <c r="B502" s="5"/>
      <c r="H502" s="16"/>
    </row>
    <row r="503" spans="2:8">
      <c r="B503" s="5"/>
      <c r="H503" s="16"/>
    </row>
    <row r="504" spans="2:8">
      <c r="B504" s="5"/>
      <c r="H504" s="16"/>
    </row>
    <row r="505" spans="2:8">
      <c r="B505" s="5"/>
      <c r="H505" s="16"/>
    </row>
    <row r="506" spans="2:8">
      <c r="B506" s="5"/>
      <c r="H506" s="16"/>
    </row>
    <row r="507" spans="2:8">
      <c r="B507" s="5"/>
      <c r="H507" s="16"/>
    </row>
    <row r="508" spans="2:8">
      <c r="B508" s="5"/>
      <c r="H508" s="16"/>
    </row>
    <row r="509" spans="2:8">
      <c r="B509" s="5"/>
      <c r="H509" s="16"/>
    </row>
    <row r="510" spans="2:8">
      <c r="B510" s="5"/>
      <c r="H510" s="16"/>
    </row>
    <row r="511" spans="2:8">
      <c r="B511" s="5"/>
      <c r="H511" s="16"/>
    </row>
    <row r="512" spans="2:8">
      <c r="B512" s="5"/>
      <c r="H512" s="16"/>
    </row>
    <row r="513" spans="2:8">
      <c r="B513" s="5"/>
      <c r="H513" s="16"/>
    </row>
    <row r="514" spans="2:8">
      <c r="B514" s="5"/>
      <c r="H514" s="16"/>
    </row>
    <row r="515" spans="2:8">
      <c r="B515" s="5"/>
      <c r="H515" s="16"/>
    </row>
    <row r="516" spans="2:8">
      <c r="B516" s="5"/>
      <c r="H516" s="16"/>
    </row>
    <row r="517" spans="2:8">
      <c r="B517" s="5"/>
      <c r="H517" s="16"/>
    </row>
    <row r="518" spans="2:8">
      <c r="B518" s="5"/>
      <c r="H518" s="16"/>
    </row>
    <row r="519" spans="2:8">
      <c r="B519" s="5"/>
      <c r="H519" s="16"/>
    </row>
    <row r="520" spans="2:8">
      <c r="B520" s="5"/>
      <c r="H520" s="16"/>
    </row>
    <row r="521" spans="2:8">
      <c r="B521" s="5"/>
      <c r="H521" s="16"/>
    </row>
    <row r="522" spans="2:8">
      <c r="B522" s="5"/>
      <c r="H522" s="16"/>
    </row>
    <row r="523" spans="2:8">
      <c r="B523" s="5"/>
      <c r="H523" s="16"/>
    </row>
    <row r="524" spans="2:8">
      <c r="B524" s="5"/>
      <c r="H524" s="16"/>
    </row>
    <row r="525" spans="2:8">
      <c r="B525" s="5"/>
      <c r="H525" s="16"/>
    </row>
    <row r="526" spans="2:8">
      <c r="B526" s="5"/>
      <c r="H526" s="16"/>
    </row>
    <row r="527" spans="2:8">
      <c r="B527" s="5"/>
      <c r="H527" s="16"/>
    </row>
    <row r="528" spans="2:8">
      <c r="B528" s="5"/>
      <c r="H528" s="16"/>
    </row>
    <row r="529" spans="2:8">
      <c r="B529" s="5"/>
      <c r="H529" s="16"/>
    </row>
    <row r="530" spans="2:8">
      <c r="B530" s="5"/>
      <c r="H530" s="16"/>
    </row>
    <row r="531" spans="2:8">
      <c r="B531" s="5"/>
      <c r="H531" s="16"/>
    </row>
    <row r="532" spans="2:8">
      <c r="B532" s="5"/>
      <c r="H532" s="16"/>
    </row>
    <row r="533" spans="2:8">
      <c r="B533" s="5"/>
      <c r="H533" s="16"/>
    </row>
    <row r="534" spans="2:8">
      <c r="B534" s="5"/>
      <c r="H534" s="16"/>
    </row>
    <row r="535" spans="2:8">
      <c r="B535" s="5"/>
      <c r="H535" s="16"/>
    </row>
    <row r="536" spans="2:8">
      <c r="B536" s="5"/>
      <c r="H536" s="16"/>
    </row>
    <row r="537" spans="2:8">
      <c r="B537" s="5"/>
      <c r="H537" s="16"/>
    </row>
    <row r="538" spans="2:8">
      <c r="B538" s="5"/>
      <c r="H538" s="16"/>
    </row>
    <row r="539" spans="2:8">
      <c r="B539" s="5"/>
      <c r="H539" s="16"/>
    </row>
    <row r="540" spans="2:8">
      <c r="B540" s="5"/>
      <c r="H540" s="16"/>
    </row>
    <row r="541" spans="2:8">
      <c r="B541" s="5"/>
      <c r="H541" s="16"/>
    </row>
    <row r="542" spans="2:8">
      <c r="B542" s="5"/>
      <c r="H542" s="16"/>
    </row>
    <row r="543" spans="2:8">
      <c r="B543" s="5"/>
      <c r="H543" s="16"/>
    </row>
    <row r="544" spans="2:8">
      <c r="B544" s="5"/>
      <c r="H544" s="16"/>
    </row>
    <row r="545" spans="2:8">
      <c r="B545" s="5"/>
      <c r="H545" s="16"/>
    </row>
    <row r="546" spans="2:8">
      <c r="B546" s="5"/>
      <c r="H546" s="16"/>
    </row>
    <row r="547" spans="2:8">
      <c r="B547" s="5"/>
      <c r="H547" s="16"/>
    </row>
    <row r="548" spans="2:8">
      <c r="B548" s="5"/>
      <c r="H548" s="16"/>
    </row>
    <row r="549" spans="2:8">
      <c r="B549" s="5"/>
      <c r="H549" s="16"/>
    </row>
    <row r="550" spans="2:8">
      <c r="B550" s="5"/>
      <c r="H550" s="16"/>
    </row>
    <row r="551" spans="2:8">
      <c r="B551" s="5"/>
      <c r="H551" s="16"/>
    </row>
    <row r="552" spans="2:8">
      <c r="B552" s="5"/>
      <c r="H552" s="16"/>
    </row>
    <row r="553" spans="2:8">
      <c r="B553" s="5"/>
      <c r="H553" s="16"/>
    </row>
    <row r="554" spans="2:8">
      <c r="B554" s="5"/>
      <c r="H554" s="16"/>
    </row>
    <row r="555" spans="2:8">
      <c r="B555" s="5"/>
      <c r="H555" s="16"/>
    </row>
    <row r="556" spans="2:8">
      <c r="B556" s="5"/>
      <c r="H556" s="16"/>
    </row>
    <row r="557" spans="2:8">
      <c r="B557" s="5"/>
      <c r="H557" s="16"/>
    </row>
    <row r="558" spans="2:8">
      <c r="B558" s="5"/>
      <c r="H558" s="16"/>
    </row>
    <row r="559" spans="2:8">
      <c r="B559" s="5"/>
      <c r="H559" s="16"/>
    </row>
    <row r="560" spans="2:8">
      <c r="B560" s="5"/>
      <c r="H560" s="16"/>
    </row>
    <row r="561" spans="2:8">
      <c r="B561" s="5"/>
      <c r="H561" s="16"/>
    </row>
    <row r="562" spans="2:8">
      <c r="B562" s="5"/>
      <c r="H562" s="16"/>
    </row>
    <row r="563" spans="2:8">
      <c r="B563" s="5"/>
      <c r="H563" s="16"/>
    </row>
    <row r="564" spans="2:8">
      <c r="B564" s="5"/>
      <c r="H564" s="16"/>
    </row>
    <row r="565" spans="2:8">
      <c r="B565" s="5"/>
      <c r="H565" s="16"/>
    </row>
    <row r="566" spans="2:8">
      <c r="B566" s="5"/>
      <c r="H566" s="16"/>
    </row>
    <row r="567" spans="2:8">
      <c r="B567" s="5"/>
      <c r="H567" s="16"/>
    </row>
    <row r="568" spans="2:8">
      <c r="B568" s="5"/>
      <c r="H568" s="16"/>
    </row>
    <row r="569" spans="2:8">
      <c r="B569" s="5"/>
      <c r="H569" s="16"/>
    </row>
    <row r="570" spans="2:8">
      <c r="B570" s="5"/>
      <c r="H570" s="16"/>
    </row>
    <row r="571" spans="2:8">
      <c r="B571" s="5"/>
      <c r="H571" s="16"/>
    </row>
    <row r="572" spans="2:8">
      <c r="B572" s="5"/>
      <c r="H572" s="16"/>
    </row>
    <row r="573" spans="2:8">
      <c r="B573" s="5"/>
      <c r="H573" s="16"/>
    </row>
    <row r="574" spans="2:8">
      <c r="B574" s="5"/>
      <c r="H574" s="16"/>
    </row>
    <row r="575" spans="2:8">
      <c r="B575" s="5"/>
      <c r="H575" s="16"/>
    </row>
    <row r="576" spans="2:8">
      <c r="B576" s="5"/>
      <c r="H576" s="16"/>
    </row>
    <row r="577" spans="2:8">
      <c r="B577" s="5"/>
      <c r="H577" s="16"/>
    </row>
    <row r="578" spans="2:8">
      <c r="B578" s="5"/>
      <c r="H578" s="16"/>
    </row>
    <row r="579" spans="2:8">
      <c r="B579" s="5"/>
      <c r="H579" s="16"/>
    </row>
    <row r="580" spans="2:8">
      <c r="B580" s="5"/>
      <c r="H580" s="16"/>
    </row>
    <row r="581" spans="2:8">
      <c r="B581" s="5"/>
      <c r="H581" s="16"/>
    </row>
    <row r="582" spans="2:8">
      <c r="B582" s="5"/>
      <c r="H582" s="16"/>
    </row>
    <row r="583" spans="2:8">
      <c r="B583" s="5"/>
      <c r="H583" s="16"/>
    </row>
    <row r="584" spans="2:8">
      <c r="B584" s="5"/>
      <c r="H584" s="16"/>
    </row>
    <row r="585" spans="2:8">
      <c r="B585" s="5"/>
      <c r="H585" s="16"/>
    </row>
    <row r="586" spans="2:8">
      <c r="B586" s="5"/>
      <c r="H586" s="16"/>
    </row>
    <row r="587" spans="2:8">
      <c r="B587" s="5"/>
      <c r="H587" s="16"/>
    </row>
    <row r="588" spans="2:8">
      <c r="B588" s="5"/>
      <c r="H588" s="16"/>
    </row>
    <row r="589" spans="2:8">
      <c r="B589" s="5"/>
      <c r="H589" s="16"/>
    </row>
    <row r="590" spans="2:8">
      <c r="B590" s="5"/>
      <c r="H590" s="16"/>
    </row>
    <row r="591" spans="2:8">
      <c r="B591" s="5"/>
      <c r="H591" s="16"/>
    </row>
    <row r="592" spans="2:8">
      <c r="B592" s="5"/>
      <c r="H592" s="16"/>
    </row>
    <row r="593" spans="2:8">
      <c r="B593" s="5"/>
      <c r="H593" s="16"/>
    </row>
    <row r="594" spans="2:8">
      <c r="B594" s="5"/>
      <c r="H594" s="16"/>
    </row>
    <row r="595" spans="2:8">
      <c r="B595" s="5"/>
      <c r="H595" s="16"/>
    </row>
    <row r="596" spans="2:8">
      <c r="B596" s="5"/>
      <c r="H596" s="16"/>
    </row>
    <row r="597" spans="2:8">
      <c r="B597" s="5"/>
      <c r="H597" s="16"/>
    </row>
    <row r="598" spans="2:8">
      <c r="B598" s="5"/>
      <c r="H598" s="16"/>
    </row>
    <row r="599" spans="2:8">
      <c r="B599" s="5"/>
      <c r="H599" s="16"/>
    </row>
    <row r="600" spans="2:8">
      <c r="B600" s="5"/>
      <c r="H600" s="16"/>
    </row>
    <row r="601" spans="2:8">
      <c r="B601" s="5"/>
      <c r="H601" s="16"/>
    </row>
    <row r="602" spans="2:8">
      <c r="B602" s="5"/>
      <c r="H602" s="16"/>
    </row>
    <row r="603" spans="2:8">
      <c r="B603" s="5"/>
      <c r="H603" s="16"/>
    </row>
    <row r="604" spans="2:8">
      <c r="B604" s="5"/>
      <c r="H604" s="16"/>
    </row>
    <row r="605" spans="2:8">
      <c r="B605" s="5"/>
      <c r="H605" s="16"/>
    </row>
    <row r="606" spans="2:8">
      <c r="B606" s="5"/>
      <c r="H606" s="16"/>
    </row>
    <row r="607" spans="2:8">
      <c r="B607" s="5"/>
      <c r="H607" s="16"/>
    </row>
    <row r="608" spans="2:8">
      <c r="B608" s="5"/>
      <c r="H608" s="16"/>
    </row>
    <row r="609" spans="2:8">
      <c r="B609" s="5"/>
      <c r="H609" s="16"/>
    </row>
    <row r="610" spans="2:8">
      <c r="B610" s="5"/>
      <c r="H610" s="16"/>
    </row>
    <row r="611" spans="2:8">
      <c r="B611" s="5"/>
      <c r="H611" s="16"/>
    </row>
    <row r="612" spans="2:8">
      <c r="B612" s="5"/>
      <c r="H612" s="16"/>
    </row>
    <row r="613" spans="2:8">
      <c r="B613" s="5"/>
      <c r="H613" s="16"/>
    </row>
    <row r="614" spans="2:8">
      <c r="B614" s="5"/>
      <c r="H614" s="16"/>
    </row>
    <row r="615" spans="2:8">
      <c r="B615" s="5"/>
      <c r="H615" s="16"/>
    </row>
    <row r="616" spans="2:8">
      <c r="B616" s="5"/>
      <c r="H616" s="16"/>
    </row>
    <row r="617" spans="2:8">
      <c r="B617" s="5"/>
      <c r="H617" s="16"/>
    </row>
    <row r="618" spans="2:8">
      <c r="B618" s="5"/>
      <c r="H618" s="16"/>
    </row>
    <row r="619" spans="2:8">
      <c r="B619" s="5"/>
      <c r="H619" s="16"/>
    </row>
    <row r="620" spans="2:8">
      <c r="B620" s="5"/>
      <c r="H620" s="16"/>
    </row>
    <row r="621" spans="2:8">
      <c r="B621" s="5"/>
      <c r="H621" s="16"/>
    </row>
    <row r="622" spans="2:8">
      <c r="B622" s="5"/>
      <c r="H622" s="16"/>
    </row>
    <row r="623" spans="2:8">
      <c r="B623" s="5"/>
      <c r="H623" s="16"/>
    </row>
    <row r="624" spans="2:8">
      <c r="B624" s="5"/>
      <c r="H624" s="16"/>
    </row>
    <row r="625" spans="2:8">
      <c r="B625" s="5"/>
      <c r="H625" s="16"/>
    </row>
    <row r="626" spans="2:8">
      <c r="B626" s="5"/>
      <c r="H626" s="16"/>
    </row>
    <row r="627" spans="2:8">
      <c r="B627" s="5"/>
      <c r="H627" s="16"/>
    </row>
    <row r="628" spans="2:8">
      <c r="B628" s="5"/>
      <c r="H628" s="16"/>
    </row>
    <row r="629" spans="2:8">
      <c r="B629" s="5"/>
      <c r="H629" s="16"/>
    </row>
    <row r="630" spans="2:8">
      <c r="B630" s="5"/>
      <c r="H630" s="16"/>
    </row>
    <row r="631" spans="2:8">
      <c r="B631" s="5"/>
      <c r="H631" s="16"/>
    </row>
    <row r="632" spans="2:8">
      <c r="B632" s="5"/>
      <c r="H632" s="16"/>
    </row>
    <row r="633" spans="2:8">
      <c r="B633" s="5"/>
      <c r="H633" s="16"/>
    </row>
    <row r="634" spans="2:8">
      <c r="B634" s="5"/>
      <c r="H634" s="16"/>
    </row>
    <row r="635" spans="2:8">
      <c r="B635" s="5"/>
      <c r="H635" s="16"/>
    </row>
    <row r="636" spans="2:8">
      <c r="B636" s="5"/>
      <c r="H636" s="16"/>
    </row>
    <row r="637" spans="2:8">
      <c r="B637" s="5"/>
      <c r="H637" s="16"/>
    </row>
    <row r="638" spans="2:8">
      <c r="B638" s="5"/>
      <c r="H638" s="16"/>
    </row>
    <row r="639" spans="2:8">
      <c r="B639" s="5"/>
      <c r="H639" s="16"/>
    </row>
    <row r="640" spans="2:8">
      <c r="B640" s="5"/>
      <c r="H640" s="16"/>
    </row>
    <row r="641" spans="2:8">
      <c r="B641" s="5"/>
      <c r="H641" s="16"/>
    </row>
    <row r="642" spans="2:8">
      <c r="B642" s="5"/>
      <c r="H642" s="16"/>
    </row>
    <row r="643" spans="2:8">
      <c r="B643" s="5"/>
      <c r="H643" s="16"/>
    </row>
    <row r="644" spans="2:8">
      <c r="B644" s="5"/>
      <c r="H644" s="16"/>
    </row>
    <row r="645" spans="2:8">
      <c r="B645" s="5"/>
      <c r="H645" s="16"/>
    </row>
    <row r="646" spans="2:8">
      <c r="B646" s="5"/>
      <c r="H646" s="16"/>
    </row>
    <row r="647" spans="2:8">
      <c r="B647" s="5"/>
      <c r="H647" s="16"/>
    </row>
    <row r="648" spans="2:8">
      <c r="B648" s="5"/>
      <c r="H648" s="16"/>
    </row>
    <row r="649" spans="2:8">
      <c r="B649" s="5"/>
      <c r="H649" s="16"/>
    </row>
    <row r="650" spans="2:8">
      <c r="B650" s="5"/>
      <c r="H650" s="16"/>
    </row>
    <row r="651" spans="2:8">
      <c r="B651" s="5"/>
      <c r="H651" s="16"/>
    </row>
    <row r="652" spans="2:8">
      <c r="B652" s="5"/>
      <c r="H652" s="16"/>
    </row>
    <row r="653" spans="2:8">
      <c r="B653" s="5"/>
      <c r="H653" s="16"/>
    </row>
    <row r="654" spans="2:8">
      <c r="B654" s="5"/>
      <c r="H654" s="16"/>
    </row>
    <row r="655" spans="2:8">
      <c r="B655" s="5"/>
      <c r="H655" s="16"/>
    </row>
    <row r="656" spans="2:8">
      <c r="B656" s="5"/>
      <c r="H656" s="16"/>
    </row>
    <row r="657" spans="2:8">
      <c r="B657" s="5"/>
      <c r="H657" s="16"/>
    </row>
    <row r="658" spans="2:8">
      <c r="B658" s="5"/>
      <c r="H658" s="16"/>
    </row>
    <row r="659" spans="2:8">
      <c r="B659" s="5"/>
      <c r="H659" s="16"/>
    </row>
    <row r="660" spans="2:8">
      <c r="B660" s="5"/>
      <c r="H660" s="16"/>
    </row>
    <row r="661" spans="2:8">
      <c r="B661" s="5"/>
      <c r="H661" s="16"/>
    </row>
    <row r="662" spans="2:8">
      <c r="B662" s="5"/>
      <c r="H662" s="16"/>
    </row>
    <row r="663" spans="2:8">
      <c r="B663" s="5"/>
      <c r="H663" s="16"/>
    </row>
    <row r="664" spans="2:8">
      <c r="B664" s="5"/>
      <c r="H664" s="16"/>
    </row>
    <row r="665" spans="2:8">
      <c r="B665" s="5"/>
      <c r="H665" s="16"/>
    </row>
    <row r="666" spans="2:8">
      <c r="B666" s="5"/>
      <c r="H666" s="16"/>
    </row>
    <row r="667" spans="2:8">
      <c r="B667" s="5"/>
      <c r="H667" s="16"/>
    </row>
    <row r="668" spans="2:8">
      <c r="B668" s="5"/>
      <c r="H668" s="16"/>
    </row>
    <row r="669" spans="2:8">
      <c r="B669" s="5"/>
      <c r="H669" s="16"/>
    </row>
    <row r="670" spans="2:8">
      <c r="B670" s="5"/>
      <c r="H670" s="16"/>
    </row>
    <row r="671" spans="2:8">
      <c r="B671" s="5"/>
      <c r="H671" s="16"/>
    </row>
    <row r="672" spans="2:8">
      <c r="B672" s="5"/>
      <c r="H672" s="16"/>
    </row>
    <row r="673" spans="2:8">
      <c r="B673" s="5"/>
      <c r="H673" s="16"/>
    </row>
    <row r="674" spans="2:8">
      <c r="B674" s="5"/>
      <c r="H674" s="16"/>
    </row>
    <row r="675" spans="2:8">
      <c r="B675" s="5"/>
      <c r="H675" s="16"/>
    </row>
    <row r="676" spans="2:8">
      <c r="B676" s="5"/>
      <c r="H676" s="16"/>
    </row>
    <row r="677" spans="2:8">
      <c r="B677" s="5"/>
      <c r="H677" s="16"/>
    </row>
    <row r="678" spans="2:8">
      <c r="B678" s="5"/>
      <c r="H678" s="16"/>
    </row>
    <row r="679" spans="2:8">
      <c r="B679" s="5"/>
      <c r="H679" s="16"/>
    </row>
    <row r="680" spans="2:8">
      <c r="B680" s="5"/>
      <c r="H680" s="16"/>
    </row>
    <row r="681" spans="2:8">
      <c r="B681" s="5"/>
      <c r="H681" s="16"/>
    </row>
    <row r="682" spans="2:8">
      <c r="B682" s="5"/>
      <c r="H682" s="16"/>
    </row>
    <row r="683" spans="2:8">
      <c r="B683" s="5"/>
      <c r="H683" s="16"/>
    </row>
    <row r="684" spans="2:8">
      <c r="B684" s="5"/>
      <c r="H684" s="16"/>
    </row>
    <row r="685" spans="2:8">
      <c r="B685" s="5"/>
      <c r="H685" s="16"/>
    </row>
    <row r="686" spans="2:8">
      <c r="B686" s="5"/>
      <c r="H686" s="16"/>
    </row>
    <row r="687" spans="2:8">
      <c r="B687" s="5"/>
      <c r="H687" s="16"/>
    </row>
    <row r="688" spans="2:8">
      <c r="B688" s="5"/>
      <c r="H688" s="16"/>
    </row>
    <row r="689" spans="2:8">
      <c r="B689" s="5"/>
      <c r="H689" s="16"/>
    </row>
    <row r="690" spans="2:8">
      <c r="B690" s="5"/>
      <c r="H690" s="16"/>
    </row>
    <row r="691" spans="2:8">
      <c r="B691" s="5"/>
      <c r="H691" s="16"/>
    </row>
    <row r="692" spans="2:8">
      <c r="B692" s="5"/>
      <c r="H692" s="16"/>
    </row>
    <row r="693" spans="2:8">
      <c r="B693" s="5"/>
      <c r="H693" s="16"/>
    </row>
    <row r="694" spans="2:8">
      <c r="B694" s="5"/>
      <c r="H694" s="16"/>
    </row>
    <row r="695" spans="2:8">
      <c r="B695" s="5"/>
      <c r="H695" s="16"/>
    </row>
    <row r="696" spans="2:8">
      <c r="B696" s="5"/>
      <c r="H696" s="16"/>
    </row>
    <row r="697" spans="2:8">
      <c r="B697" s="5"/>
      <c r="H697" s="16"/>
    </row>
    <row r="698" spans="2:8">
      <c r="B698" s="5"/>
      <c r="H698" s="16"/>
    </row>
    <row r="699" spans="2:8">
      <c r="B699" s="5"/>
      <c r="H699" s="16"/>
    </row>
    <row r="700" spans="2:8">
      <c r="B700" s="5"/>
      <c r="H700" s="16"/>
    </row>
    <row r="701" spans="2:8">
      <c r="B701" s="5"/>
      <c r="H701" s="16"/>
    </row>
    <row r="702" spans="2:8">
      <c r="B702" s="5"/>
      <c r="H702" s="16"/>
    </row>
    <row r="703" spans="2:8">
      <c r="B703" s="5"/>
      <c r="H703" s="16"/>
    </row>
    <row r="704" spans="2:8">
      <c r="B704" s="5"/>
      <c r="H704" s="16"/>
    </row>
    <row r="705" spans="2:8">
      <c r="B705" s="5"/>
      <c r="H705" s="16"/>
    </row>
    <row r="706" spans="2:8">
      <c r="B706" s="5"/>
      <c r="H706" s="16"/>
    </row>
    <row r="707" spans="2:8">
      <c r="B707" s="5"/>
      <c r="H707" s="16"/>
    </row>
    <row r="708" spans="2:8">
      <c r="B708" s="5"/>
      <c r="H708" s="16"/>
    </row>
    <row r="709" spans="2:8">
      <c r="B709" s="5"/>
      <c r="H709" s="16"/>
    </row>
    <row r="710" spans="2:8">
      <c r="B710" s="5"/>
      <c r="H710" s="16"/>
    </row>
    <row r="711" spans="2:8">
      <c r="B711" s="5"/>
      <c r="H711" s="16"/>
    </row>
    <row r="712" spans="2:8">
      <c r="B712" s="5"/>
      <c r="H712" s="16"/>
    </row>
    <row r="713" spans="2:8">
      <c r="B713" s="5"/>
      <c r="H713" s="16"/>
    </row>
    <row r="714" spans="2:8">
      <c r="B714" s="5"/>
      <c r="H714" s="16"/>
    </row>
    <row r="715" spans="2:8">
      <c r="B715" s="5"/>
      <c r="H715" s="16"/>
    </row>
    <row r="716" spans="2:8">
      <c r="B716" s="5"/>
      <c r="H716" s="16"/>
    </row>
    <row r="717" spans="2:8">
      <c r="B717" s="5"/>
      <c r="H717" s="16"/>
    </row>
    <row r="718" spans="2:8">
      <c r="B718" s="5"/>
      <c r="H718" s="16"/>
    </row>
    <row r="719" spans="2:8">
      <c r="B719" s="5"/>
      <c r="H719" s="16"/>
    </row>
    <row r="720" spans="2:8">
      <c r="B720" s="5"/>
      <c r="H720" s="16"/>
    </row>
    <row r="721" spans="2:8">
      <c r="B721" s="5"/>
      <c r="H721" s="16"/>
    </row>
    <row r="722" spans="2:8">
      <c r="B722" s="5"/>
      <c r="H722" s="16"/>
    </row>
    <row r="723" spans="2:8">
      <c r="B723" s="5"/>
      <c r="H723" s="16"/>
    </row>
    <row r="724" spans="2:8">
      <c r="B724" s="5"/>
      <c r="H724" s="16"/>
    </row>
    <row r="725" spans="2:8">
      <c r="B725" s="5"/>
      <c r="H725" s="16"/>
    </row>
    <row r="726" spans="2:8">
      <c r="B726" s="5"/>
      <c r="H726" s="16"/>
    </row>
    <row r="727" spans="2:8">
      <c r="B727" s="5"/>
      <c r="H727" s="16"/>
    </row>
    <row r="728" spans="2:8">
      <c r="B728" s="5"/>
      <c r="H728" s="16"/>
    </row>
    <row r="729" spans="2:8">
      <c r="B729" s="5"/>
      <c r="H729" s="16"/>
    </row>
    <row r="730" spans="2:8">
      <c r="B730" s="5"/>
      <c r="H730" s="16"/>
    </row>
    <row r="731" spans="2:8">
      <c r="B731" s="5"/>
      <c r="H731" s="16"/>
    </row>
    <row r="732" spans="2:8">
      <c r="B732" s="5"/>
      <c r="H732" s="16"/>
    </row>
    <row r="733" spans="2:8">
      <c r="B733" s="5"/>
      <c r="H733" s="16"/>
    </row>
    <row r="734" spans="2:8">
      <c r="B734" s="5"/>
      <c r="H734" s="16"/>
    </row>
    <row r="735" spans="2:8">
      <c r="B735" s="5"/>
      <c r="H735" s="16"/>
    </row>
    <row r="736" spans="2:8">
      <c r="B736" s="5"/>
      <c r="H736" s="16"/>
    </row>
    <row r="737" spans="2:8">
      <c r="B737" s="5"/>
      <c r="H737" s="16"/>
    </row>
    <row r="738" spans="2:8">
      <c r="B738" s="5"/>
      <c r="H738" s="16"/>
    </row>
    <row r="739" spans="2:8">
      <c r="B739" s="5"/>
      <c r="H739" s="16"/>
    </row>
    <row r="740" spans="2:8">
      <c r="B740" s="5"/>
      <c r="H740" s="16"/>
    </row>
    <row r="741" spans="2:8">
      <c r="B741" s="5"/>
      <c r="H741" s="16"/>
    </row>
    <row r="742" spans="2:8">
      <c r="B742" s="5"/>
      <c r="H742" s="16"/>
    </row>
    <row r="743" spans="2:8">
      <c r="B743" s="5"/>
      <c r="H743" s="16"/>
    </row>
    <row r="744" spans="2:8">
      <c r="B744" s="5"/>
      <c r="H744" s="16"/>
    </row>
    <row r="745" spans="2:8">
      <c r="B745" s="5"/>
      <c r="H745" s="16"/>
    </row>
    <row r="746" spans="2:8">
      <c r="B746" s="5"/>
      <c r="H746" s="16"/>
    </row>
    <row r="747" spans="2:8">
      <c r="B747" s="5"/>
      <c r="H747" s="16"/>
    </row>
    <row r="748" spans="2:8">
      <c r="B748" s="5"/>
      <c r="H748" s="16"/>
    </row>
    <row r="749" spans="2:8">
      <c r="B749" s="5"/>
      <c r="H749" s="16"/>
    </row>
    <row r="750" spans="2:8">
      <c r="B750" s="5"/>
      <c r="H750" s="16"/>
    </row>
    <row r="751" spans="2:8">
      <c r="B751" s="5"/>
      <c r="H751" s="16"/>
    </row>
    <row r="752" spans="2:8">
      <c r="B752" s="5"/>
      <c r="H752" s="16"/>
    </row>
    <row r="753" spans="2:8">
      <c r="B753" s="5"/>
      <c r="H753" s="16"/>
    </row>
    <row r="754" spans="2:8">
      <c r="B754" s="5"/>
      <c r="H754" s="16"/>
    </row>
    <row r="755" spans="2:8">
      <c r="B755" s="5"/>
      <c r="H755" s="16"/>
    </row>
    <row r="756" spans="2:8">
      <c r="B756" s="5"/>
      <c r="H756" s="16"/>
    </row>
    <row r="757" spans="2:8">
      <c r="B757" s="5"/>
      <c r="H757" s="16"/>
    </row>
    <row r="758" spans="2:8">
      <c r="B758" s="5"/>
      <c r="H758" s="16"/>
    </row>
    <row r="759" spans="2:8">
      <c r="B759" s="5"/>
      <c r="H759" s="16"/>
    </row>
    <row r="760" spans="2:8">
      <c r="B760" s="5"/>
      <c r="H760" s="16"/>
    </row>
    <row r="761" spans="2:8">
      <c r="B761" s="5"/>
      <c r="H761" s="16"/>
    </row>
    <row r="762" spans="2:8">
      <c r="B762" s="5"/>
      <c r="H762" s="16"/>
    </row>
    <row r="763" spans="2:8">
      <c r="B763" s="5"/>
      <c r="H763" s="16"/>
    </row>
    <row r="764" spans="2:8">
      <c r="B764" s="5"/>
      <c r="H764" s="16"/>
    </row>
    <row r="765" spans="2:8">
      <c r="B765" s="5"/>
      <c r="H765" s="16"/>
    </row>
    <row r="766" spans="2:8">
      <c r="B766" s="5"/>
      <c r="H766" s="16"/>
    </row>
    <row r="767" spans="2:8">
      <c r="B767" s="5"/>
      <c r="H767" s="16"/>
    </row>
    <row r="768" spans="2:8">
      <c r="B768" s="5"/>
      <c r="H768" s="16"/>
    </row>
    <row r="769" spans="2:8">
      <c r="B769" s="5"/>
      <c r="H769" s="16"/>
    </row>
    <row r="770" spans="2:8">
      <c r="B770" s="5"/>
      <c r="H770" s="16"/>
    </row>
    <row r="771" spans="2:8">
      <c r="B771" s="5"/>
      <c r="H771" s="16"/>
    </row>
    <row r="772" spans="2:8">
      <c r="B772" s="5"/>
      <c r="H772" s="16"/>
    </row>
    <row r="773" spans="2:8">
      <c r="B773" s="5"/>
      <c r="H773" s="16"/>
    </row>
    <row r="774" spans="2:8">
      <c r="B774" s="5"/>
      <c r="H774" s="16"/>
    </row>
    <row r="775" spans="2:8">
      <c r="B775" s="5"/>
      <c r="H775" s="16"/>
    </row>
    <row r="776" spans="2:8">
      <c r="B776" s="5"/>
      <c r="H776" s="16"/>
    </row>
    <row r="777" spans="2:8">
      <c r="B777" s="5"/>
      <c r="H777" s="16"/>
    </row>
    <row r="778" spans="2:8">
      <c r="B778" s="5"/>
      <c r="H778" s="16"/>
    </row>
    <row r="779" spans="2:8">
      <c r="B779" s="5"/>
      <c r="H779" s="16"/>
    </row>
    <row r="780" spans="2:8">
      <c r="B780" s="5"/>
      <c r="H780" s="16"/>
    </row>
    <row r="781" spans="2:8">
      <c r="B781" s="5"/>
      <c r="H781" s="16"/>
    </row>
    <row r="782" spans="2:8">
      <c r="B782" s="5"/>
      <c r="H782" s="16"/>
    </row>
    <row r="783" spans="2:8">
      <c r="B783" s="5"/>
      <c r="H783" s="16"/>
    </row>
    <row r="784" spans="2:8">
      <c r="B784" s="5"/>
      <c r="H784" s="16"/>
    </row>
    <row r="785" spans="2:8">
      <c r="B785" s="5"/>
      <c r="H785" s="16"/>
    </row>
    <row r="786" spans="2:8">
      <c r="B786" s="5"/>
      <c r="H786" s="16"/>
    </row>
    <row r="787" spans="2:8">
      <c r="B787" s="5"/>
      <c r="H787" s="16"/>
    </row>
    <row r="788" spans="2:8">
      <c r="B788" s="5"/>
      <c r="H788" s="16"/>
    </row>
    <row r="789" spans="2:8">
      <c r="B789" s="5"/>
      <c r="H789" s="16"/>
    </row>
    <row r="790" spans="2:8">
      <c r="B790" s="5"/>
      <c r="H790" s="16"/>
    </row>
    <row r="791" spans="2:8">
      <c r="B791" s="5"/>
      <c r="H791" s="16"/>
    </row>
    <row r="792" spans="2:8">
      <c r="B792" s="5"/>
      <c r="H792" s="16"/>
    </row>
    <row r="793" spans="2:8">
      <c r="B793" s="5"/>
      <c r="H793" s="16"/>
    </row>
    <row r="794" spans="2:8">
      <c r="B794" s="5"/>
      <c r="H794" s="16"/>
    </row>
    <row r="795" spans="2:8">
      <c r="B795" s="5"/>
      <c r="H795" s="16"/>
    </row>
    <row r="796" spans="2:8">
      <c r="B796" s="5"/>
      <c r="H796" s="16"/>
    </row>
    <row r="797" spans="2:8">
      <c r="B797" s="5"/>
      <c r="H797" s="16"/>
    </row>
    <row r="798" spans="2:8">
      <c r="B798" s="5"/>
      <c r="H798" s="16"/>
    </row>
    <row r="799" spans="2:8">
      <c r="B799" s="5"/>
      <c r="H799" s="16"/>
    </row>
    <row r="800" spans="2:8">
      <c r="B800" s="5"/>
      <c r="H800" s="16"/>
    </row>
    <row r="801" spans="2:8">
      <c r="B801" s="5"/>
      <c r="H801" s="16"/>
    </row>
    <row r="802" spans="2:8">
      <c r="B802" s="5"/>
      <c r="H802" s="16"/>
    </row>
    <row r="803" spans="2:8">
      <c r="B803" s="5"/>
      <c r="H803" s="16"/>
    </row>
    <row r="804" spans="2:8">
      <c r="B804" s="5"/>
      <c r="H804" s="16"/>
    </row>
    <row r="805" spans="2:8">
      <c r="B805" s="5"/>
      <c r="H805" s="16"/>
    </row>
    <row r="806" spans="2:8">
      <c r="B806" s="5"/>
      <c r="H806" s="16"/>
    </row>
    <row r="807" spans="2:8">
      <c r="B807" s="5"/>
      <c r="H807" s="16"/>
    </row>
    <row r="808" spans="2:8">
      <c r="B808" s="5"/>
      <c r="H808" s="16"/>
    </row>
    <row r="809" spans="2:8">
      <c r="B809" s="5"/>
      <c r="H809" s="16"/>
    </row>
    <row r="810" spans="2:8">
      <c r="B810" s="5"/>
      <c r="H810" s="16"/>
    </row>
    <row r="811" spans="2:8">
      <c r="B811" s="5"/>
      <c r="H811" s="16"/>
    </row>
    <row r="812" spans="2:8">
      <c r="B812" s="5"/>
      <c r="H812" s="16"/>
    </row>
    <row r="813" spans="2:8">
      <c r="B813" s="5"/>
      <c r="H813" s="16"/>
    </row>
    <row r="814" spans="2:8">
      <c r="B814" s="5"/>
      <c r="H814" s="16"/>
    </row>
    <row r="815" spans="2:8">
      <c r="B815" s="5"/>
      <c r="H815" s="16"/>
    </row>
    <row r="816" spans="2:8">
      <c r="B816" s="5"/>
      <c r="H816" s="16"/>
    </row>
    <row r="817" spans="2:8">
      <c r="B817" s="5"/>
      <c r="H817" s="16"/>
    </row>
    <row r="818" spans="2:8">
      <c r="B818" s="5"/>
      <c r="H818" s="16"/>
    </row>
    <row r="819" spans="2:8">
      <c r="B819" s="5"/>
      <c r="H819" s="16"/>
    </row>
    <row r="820" spans="2:8">
      <c r="B820" s="5"/>
      <c r="H820" s="16"/>
    </row>
    <row r="821" spans="2:8">
      <c r="B821" s="5"/>
      <c r="H821" s="16"/>
    </row>
    <row r="822" spans="2:8">
      <c r="B822" s="5"/>
      <c r="H822" s="16"/>
    </row>
    <row r="823" spans="2:8">
      <c r="B823" s="5"/>
      <c r="H823" s="16"/>
    </row>
    <row r="824" spans="2:8">
      <c r="B824" s="5"/>
      <c r="H824" s="16"/>
    </row>
    <row r="825" spans="2:8">
      <c r="B825" s="5"/>
      <c r="H825" s="16"/>
    </row>
    <row r="826" spans="2:8">
      <c r="B826" s="5"/>
      <c r="H826" s="16"/>
    </row>
    <row r="827" spans="2:8">
      <c r="B827" s="5"/>
      <c r="H827" s="16"/>
    </row>
    <row r="828" spans="2:8">
      <c r="B828" s="5"/>
      <c r="H828" s="16"/>
    </row>
    <row r="829" spans="2:8">
      <c r="B829" s="5"/>
      <c r="H829" s="16"/>
    </row>
    <row r="830" spans="2:8">
      <c r="B830" s="5"/>
      <c r="H830" s="16"/>
    </row>
    <row r="831" spans="2:8">
      <c r="B831" s="5"/>
      <c r="H831" s="16"/>
    </row>
    <row r="832" spans="2:8">
      <c r="B832" s="5"/>
      <c r="H832" s="16"/>
    </row>
    <row r="833" spans="2:8">
      <c r="B833" s="5"/>
      <c r="H833" s="16"/>
    </row>
    <row r="834" spans="2:8">
      <c r="B834" s="5"/>
      <c r="H834" s="16"/>
    </row>
    <row r="835" spans="2:8">
      <c r="B835" s="5"/>
      <c r="H835" s="16"/>
    </row>
    <row r="836" spans="2:8">
      <c r="B836" s="5"/>
      <c r="H836" s="16"/>
    </row>
    <row r="837" spans="2:8">
      <c r="B837" s="5"/>
      <c r="H837" s="16"/>
    </row>
    <row r="838" spans="2:8">
      <c r="B838" s="5"/>
      <c r="H838" s="16"/>
    </row>
    <row r="839" spans="2:8">
      <c r="B839" s="5"/>
      <c r="H839" s="16"/>
    </row>
    <row r="840" spans="2:8">
      <c r="B840" s="5"/>
      <c r="H840" s="16"/>
    </row>
    <row r="841" spans="2:8">
      <c r="B841" s="5"/>
      <c r="H841" s="16"/>
    </row>
    <row r="842" spans="2:8">
      <c r="B842" s="5"/>
      <c r="H842" s="16"/>
    </row>
    <row r="843" spans="2:8">
      <c r="B843" s="5"/>
      <c r="H843" s="16"/>
    </row>
    <row r="844" spans="2:8">
      <c r="B844" s="5"/>
      <c r="H844" s="16"/>
    </row>
    <row r="845" spans="2:8">
      <c r="B845" s="5"/>
      <c r="H845" s="16"/>
    </row>
    <row r="846" spans="2:8">
      <c r="B846" s="5"/>
      <c r="H846" s="16"/>
    </row>
    <row r="847" spans="2:8">
      <c r="B847" s="5"/>
      <c r="H847" s="16"/>
    </row>
    <row r="848" spans="2:8">
      <c r="B848" s="5"/>
      <c r="H848" s="16"/>
    </row>
    <row r="849" spans="2:8">
      <c r="B849" s="5"/>
      <c r="H849" s="16"/>
    </row>
    <row r="850" spans="2:8">
      <c r="B850" s="5"/>
      <c r="H850" s="16"/>
    </row>
    <row r="851" spans="2:8">
      <c r="B851" s="5"/>
      <c r="H851" s="16"/>
    </row>
    <row r="852" spans="2:8">
      <c r="B852" s="5"/>
      <c r="H852" s="16"/>
    </row>
    <row r="853" spans="2:8">
      <c r="B853" s="5"/>
      <c r="H853" s="16"/>
    </row>
    <row r="854" spans="2:8">
      <c r="B854" s="5"/>
      <c r="H854" s="16"/>
    </row>
    <row r="855" spans="2:8">
      <c r="B855" s="5"/>
      <c r="H855" s="16"/>
    </row>
    <row r="856" spans="2:8">
      <c r="B856" s="5"/>
      <c r="H856" s="16"/>
    </row>
    <row r="857" spans="2:8">
      <c r="B857" s="5"/>
      <c r="H857" s="16"/>
    </row>
    <row r="858" spans="2:8">
      <c r="B858" s="5"/>
      <c r="H858" s="16"/>
    </row>
    <row r="859" spans="2:8">
      <c r="B859" s="5"/>
      <c r="H859" s="16"/>
    </row>
    <row r="860" spans="2:8">
      <c r="B860" s="5"/>
      <c r="H860" s="16"/>
    </row>
    <row r="861" spans="2:8">
      <c r="B861" s="5"/>
      <c r="H861" s="16"/>
    </row>
    <row r="862" spans="2:8">
      <c r="B862" s="5"/>
      <c r="H862" s="16"/>
    </row>
    <row r="863" spans="2:8">
      <c r="B863" s="5"/>
      <c r="H863" s="16"/>
    </row>
    <row r="864" spans="2:8">
      <c r="B864" s="5"/>
      <c r="H864" s="16"/>
    </row>
    <row r="865" spans="2:8">
      <c r="B865" s="5"/>
      <c r="H865" s="16"/>
    </row>
    <row r="866" spans="2:8">
      <c r="B866" s="5"/>
      <c r="H866" s="16"/>
    </row>
    <row r="867" spans="2:8">
      <c r="B867" s="5"/>
      <c r="H867" s="16"/>
    </row>
    <row r="868" spans="2:8">
      <c r="B868" s="5"/>
      <c r="H868" s="16"/>
    </row>
    <row r="869" spans="2:8">
      <c r="B869" s="5"/>
      <c r="H869" s="16"/>
    </row>
    <row r="870" spans="2:8">
      <c r="B870" s="5"/>
      <c r="H870" s="16"/>
    </row>
    <row r="871" spans="2:8">
      <c r="B871" s="5"/>
      <c r="H871" s="16"/>
    </row>
    <row r="872" spans="2:8">
      <c r="B872" s="5"/>
      <c r="H872" s="16"/>
    </row>
    <row r="873" spans="2:8">
      <c r="B873" s="5"/>
      <c r="H873" s="16"/>
    </row>
    <row r="874" spans="2:8">
      <c r="B874" s="5"/>
      <c r="H874" s="16"/>
    </row>
    <row r="875" spans="2:8">
      <c r="B875" s="5"/>
      <c r="H875" s="16"/>
    </row>
    <row r="876" spans="2:8">
      <c r="B876" s="5"/>
      <c r="H876" s="16"/>
    </row>
    <row r="877" spans="2:8">
      <c r="B877" s="5"/>
      <c r="H877" s="16"/>
    </row>
    <row r="878" spans="2:8">
      <c r="B878" s="5"/>
      <c r="H878" s="16"/>
    </row>
    <row r="879" spans="2:8">
      <c r="B879" s="5"/>
      <c r="H879" s="16"/>
    </row>
    <row r="880" spans="2:8">
      <c r="B880" s="5"/>
      <c r="H880" s="16"/>
    </row>
    <row r="881" spans="2:8">
      <c r="B881" s="5"/>
      <c r="H881" s="16"/>
    </row>
    <row r="882" spans="2:8">
      <c r="B882" s="5"/>
      <c r="H882" s="16"/>
    </row>
    <row r="883" spans="2:8">
      <c r="B883" s="5"/>
      <c r="H883" s="16"/>
    </row>
    <row r="884" spans="2:8">
      <c r="B884" s="5"/>
      <c r="H884" s="16"/>
    </row>
    <row r="885" spans="2:8">
      <c r="B885" s="5"/>
      <c r="H885" s="16"/>
    </row>
    <row r="886" spans="2:8">
      <c r="B886" s="5"/>
      <c r="H886" s="16"/>
    </row>
    <row r="887" spans="2:8">
      <c r="B887" s="5"/>
      <c r="H887" s="16"/>
    </row>
    <row r="888" spans="2:8">
      <c r="B888" s="5"/>
      <c r="H888" s="16"/>
    </row>
    <row r="889" spans="2:8">
      <c r="B889" s="5"/>
      <c r="H889" s="16"/>
    </row>
    <row r="890" spans="2:8">
      <c r="B890" s="5"/>
      <c r="H890" s="16"/>
    </row>
    <row r="891" spans="2:8">
      <c r="B891" s="5"/>
      <c r="H891" s="16"/>
    </row>
    <row r="892" spans="2:8">
      <c r="B892" s="5"/>
      <c r="H892" s="16"/>
    </row>
  </sheetData>
  <mergeCells count="26">
    <mergeCell ref="G44:J44"/>
    <mergeCell ref="G45:J45"/>
    <mergeCell ref="C50:F50"/>
    <mergeCell ref="C44:F44"/>
    <mergeCell ref="C45:F45"/>
    <mergeCell ref="C46:F46"/>
    <mergeCell ref="C47:F47"/>
    <mergeCell ref="C48:F48"/>
    <mergeCell ref="G49:H49"/>
    <mergeCell ref="G50:H50"/>
    <mergeCell ref="G47:J47"/>
    <mergeCell ref="G48:H48"/>
    <mergeCell ref="C49:F49"/>
    <mergeCell ref="A4:H4"/>
    <mergeCell ref="A38:F38"/>
    <mergeCell ref="C41:F41"/>
    <mergeCell ref="C42:F42"/>
    <mergeCell ref="C43:F43"/>
    <mergeCell ref="A10:F10"/>
    <mergeCell ref="A17:F17"/>
    <mergeCell ref="A23:F23"/>
    <mergeCell ref="A29:F29"/>
    <mergeCell ref="A35:F35"/>
    <mergeCell ref="G41:H41"/>
    <mergeCell ref="G42:J42"/>
    <mergeCell ref="G43:J43"/>
  </mergeCells>
  <phoneticPr fontId="24" type="noConversion"/>
  <dataValidations count="1">
    <dataValidation type="list" allowBlank="1" showInputMessage="1" showErrorMessage="1" sqref="B42:B48" xr:uid="{00000000-0002-0000-0200-000000000000}">
      <formula1>$L$41:$L$45</formula1>
    </dataValidation>
  </dataValidations>
  <pageMargins left="0.7" right="0.7" top="0.75" bottom="0.75" header="0.3" footer="0.3"/>
  <pageSetup scale="48" orientation="portrait" r:id="rId1"/>
  <colBreaks count="1" manualBreakCount="1">
    <brk id="8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892"/>
  <sheetViews>
    <sheetView showZeros="0" topLeftCell="A30" zoomScale="75" zoomScaleNormal="75" workbookViewId="0">
      <selection activeCell="H23" sqref="H23"/>
    </sheetView>
  </sheetViews>
  <sheetFormatPr defaultColWidth="10.875" defaultRowHeight="18.95"/>
  <cols>
    <col min="1" max="1" width="35.625" customWidth="1"/>
    <col min="2" max="2" width="14.625" style="16" customWidth="1"/>
    <col min="3" max="7" width="15.875" style="5" customWidth="1"/>
    <col min="8" max="8" width="15.875" style="17" customWidth="1"/>
    <col min="9" max="9" width="10.875" style="5"/>
    <col min="10" max="12" width="0" style="5" hidden="1" customWidth="1"/>
    <col min="13" max="16384" width="10.875" style="5"/>
  </cols>
  <sheetData>
    <row r="1" spans="1:10" customFormat="1" ht="15.95">
      <c r="A1" s="41"/>
      <c r="B1" s="42"/>
      <c r="C1" s="43"/>
      <c r="D1" s="43"/>
      <c r="E1" s="45" t="s">
        <v>25</v>
      </c>
      <c r="F1" s="43"/>
      <c r="G1" s="45" t="s">
        <v>26</v>
      </c>
      <c r="H1" s="44"/>
    </row>
    <row r="2" spans="1:10" ht="18.75">
      <c r="A2" s="30"/>
      <c r="B2" s="19" t="s">
        <v>29</v>
      </c>
      <c r="C2" s="18" t="s">
        <v>30</v>
      </c>
      <c r="D2" s="18" t="s">
        <v>31</v>
      </c>
      <c r="E2" s="18" t="s">
        <v>32</v>
      </c>
      <c r="F2" s="18" t="s">
        <v>33</v>
      </c>
      <c r="G2" s="18" t="s">
        <v>27</v>
      </c>
      <c r="H2" s="18" t="s">
        <v>28</v>
      </c>
    </row>
    <row r="3" spans="1:10" ht="21" customHeight="1">
      <c r="A3" s="31" t="s">
        <v>7</v>
      </c>
      <c r="B3" s="6">
        <f>'Week 3'!H3+1</f>
        <v>45914</v>
      </c>
      <c r="C3" s="6">
        <f t="shared" ref="C3:H3" si="0">B3+1</f>
        <v>45915</v>
      </c>
      <c r="D3" s="6">
        <f t="shared" si="0"/>
        <v>45916</v>
      </c>
      <c r="E3" s="6">
        <f t="shared" si="0"/>
        <v>45917</v>
      </c>
      <c r="F3" s="6">
        <f t="shared" si="0"/>
        <v>45918</v>
      </c>
      <c r="G3" s="6">
        <f t="shared" si="0"/>
        <v>45919</v>
      </c>
      <c r="H3" s="6">
        <f t="shared" si="0"/>
        <v>45920</v>
      </c>
    </row>
    <row r="4" spans="1:10" s="7" customFormat="1">
      <c r="A4" s="181" t="s">
        <v>34</v>
      </c>
      <c r="B4" s="181"/>
      <c r="C4" s="181"/>
      <c r="D4" s="181"/>
      <c r="E4" s="181"/>
      <c r="F4" s="181"/>
      <c r="G4" s="181"/>
      <c r="H4" s="181"/>
    </row>
    <row r="5" spans="1:10" s="7" customFormat="1" ht="26.1" customHeight="1">
      <c r="A5" s="32" t="s">
        <v>8</v>
      </c>
      <c r="B5" s="27"/>
      <c r="C5" s="27"/>
      <c r="D5" s="27"/>
      <c r="E5" s="27"/>
      <c r="F5" s="27"/>
      <c r="G5" s="27"/>
      <c r="H5" s="27"/>
    </row>
    <row r="6" spans="1:10" s="7" customFormat="1" ht="26.1" customHeight="1">
      <c r="A6" s="4" t="s">
        <v>23</v>
      </c>
      <c r="B6" s="62"/>
      <c r="C6" s="62"/>
      <c r="D6" s="62"/>
      <c r="E6" s="62"/>
      <c r="F6" s="62"/>
      <c r="G6" s="62"/>
      <c r="H6" s="62"/>
    </row>
    <row r="7" spans="1:10" s="7" customFormat="1" ht="21.95" customHeight="1">
      <c r="A7" s="32" t="s">
        <v>35</v>
      </c>
      <c r="B7" s="27"/>
      <c r="C7" s="28"/>
      <c r="D7" s="28"/>
      <c r="E7" s="28"/>
      <c r="F7" s="67"/>
      <c r="G7" s="28"/>
      <c r="H7" s="27"/>
    </row>
    <row r="8" spans="1:10" s="7" customFormat="1" ht="24.95" customHeight="1" thickBot="1">
      <c r="A8" s="83" t="s">
        <v>36</v>
      </c>
      <c r="B8" s="84">
        <f t="shared" ref="B8:H8" si="1">B5+B6+B7</f>
        <v>0</v>
      </c>
      <c r="C8" s="84">
        <f t="shared" si="1"/>
        <v>0</v>
      </c>
      <c r="D8" s="84">
        <f t="shared" si="1"/>
        <v>0</v>
      </c>
      <c r="E8" s="84">
        <f t="shared" si="1"/>
        <v>0</v>
      </c>
      <c r="F8" s="84">
        <f t="shared" si="1"/>
        <v>0</v>
      </c>
      <c r="G8" s="84">
        <f t="shared" si="1"/>
        <v>0</v>
      </c>
      <c r="H8" s="84">
        <f t="shared" si="1"/>
        <v>0</v>
      </c>
    </row>
    <row r="9" spans="1:10" s="7" customFormat="1" ht="24.95" customHeight="1" thickBot="1">
      <c r="A9" s="33"/>
      <c r="B9" s="29"/>
      <c r="C9" s="29"/>
      <c r="D9" s="29"/>
      <c r="E9" s="29"/>
      <c r="F9" s="29"/>
      <c r="G9" s="63" t="s">
        <v>37</v>
      </c>
      <c r="H9" s="64">
        <f>SUM(B8:H8)</f>
        <v>0</v>
      </c>
    </row>
    <row r="10" spans="1:10" s="7" customFormat="1" ht="21" thickTop="1" thickBot="1">
      <c r="A10" s="182" t="s">
        <v>38</v>
      </c>
      <c r="B10" s="183"/>
      <c r="C10" s="183"/>
      <c r="D10" s="183"/>
      <c r="E10" s="183"/>
      <c r="F10" s="183"/>
      <c r="G10" s="65" t="s">
        <v>39</v>
      </c>
      <c r="H10" s="66">
        <v>-0.08</v>
      </c>
      <c r="I10" s="5"/>
      <c r="J10" s="26"/>
    </row>
    <row r="11" spans="1:10" s="7" customFormat="1" ht="30" customHeight="1">
      <c r="A11" s="39" t="s">
        <v>8</v>
      </c>
      <c r="B11" s="9">
        <f>B5+(B5*H10)</f>
        <v>0</v>
      </c>
      <c r="C11" s="9">
        <f>C5+(C5*H10)</f>
        <v>0</v>
      </c>
      <c r="D11" s="67"/>
      <c r="E11" s="67"/>
      <c r="F11" s="9"/>
      <c r="G11" s="68"/>
      <c r="H11" s="69"/>
    </row>
    <row r="12" spans="1:10" s="7" customFormat="1" ht="30" customHeight="1">
      <c r="A12" s="70" t="s">
        <v>23</v>
      </c>
      <c r="B12" s="59">
        <f>B6+(B6*H10)</f>
        <v>0</v>
      </c>
      <c r="C12" s="58">
        <f>C6+(C6*H10)</f>
        <v>0</v>
      </c>
      <c r="D12" s="58">
        <f>D6+(D6*H10)</f>
        <v>0</v>
      </c>
      <c r="E12" s="58">
        <f>E6+(E6*H10)</f>
        <v>0</v>
      </c>
      <c r="F12" s="58"/>
      <c r="G12" s="58"/>
      <c r="H12" s="59"/>
    </row>
    <row r="13" spans="1:10" s="7" customFormat="1" ht="30" customHeight="1">
      <c r="A13" s="3" t="s">
        <v>35</v>
      </c>
      <c r="B13" s="8">
        <f>B7+(B7*H10)</f>
        <v>0</v>
      </c>
      <c r="C13" s="8">
        <f>C7+(C7*H10)</f>
        <v>0</v>
      </c>
      <c r="D13" s="8">
        <f>D7+(D7*H10)</f>
        <v>0</v>
      </c>
      <c r="E13" s="8">
        <f>E7+(E7*H10)</f>
        <v>0</v>
      </c>
      <c r="F13" s="8"/>
      <c r="G13" s="8"/>
      <c r="H13" s="8"/>
    </row>
    <row r="14" spans="1:10" s="7" customFormat="1" ht="27" customHeight="1" thickBot="1">
      <c r="A14" s="85" t="s">
        <v>36</v>
      </c>
      <c r="B14" s="87">
        <f t="shared" ref="B14:H14" si="2">SUM(B11:B13)</f>
        <v>0</v>
      </c>
      <c r="C14" s="87">
        <f t="shared" si="2"/>
        <v>0</v>
      </c>
      <c r="D14" s="87">
        <f t="shared" si="2"/>
        <v>0</v>
      </c>
      <c r="E14" s="87">
        <f t="shared" si="2"/>
        <v>0</v>
      </c>
      <c r="F14" s="87">
        <f t="shared" si="2"/>
        <v>0</v>
      </c>
      <c r="G14" s="87">
        <f t="shared" si="2"/>
        <v>0</v>
      </c>
      <c r="H14" s="87">
        <f t="shared" si="2"/>
        <v>0</v>
      </c>
    </row>
    <row r="15" spans="1:10" s="7" customFormat="1" ht="24.95" customHeight="1" thickBot="1">
      <c r="A15" s="86" t="s">
        <v>40</v>
      </c>
      <c r="B15" s="92" t="e">
        <f t="shared" ref="B15:H15" si="3">(B14-B8)/B8</f>
        <v>#DIV/0!</v>
      </c>
      <c r="C15" s="93" t="e">
        <f t="shared" si="3"/>
        <v>#DIV/0!</v>
      </c>
      <c r="D15" s="93" t="e">
        <f t="shared" si="3"/>
        <v>#DIV/0!</v>
      </c>
      <c r="E15" s="93" t="e">
        <f t="shared" si="3"/>
        <v>#DIV/0!</v>
      </c>
      <c r="F15" s="93" t="e">
        <f t="shared" si="3"/>
        <v>#DIV/0!</v>
      </c>
      <c r="G15" s="93" t="e">
        <f t="shared" si="3"/>
        <v>#DIV/0!</v>
      </c>
      <c r="H15" s="94" t="e">
        <f t="shared" si="3"/>
        <v>#DIV/0!</v>
      </c>
      <c r="I15" s="71"/>
    </row>
    <row r="16" spans="1:10" ht="30" customHeight="1" thickBot="1">
      <c r="B16" s="88"/>
      <c r="C16" s="88"/>
      <c r="D16" s="88"/>
      <c r="E16" s="88"/>
      <c r="F16" s="89"/>
      <c r="G16" s="90" t="s">
        <v>37</v>
      </c>
      <c r="H16" s="91">
        <f>SUM(B14:H14)</f>
        <v>0</v>
      </c>
    </row>
    <row r="17" spans="1:8" s="7" customFormat="1" ht="21.95" thickTop="1" thickBot="1">
      <c r="A17" s="184" t="s">
        <v>41</v>
      </c>
      <c r="B17" s="185"/>
      <c r="C17" s="185"/>
      <c r="D17" s="185"/>
      <c r="E17" s="185"/>
      <c r="F17" s="185"/>
      <c r="G17" s="72" t="s">
        <v>42</v>
      </c>
      <c r="H17" s="66" t="e">
        <f>(H16-H9)/H9</f>
        <v>#DIV/0!</v>
      </c>
    </row>
    <row r="18" spans="1:8" s="7" customFormat="1" ht="30" customHeight="1">
      <c r="A18" s="35" t="str">
        <f>'Week 3'!A18</f>
        <v>Greeter Total</v>
      </c>
      <c r="B18" s="12"/>
      <c r="C18" s="12">
        <v>289</v>
      </c>
      <c r="D18" s="73">
        <v>302</v>
      </c>
      <c r="E18" s="73">
        <v>348</v>
      </c>
      <c r="F18" s="12">
        <v>324</v>
      </c>
      <c r="G18" s="24"/>
      <c r="H18" s="74"/>
    </row>
    <row r="19" spans="1:8" s="7" customFormat="1" ht="30" customHeight="1">
      <c r="A19" s="35" t="str">
        <f>'Week 3'!A19</f>
        <v>Non Meal Plan Meals</v>
      </c>
      <c r="B19" s="12"/>
      <c r="C19" s="12"/>
      <c r="D19" s="73"/>
      <c r="E19" s="73"/>
      <c r="F19" s="12"/>
      <c r="G19" s="24"/>
      <c r="H19" s="74"/>
    </row>
    <row r="20" spans="1:8" s="7" customFormat="1" ht="30" customHeight="1">
      <c r="A20" s="35" t="str">
        <f>'Week 3'!A20</f>
        <v>Meal Plan Meals</v>
      </c>
      <c r="B20" s="95"/>
      <c r="C20" s="95"/>
      <c r="D20" s="67"/>
      <c r="E20" s="67"/>
      <c r="F20" s="95"/>
      <c r="G20" s="95"/>
      <c r="H20" s="75"/>
    </row>
    <row r="21" spans="1:8" s="7" customFormat="1" ht="24.95" customHeight="1" thickBot="1">
      <c r="A21" s="36" t="s">
        <v>45</v>
      </c>
      <c r="B21" s="77">
        <f t="shared" ref="B21:H21" si="4">SUM(B18:B20)</f>
        <v>0</v>
      </c>
      <c r="C21" s="77">
        <f t="shared" si="4"/>
        <v>289</v>
      </c>
      <c r="D21" s="123">
        <f t="shared" si="4"/>
        <v>302</v>
      </c>
      <c r="E21" s="123">
        <f t="shared" si="4"/>
        <v>348</v>
      </c>
      <c r="F21" s="77">
        <f t="shared" si="4"/>
        <v>324</v>
      </c>
      <c r="G21" s="77">
        <f t="shared" si="4"/>
        <v>0</v>
      </c>
      <c r="H21" s="77">
        <f t="shared" si="4"/>
        <v>0</v>
      </c>
    </row>
    <row r="22" spans="1:8" s="7" customFormat="1" ht="24.95" customHeight="1" thickBot="1">
      <c r="A22" s="34" t="s">
        <v>40</v>
      </c>
      <c r="B22" s="92" t="e">
        <f>(B21-B5)/B5</f>
        <v>#DIV/0!</v>
      </c>
      <c r="C22" s="93" t="e">
        <f>(C21-C5)/C5</f>
        <v>#DIV/0!</v>
      </c>
      <c r="D22" s="99"/>
      <c r="E22" s="99"/>
      <c r="F22" s="93" t="e">
        <f>(F21-F5)/F5</f>
        <v>#DIV/0!</v>
      </c>
      <c r="G22" s="93" t="e">
        <f>(G21-G5)/G5</f>
        <v>#DIV/0!</v>
      </c>
      <c r="H22" s="94" t="e">
        <f>(H21-H5)/H5</f>
        <v>#DIV/0!</v>
      </c>
    </row>
    <row r="23" spans="1:8" s="7" customFormat="1">
      <c r="A23" s="186" t="s">
        <v>46</v>
      </c>
      <c r="B23" s="187"/>
      <c r="C23" s="187"/>
      <c r="D23" s="187"/>
      <c r="E23" s="187"/>
      <c r="F23" s="188" t="s">
        <v>47</v>
      </c>
      <c r="G23" s="97"/>
      <c r="H23" s="98"/>
    </row>
    <row r="24" spans="1:8" s="7" customFormat="1" ht="30" customHeight="1">
      <c r="A24" s="35" t="str">
        <f>A18</f>
        <v>Greeter Total</v>
      </c>
      <c r="B24" s="11">
        <v>387</v>
      </c>
      <c r="C24" s="12">
        <v>553</v>
      </c>
      <c r="D24" s="124">
        <v>584</v>
      </c>
      <c r="E24" s="124">
        <v>554</v>
      </c>
      <c r="F24" s="12">
        <v>555</v>
      </c>
      <c r="G24" s="12"/>
      <c r="H24" s="11"/>
    </row>
    <row r="25" spans="1:8" s="7" customFormat="1" ht="30" customHeight="1">
      <c r="A25" s="35" t="str">
        <f t="shared" ref="A25:A26" si="5">A19</f>
        <v>Non Meal Plan Meals</v>
      </c>
      <c r="B25" s="117"/>
      <c r="C25" s="117"/>
      <c r="D25" s="125"/>
      <c r="E25" s="125"/>
      <c r="F25" s="117"/>
      <c r="G25" s="117"/>
      <c r="H25" s="117"/>
    </row>
    <row r="26" spans="1:8" s="7" customFormat="1" ht="30" customHeight="1">
      <c r="A26" s="35" t="str">
        <f t="shared" si="5"/>
        <v>Meal Plan Meals</v>
      </c>
      <c r="B26" s="11"/>
      <c r="C26" s="11"/>
      <c r="D26" s="125"/>
      <c r="E26" s="125"/>
      <c r="F26" s="11"/>
      <c r="G26" s="11"/>
      <c r="H26" s="11"/>
    </row>
    <row r="27" spans="1:8" s="7" customFormat="1" ht="27.95" customHeight="1" thickBot="1">
      <c r="A27" s="36" t="s">
        <v>50</v>
      </c>
      <c r="B27" s="100">
        <f t="shared" ref="B27:H27" si="6">SUM(B24:B26)</f>
        <v>387</v>
      </c>
      <c r="C27" s="100">
        <f t="shared" si="6"/>
        <v>553</v>
      </c>
      <c r="D27" s="123">
        <f t="shared" si="6"/>
        <v>584</v>
      </c>
      <c r="E27" s="123">
        <f t="shared" si="6"/>
        <v>554</v>
      </c>
      <c r="F27" s="117">
        <f t="shared" si="6"/>
        <v>555</v>
      </c>
      <c r="G27" s="100">
        <f t="shared" si="6"/>
        <v>0</v>
      </c>
      <c r="H27" s="100">
        <f t="shared" si="6"/>
        <v>0</v>
      </c>
    </row>
    <row r="28" spans="1:8" s="7" customFormat="1" ht="24.95" customHeight="1" thickBot="1">
      <c r="A28" s="34" t="s">
        <v>40</v>
      </c>
      <c r="B28" s="92" t="e">
        <f t="shared" ref="B28:H28" si="7">(B27-B6)/B6</f>
        <v>#DIV/0!</v>
      </c>
      <c r="C28" s="93" t="e">
        <f t="shared" si="7"/>
        <v>#DIV/0!</v>
      </c>
      <c r="D28" s="93" t="e">
        <f t="shared" si="7"/>
        <v>#DIV/0!</v>
      </c>
      <c r="E28" s="93" t="e">
        <f t="shared" si="7"/>
        <v>#DIV/0!</v>
      </c>
      <c r="F28" s="93" t="e">
        <f t="shared" si="7"/>
        <v>#DIV/0!</v>
      </c>
      <c r="G28" s="93" t="e">
        <f t="shared" si="7"/>
        <v>#DIV/0!</v>
      </c>
      <c r="H28" s="94" t="e">
        <f t="shared" si="7"/>
        <v>#DIV/0!</v>
      </c>
    </row>
    <row r="29" spans="1:8" s="7" customFormat="1">
      <c r="A29" s="189" t="s">
        <v>51</v>
      </c>
      <c r="B29" s="190"/>
      <c r="C29" s="190"/>
      <c r="D29" s="190"/>
      <c r="E29" s="190"/>
      <c r="F29" s="191" t="s">
        <v>35</v>
      </c>
      <c r="G29" s="101"/>
      <c r="H29" s="102"/>
    </row>
    <row r="30" spans="1:8" s="7" customFormat="1" ht="30" customHeight="1">
      <c r="A30" s="35" t="str">
        <f>A24</f>
        <v>Greeter Total</v>
      </c>
      <c r="B30" s="10">
        <v>280</v>
      </c>
      <c r="C30" s="9">
        <v>591</v>
      </c>
      <c r="D30" s="121">
        <v>667</v>
      </c>
      <c r="E30" s="121">
        <v>558</v>
      </c>
      <c r="F30" s="9">
        <v>584</v>
      </c>
      <c r="G30" s="9"/>
      <c r="H30" s="10"/>
    </row>
    <row r="31" spans="1:8" s="7" customFormat="1" ht="30" customHeight="1">
      <c r="A31" s="35" t="str">
        <f t="shared" ref="A31:A32" si="8">A25</f>
        <v>Non Meal Plan Meals</v>
      </c>
      <c r="B31" s="60"/>
      <c r="C31" s="60"/>
      <c r="D31" s="122"/>
      <c r="E31" s="122"/>
      <c r="F31" s="60"/>
      <c r="G31" s="60"/>
      <c r="H31" s="60"/>
    </row>
    <row r="32" spans="1:8" s="7" customFormat="1" ht="30" customHeight="1">
      <c r="A32" s="35" t="str">
        <f t="shared" si="8"/>
        <v>Meal Plan Meals</v>
      </c>
      <c r="B32" s="10"/>
      <c r="C32" s="10"/>
      <c r="D32" s="122"/>
      <c r="E32" s="122"/>
      <c r="F32" s="10"/>
      <c r="G32" s="10"/>
      <c r="H32" s="10"/>
    </row>
    <row r="33" spans="1:12" s="7" customFormat="1" ht="30.95" customHeight="1" thickBot="1">
      <c r="A33" s="36" t="s">
        <v>53</v>
      </c>
      <c r="B33" s="103">
        <f t="shared" ref="B33:H33" si="9">SUM(B30:B32)</f>
        <v>280</v>
      </c>
      <c r="C33" s="103">
        <f t="shared" si="9"/>
        <v>591</v>
      </c>
      <c r="D33" s="103">
        <f t="shared" si="9"/>
        <v>667</v>
      </c>
      <c r="E33" s="103">
        <f t="shared" si="9"/>
        <v>558</v>
      </c>
      <c r="F33" s="103">
        <f t="shared" si="9"/>
        <v>584</v>
      </c>
      <c r="G33" s="103">
        <f t="shared" si="9"/>
        <v>0</v>
      </c>
      <c r="H33" s="103">
        <f t="shared" si="9"/>
        <v>0</v>
      </c>
    </row>
    <row r="34" spans="1:12" s="7" customFormat="1" ht="24.95" customHeight="1" thickBot="1">
      <c r="A34" s="34" t="s">
        <v>40</v>
      </c>
      <c r="B34" s="92" t="e">
        <f t="shared" ref="B34:H34" si="10">(B33-B7)/B7</f>
        <v>#DIV/0!</v>
      </c>
      <c r="C34" s="93" t="e">
        <f t="shared" si="10"/>
        <v>#DIV/0!</v>
      </c>
      <c r="D34" s="93" t="e">
        <f t="shared" si="10"/>
        <v>#DIV/0!</v>
      </c>
      <c r="E34" s="93" t="e">
        <f t="shared" si="10"/>
        <v>#DIV/0!</v>
      </c>
      <c r="F34" s="93" t="e">
        <f t="shared" si="10"/>
        <v>#DIV/0!</v>
      </c>
      <c r="G34" s="93" t="e">
        <f t="shared" si="10"/>
        <v>#DIV/0!</v>
      </c>
      <c r="H34" s="94" t="e">
        <f t="shared" si="10"/>
        <v>#DIV/0!</v>
      </c>
    </row>
    <row r="35" spans="1:12" s="7" customFormat="1">
      <c r="A35" s="192" t="s">
        <v>54</v>
      </c>
      <c r="B35" s="193"/>
      <c r="C35" s="193"/>
      <c r="D35" s="193"/>
      <c r="E35" s="193"/>
      <c r="F35" s="194" t="s">
        <v>35</v>
      </c>
      <c r="G35" s="104"/>
      <c r="H35" s="105"/>
    </row>
    <row r="36" spans="1:12" s="7" customFormat="1" ht="30.95" customHeight="1" thickBot="1">
      <c r="A36" s="78" t="s">
        <v>55</v>
      </c>
      <c r="B36" s="77">
        <f t="shared" ref="B36:H36" si="11">B33+B27+B21</f>
        <v>667</v>
      </c>
      <c r="C36" s="77">
        <f t="shared" si="11"/>
        <v>1433</v>
      </c>
      <c r="D36" s="77">
        <f t="shared" si="11"/>
        <v>1553</v>
      </c>
      <c r="E36" s="77">
        <f t="shared" si="11"/>
        <v>1460</v>
      </c>
      <c r="F36" s="77">
        <f t="shared" si="11"/>
        <v>1463</v>
      </c>
      <c r="G36" s="77">
        <f t="shared" si="11"/>
        <v>0</v>
      </c>
      <c r="H36" s="77">
        <f t="shared" si="11"/>
        <v>0</v>
      </c>
    </row>
    <row r="37" spans="1:12" s="7" customFormat="1" ht="24.95" customHeight="1" thickBot="1">
      <c r="A37" s="34" t="s">
        <v>40</v>
      </c>
      <c r="B37" s="92" t="e">
        <f t="shared" ref="B37:H37" si="12">(B36-B8)/B8</f>
        <v>#DIV/0!</v>
      </c>
      <c r="C37" s="93" t="e">
        <f t="shared" si="12"/>
        <v>#DIV/0!</v>
      </c>
      <c r="D37" s="93" t="e">
        <f t="shared" si="12"/>
        <v>#DIV/0!</v>
      </c>
      <c r="E37" s="93" t="e">
        <f t="shared" si="12"/>
        <v>#DIV/0!</v>
      </c>
      <c r="F37" s="93" t="e">
        <f t="shared" si="12"/>
        <v>#DIV/0!</v>
      </c>
      <c r="G37" s="93" t="e">
        <f t="shared" si="12"/>
        <v>#DIV/0!</v>
      </c>
      <c r="H37" s="94" t="e">
        <f t="shared" si="12"/>
        <v>#DIV/0!</v>
      </c>
    </row>
    <row r="38" spans="1:12" ht="30" customHeight="1" thickBot="1">
      <c r="A38" s="195"/>
      <c r="B38" s="196"/>
      <c r="C38" s="196"/>
      <c r="D38" s="196"/>
      <c r="E38" s="196"/>
      <c r="F38" s="196"/>
      <c r="G38" s="106" t="s">
        <v>37</v>
      </c>
      <c r="H38" s="107">
        <f>SUM(B36:H36)</f>
        <v>6576</v>
      </c>
    </row>
    <row r="39" spans="1:12" s="7" customFormat="1" ht="24.95" customHeight="1" thickTop="1">
      <c r="A39" s="37"/>
      <c r="B39" s="25"/>
      <c r="C39" s="25"/>
      <c r="D39" s="25"/>
      <c r="E39" s="25"/>
      <c r="F39" s="25"/>
      <c r="G39" s="79" t="s">
        <v>40</v>
      </c>
      <c r="H39" s="80" t="e">
        <f>(H38-H9)/H9</f>
        <v>#DIV/0!</v>
      </c>
    </row>
    <row r="40" spans="1:12" s="7" customFormat="1" ht="24.95" customHeight="1" thickBot="1">
      <c r="A40" s="37"/>
      <c r="B40" s="25"/>
      <c r="C40" s="25"/>
      <c r="D40" s="25"/>
      <c r="E40" s="25"/>
      <c r="F40" s="25"/>
      <c r="G40" s="81" t="s">
        <v>56</v>
      </c>
      <c r="H40" s="82" t="e">
        <f>(H38-H16)/H16</f>
        <v>#DIV/0!</v>
      </c>
    </row>
    <row r="41" spans="1:12" s="46" customFormat="1" ht="23.1" customHeight="1">
      <c r="A41" s="40"/>
      <c r="B41" s="47" t="s">
        <v>57</v>
      </c>
      <c r="C41" s="197" t="s">
        <v>58</v>
      </c>
      <c r="D41" s="197"/>
      <c r="E41" s="197"/>
      <c r="F41" s="197"/>
      <c r="G41" s="198">
        <v>2020</v>
      </c>
      <c r="H41" s="199"/>
    </row>
    <row r="42" spans="1:12" ht="30" customHeight="1">
      <c r="A42" s="1" t="s">
        <v>0</v>
      </c>
      <c r="B42" s="57" t="s">
        <v>59</v>
      </c>
      <c r="C42" s="180"/>
      <c r="D42" s="180"/>
      <c r="E42" s="180"/>
      <c r="F42" s="180"/>
      <c r="G42" s="178"/>
      <c r="H42" s="179"/>
      <c r="L42" s="7" t="s">
        <v>61</v>
      </c>
    </row>
    <row r="43" spans="1:12" ht="30" customHeight="1">
      <c r="A43" s="1" t="s">
        <v>1</v>
      </c>
      <c r="B43" s="57" t="s">
        <v>59</v>
      </c>
      <c r="C43" s="175" t="s">
        <v>89</v>
      </c>
      <c r="D43" s="175"/>
      <c r="E43" s="175"/>
      <c r="F43" s="175"/>
      <c r="G43" s="178"/>
      <c r="H43" s="179"/>
      <c r="L43" s="5" t="s">
        <v>62</v>
      </c>
    </row>
    <row r="44" spans="1:12" ht="30" customHeight="1">
      <c r="A44" s="1" t="s">
        <v>2</v>
      </c>
      <c r="B44" s="57" t="s">
        <v>59</v>
      </c>
      <c r="C44" s="208"/>
      <c r="D44" s="208"/>
      <c r="E44" s="208"/>
      <c r="F44" s="208"/>
      <c r="G44" s="176"/>
      <c r="H44" s="177"/>
      <c r="L44" s="5" t="s">
        <v>63</v>
      </c>
    </row>
    <row r="45" spans="1:12" ht="30" customHeight="1">
      <c r="A45" s="1" t="s">
        <v>3</v>
      </c>
      <c r="B45" s="57" t="s">
        <v>59</v>
      </c>
      <c r="C45" s="208"/>
      <c r="D45" s="208"/>
      <c r="E45" s="208"/>
      <c r="F45" s="208"/>
      <c r="G45" s="176"/>
      <c r="H45" s="177"/>
      <c r="L45" s="5" t="s">
        <v>64</v>
      </c>
    </row>
    <row r="46" spans="1:12" ht="30.95" customHeight="1">
      <c r="A46" s="1" t="s">
        <v>4</v>
      </c>
      <c r="B46" s="57" t="s">
        <v>59</v>
      </c>
      <c r="C46" s="208"/>
      <c r="D46" s="208"/>
      <c r="E46" s="208"/>
      <c r="F46" s="208"/>
      <c r="G46" s="176"/>
      <c r="H46" s="177"/>
    </row>
    <row r="47" spans="1:12" ht="30" customHeight="1">
      <c r="A47" s="1" t="s">
        <v>5</v>
      </c>
      <c r="B47" s="57" t="s">
        <v>59</v>
      </c>
      <c r="C47" s="175"/>
      <c r="D47" s="175"/>
      <c r="E47" s="175"/>
      <c r="F47" s="175"/>
      <c r="G47" s="176"/>
      <c r="H47" s="177"/>
    </row>
    <row r="48" spans="1:12" ht="30" customHeight="1">
      <c r="A48" s="1" t="s">
        <v>6</v>
      </c>
      <c r="B48" s="57" t="s">
        <v>59</v>
      </c>
      <c r="C48" s="175"/>
      <c r="D48" s="175"/>
      <c r="E48" s="175"/>
      <c r="F48" s="175"/>
      <c r="G48" s="176"/>
      <c r="H48" s="177"/>
    </row>
    <row r="49" spans="1:8" ht="30" customHeight="1">
      <c r="A49" s="1"/>
      <c r="B49" s="14"/>
      <c r="C49" s="175"/>
      <c r="D49" s="175"/>
      <c r="E49" s="175"/>
      <c r="F49" s="175"/>
      <c r="G49" s="176"/>
      <c r="H49" s="177"/>
    </row>
    <row r="50" spans="1:8" ht="30" customHeight="1">
      <c r="A50" s="2"/>
      <c r="B50" s="14"/>
      <c r="C50" s="175"/>
      <c r="D50" s="175"/>
      <c r="E50" s="175"/>
      <c r="F50" s="175"/>
      <c r="G50" s="176"/>
      <c r="H50" s="177"/>
    </row>
    <row r="51" spans="1:8">
      <c r="A51" s="30"/>
      <c r="B51" s="18" t="s">
        <v>27</v>
      </c>
      <c r="C51" s="18" t="s">
        <v>28</v>
      </c>
      <c r="D51" s="18" t="s">
        <v>65</v>
      </c>
      <c r="E51" s="18" t="s">
        <v>30</v>
      </c>
      <c r="F51" s="18" t="s">
        <v>66</v>
      </c>
      <c r="G51" s="18" t="s">
        <v>32</v>
      </c>
      <c r="H51" s="18" t="s">
        <v>33</v>
      </c>
    </row>
    <row r="52" spans="1:8">
      <c r="A52" s="38" t="s">
        <v>67</v>
      </c>
      <c r="B52" s="15"/>
      <c r="C52" s="109"/>
      <c r="D52" s="20"/>
      <c r="E52" s="20"/>
      <c r="F52" s="20"/>
      <c r="G52" s="20"/>
      <c r="H52" s="15"/>
    </row>
    <row r="53" spans="1:8" customFormat="1" ht="15.95">
      <c r="A53" s="48" t="s">
        <v>68</v>
      </c>
      <c r="B53" s="22"/>
      <c r="C53" s="21"/>
      <c r="D53" s="21"/>
      <c r="E53" s="21"/>
      <c r="F53" s="21"/>
      <c r="G53" s="23" t="s">
        <v>37</v>
      </c>
      <c r="H53" s="23">
        <f>SUM(B52:H52)</f>
        <v>0</v>
      </c>
    </row>
    <row r="54" spans="1:8">
      <c r="A54" s="30"/>
      <c r="B54" s="18" t="s">
        <v>27</v>
      </c>
      <c r="C54" s="18" t="s">
        <v>28</v>
      </c>
      <c r="D54" s="18" t="s">
        <v>65</v>
      </c>
      <c r="E54" s="18" t="s">
        <v>30</v>
      </c>
      <c r="F54" s="18" t="s">
        <v>66</v>
      </c>
      <c r="G54" s="18" t="s">
        <v>32</v>
      </c>
      <c r="H54" s="18" t="s">
        <v>33</v>
      </c>
    </row>
    <row r="55" spans="1:8">
      <c r="A55" s="38" t="s">
        <v>69</v>
      </c>
      <c r="B55" s="51"/>
      <c r="C55" s="52"/>
      <c r="D55" s="52"/>
      <c r="E55" s="52"/>
      <c r="F55" s="52"/>
      <c r="G55" s="20"/>
      <c r="H55" s="15"/>
    </row>
    <row r="56" spans="1:8" customFormat="1" ht="15.95">
      <c r="A56" s="49" t="s">
        <v>70</v>
      </c>
      <c r="B56" s="53"/>
      <c r="C56" s="53" t="s">
        <v>71</v>
      </c>
      <c r="D56" s="54"/>
      <c r="E56" s="54"/>
      <c r="F56" s="55"/>
      <c r="G56" s="50" t="s">
        <v>37</v>
      </c>
      <c r="H56" s="23"/>
    </row>
    <row r="57" spans="1:8">
      <c r="H57" s="16"/>
    </row>
    <row r="58" spans="1:8">
      <c r="H58" s="16"/>
    </row>
    <row r="59" spans="1:8">
      <c r="H59" s="16"/>
    </row>
    <row r="60" spans="1:8">
      <c r="H60" s="16"/>
    </row>
    <row r="61" spans="1:8">
      <c r="H61" s="16"/>
    </row>
    <row r="62" spans="1:8">
      <c r="H62" s="16"/>
    </row>
    <row r="63" spans="1:8">
      <c r="H63" s="16"/>
    </row>
    <row r="64" spans="1:8">
      <c r="B64" s="5"/>
      <c r="H64" s="16"/>
    </row>
    <row r="65" spans="2:8">
      <c r="B65" s="5"/>
      <c r="H65" s="16"/>
    </row>
    <row r="66" spans="2:8">
      <c r="B66" s="5"/>
      <c r="H66" s="16"/>
    </row>
    <row r="67" spans="2:8">
      <c r="B67" s="5"/>
      <c r="H67" s="16"/>
    </row>
    <row r="68" spans="2:8">
      <c r="B68" s="5"/>
      <c r="H68" s="16"/>
    </row>
    <row r="69" spans="2:8">
      <c r="B69" s="5"/>
      <c r="H69" s="16"/>
    </row>
    <row r="70" spans="2:8">
      <c r="B70" s="5"/>
      <c r="H70" s="16"/>
    </row>
    <row r="71" spans="2:8">
      <c r="B71" s="5"/>
      <c r="H71" s="16"/>
    </row>
    <row r="72" spans="2:8">
      <c r="B72" s="5"/>
      <c r="H72" s="16"/>
    </row>
    <row r="73" spans="2:8">
      <c r="B73" s="5"/>
      <c r="H73" s="16"/>
    </row>
    <row r="74" spans="2:8">
      <c r="B74" s="5"/>
      <c r="H74" s="16"/>
    </row>
    <row r="75" spans="2:8">
      <c r="B75" s="5"/>
      <c r="H75" s="16"/>
    </row>
    <row r="76" spans="2:8">
      <c r="B76" s="5"/>
      <c r="H76" s="16"/>
    </row>
    <row r="77" spans="2:8">
      <c r="B77" s="5"/>
      <c r="H77" s="16"/>
    </row>
    <row r="78" spans="2:8">
      <c r="B78" s="5"/>
      <c r="H78" s="16"/>
    </row>
    <row r="79" spans="2:8">
      <c r="B79" s="5"/>
      <c r="H79" s="16"/>
    </row>
    <row r="80" spans="2:8">
      <c r="B80" s="5"/>
      <c r="H80" s="16"/>
    </row>
    <row r="81" spans="2:8">
      <c r="B81" s="5"/>
      <c r="H81" s="16"/>
    </row>
    <row r="82" spans="2:8">
      <c r="B82" s="5"/>
      <c r="H82" s="16"/>
    </row>
    <row r="83" spans="2:8">
      <c r="B83" s="5"/>
      <c r="H83" s="16"/>
    </row>
    <row r="84" spans="2:8">
      <c r="B84" s="5"/>
      <c r="H84" s="16"/>
    </row>
    <row r="85" spans="2:8">
      <c r="B85" s="5"/>
      <c r="H85" s="16"/>
    </row>
    <row r="86" spans="2:8">
      <c r="B86" s="5"/>
      <c r="H86" s="16"/>
    </row>
    <row r="87" spans="2:8">
      <c r="B87" s="5"/>
      <c r="H87" s="16"/>
    </row>
    <row r="88" spans="2:8">
      <c r="B88" s="5"/>
      <c r="H88" s="16"/>
    </row>
    <row r="89" spans="2:8">
      <c r="B89" s="5"/>
      <c r="H89" s="16"/>
    </row>
    <row r="90" spans="2:8">
      <c r="B90" s="5"/>
      <c r="H90" s="16"/>
    </row>
    <row r="91" spans="2:8">
      <c r="B91" s="5"/>
      <c r="H91" s="16"/>
    </row>
    <row r="92" spans="2:8">
      <c r="B92" s="5"/>
      <c r="H92" s="16"/>
    </row>
    <row r="93" spans="2:8">
      <c r="B93" s="5"/>
      <c r="H93" s="16"/>
    </row>
    <row r="94" spans="2:8">
      <c r="B94" s="5"/>
      <c r="H94" s="16"/>
    </row>
    <row r="95" spans="2:8">
      <c r="B95" s="5"/>
      <c r="H95" s="16"/>
    </row>
    <row r="96" spans="2:8">
      <c r="B96" s="5"/>
      <c r="H96" s="16"/>
    </row>
    <row r="97" spans="2:8">
      <c r="B97" s="5"/>
      <c r="H97" s="16"/>
    </row>
    <row r="98" spans="2:8">
      <c r="B98" s="5"/>
      <c r="H98" s="16"/>
    </row>
    <row r="99" spans="2:8">
      <c r="B99" s="5"/>
      <c r="H99" s="16"/>
    </row>
    <row r="100" spans="2:8">
      <c r="B100" s="5"/>
      <c r="H100" s="16"/>
    </row>
    <row r="101" spans="2:8">
      <c r="B101" s="5"/>
      <c r="H101" s="16"/>
    </row>
    <row r="102" spans="2:8">
      <c r="B102" s="5"/>
      <c r="H102" s="16"/>
    </row>
    <row r="103" spans="2:8">
      <c r="B103" s="5"/>
      <c r="H103" s="16"/>
    </row>
    <row r="104" spans="2:8">
      <c r="B104" s="5"/>
      <c r="H104" s="16"/>
    </row>
    <row r="105" spans="2:8">
      <c r="B105" s="5"/>
      <c r="H105" s="16"/>
    </row>
    <row r="106" spans="2:8">
      <c r="B106" s="5"/>
      <c r="H106" s="16"/>
    </row>
    <row r="107" spans="2:8">
      <c r="B107" s="5"/>
      <c r="H107" s="16"/>
    </row>
    <row r="108" spans="2:8">
      <c r="B108" s="5"/>
      <c r="H108" s="16"/>
    </row>
    <row r="109" spans="2:8">
      <c r="B109" s="5"/>
      <c r="H109" s="16"/>
    </row>
    <row r="110" spans="2:8">
      <c r="B110" s="5"/>
      <c r="H110" s="16"/>
    </row>
    <row r="111" spans="2:8">
      <c r="B111" s="5"/>
      <c r="H111" s="16"/>
    </row>
    <row r="112" spans="2:8">
      <c r="B112" s="5"/>
      <c r="H112" s="16"/>
    </row>
    <row r="113" spans="2:8">
      <c r="B113" s="5"/>
      <c r="H113" s="16"/>
    </row>
    <row r="114" spans="2:8">
      <c r="B114" s="5"/>
      <c r="H114" s="16"/>
    </row>
    <row r="115" spans="2:8">
      <c r="B115" s="5"/>
      <c r="H115" s="16"/>
    </row>
    <row r="116" spans="2:8">
      <c r="B116" s="5"/>
      <c r="H116" s="16"/>
    </row>
    <row r="117" spans="2:8">
      <c r="B117" s="5"/>
      <c r="H117" s="16"/>
    </row>
    <row r="118" spans="2:8">
      <c r="B118" s="5"/>
      <c r="H118" s="16"/>
    </row>
    <row r="119" spans="2:8">
      <c r="B119" s="5"/>
      <c r="H119" s="16"/>
    </row>
    <row r="120" spans="2:8">
      <c r="B120" s="5"/>
      <c r="H120" s="16"/>
    </row>
    <row r="121" spans="2:8">
      <c r="B121" s="5"/>
      <c r="H121" s="16"/>
    </row>
    <row r="122" spans="2:8">
      <c r="B122" s="5"/>
      <c r="H122" s="16"/>
    </row>
    <row r="123" spans="2:8">
      <c r="B123" s="5"/>
      <c r="H123" s="16"/>
    </row>
    <row r="124" spans="2:8">
      <c r="B124" s="5"/>
      <c r="H124" s="16"/>
    </row>
    <row r="125" spans="2:8">
      <c r="B125" s="5"/>
      <c r="H125" s="16"/>
    </row>
    <row r="126" spans="2:8">
      <c r="B126" s="5"/>
      <c r="H126" s="16"/>
    </row>
    <row r="127" spans="2:8">
      <c r="B127" s="5"/>
      <c r="H127" s="16"/>
    </row>
    <row r="128" spans="2:8">
      <c r="B128" s="5"/>
      <c r="H128" s="16"/>
    </row>
    <row r="129" spans="2:8">
      <c r="B129" s="5"/>
      <c r="H129" s="16"/>
    </row>
    <row r="130" spans="2:8">
      <c r="B130" s="5"/>
      <c r="H130" s="16"/>
    </row>
    <row r="131" spans="2:8">
      <c r="B131" s="5"/>
      <c r="H131" s="16"/>
    </row>
    <row r="132" spans="2:8">
      <c r="B132" s="5"/>
      <c r="H132" s="16"/>
    </row>
    <row r="133" spans="2:8">
      <c r="B133" s="5"/>
      <c r="H133" s="16"/>
    </row>
    <row r="134" spans="2:8">
      <c r="B134" s="5"/>
      <c r="H134" s="16"/>
    </row>
    <row r="135" spans="2:8">
      <c r="B135" s="5"/>
      <c r="H135" s="16"/>
    </row>
    <row r="136" spans="2:8">
      <c r="B136" s="5"/>
      <c r="H136" s="16"/>
    </row>
    <row r="137" spans="2:8">
      <c r="B137" s="5"/>
      <c r="H137" s="16"/>
    </row>
    <row r="138" spans="2:8">
      <c r="B138" s="5"/>
      <c r="H138" s="16"/>
    </row>
    <row r="139" spans="2:8">
      <c r="B139" s="5"/>
      <c r="H139" s="16"/>
    </row>
    <row r="140" spans="2:8">
      <c r="B140" s="5"/>
      <c r="H140" s="16"/>
    </row>
    <row r="141" spans="2:8">
      <c r="B141" s="5"/>
      <c r="H141" s="16"/>
    </row>
    <row r="142" spans="2:8">
      <c r="B142" s="5"/>
      <c r="H142" s="16"/>
    </row>
    <row r="143" spans="2:8">
      <c r="B143" s="5"/>
      <c r="H143" s="16"/>
    </row>
    <row r="144" spans="2:8">
      <c r="B144" s="5"/>
      <c r="H144" s="16"/>
    </row>
    <row r="145" spans="2:8">
      <c r="B145" s="5"/>
      <c r="H145" s="16"/>
    </row>
    <row r="146" spans="2:8">
      <c r="B146" s="5"/>
      <c r="H146" s="16"/>
    </row>
    <row r="147" spans="2:8">
      <c r="B147" s="5"/>
      <c r="H147" s="16"/>
    </row>
    <row r="148" spans="2:8">
      <c r="B148" s="5"/>
      <c r="H148" s="16"/>
    </row>
    <row r="149" spans="2:8">
      <c r="B149" s="5"/>
      <c r="H149" s="16"/>
    </row>
    <row r="150" spans="2:8">
      <c r="B150" s="5"/>
      <c r="H150" s="16"/>
    </row>
    <row r="151" spans="2:8">
      <c r="B151" s="5"/>
      <c r="H151" s="16"/>
    </row>
    <row r="152" spans="2:8">
      <c r="B152" s="5"/>
      <c r="H152" s="16"/>
    </row>
    <row r="153" spans="2:8">
      <c r="B153" s="5"/>
      <c r="H153" s="16"/>
    </row>
    <row r="154" spans="2:8">
      <c r="B154" s="5"/>
      <c r="H154" s="16"/>
    </row>
    <row r="155" spans="2:8">
      <c r="B155" s="5"/>
      <c r="H155" s="16"/>
    </row>
    <row r="156" spans="2:8">
      <c r="B156" s="5"/>
      <c r="H156" s="16"/>
    </row>
    <row r="157" spans="2:8">
      <c r="B157" s="5"/>
      <c r="H157" s="16"/>
    </row>
    <row r="158" spans="2:8">
      <c r="B158" s="5"/>
      <c r="H158" s="16"/>
    </row>
    <row r="159" spans="2:8">
      <c r="B159" s="5"/>
      <c r="H159" s="16"/>
    </row>
    <row r="160" spans="2:8">
      <c r="B160" s="5"/>
      <c r="H160" s="16"/>
    </row>
    <row r="161" spans="2:8">
      <c r="B161" s="5"/>
      <c r="H161" s="16"/>
    </row>
    <row r="162" spans="2:8">
      <c r="B162" s="5"/>
      <c r="H162" s="16"/>
    </row>
    <row r="163" spans="2:8">
      <c r="B163" s="5"/>
      <c r="H163" s="16"/>
    </row>
    <row r="164" spans="2:8">
      <c r="B164" s="5"/>
      <c r="H164" s="16"/>
    </row>
    <row r="165" spans="2:8">
      <c r="B165" s="5"/>
      <c r="H165" s="16"/>
    </row>
    <row r="166" spans="2:8">
      <c r="B166" s="5"/>
      <c r="H166" s="16"/>
    </row>
    <row r="167" spans="2:8">
      <c r="B167" s="5"/>
      <c r="H167" s="16"/>
    </row>
    <row r="168" spans="2:8">
      <c r="B168" s="5"/>
      <c r="H168" s="16"/>
    </row>
    <row r="169" spans="2:8">
      <c r="B169" s="5"/>
      <c r="H169" s="16"/>
    </row>
    <row r="170" spans="2:8">
      <c r="B170" s="5"/>
      <c r="H170" s="16"/>
    </row>
    <row r="171" spans="2:8">
      <c r="B171" s="5"/>
      <c r="H171" s="16"/>
    </row>
    <row r="172" spans="2:8">
      <c r="B172" s="5"/>
      <c r="H172" s="16"/>
    </row>
    <row r="173" spans="2:8">
      <c r="B173" s="5"/>
      <c r="H173" s="16"/>
    </row>
    <row r="174" spans="2:8">
      <c r="B174" s="5"/>
      <c r="H174" s="16"/>
    </row>
    <row r="175" spans="2:8">
      <c r="B175" s="5"/>
      <c r="H175" s="16"/>
    </row>
    <row r="176" spans="2:8">
      <c r="B176" s="5"/>
      <c r="H176" s="16"/>
    </row>
    <row r="177" spans="2:8">
      <c r="B177" s="5"/>
      <c r="H177" s="16"/>
    </row>
    <row r="178" spans="2:8">
      <c r="B178" s="5"/>
      <c r="H178" s="16"/>
    </row>
    <row r="179" spans="2:8">
      <c r="B179" s="5"/>
      <c r="H179" s="16"/>
    </row>
    <row r="180" spans="2:8">
      <c r="B180" s="5"/>
      <c r="H180" s="16"/>
    </row>
    <row r="181" spans="2:8">
      <c r="B181" s="5"/>
      <c r="H181" s="16"/>
    </row>
    <row r="182" spans="2:8">
      <c r="B182" s="5"/>
      <c r="H182" s="16"/>
    </row>
    <row r="183" spans="2:8">
      <c r="B183" s="5"/>
      <c r="H183" s="16"/>
    </row>
    <row r="184" spans="2:8">
      <c r="B184" s="5"/>
      <c r="H184" s="16"/>
    </row>
    <row r="185" spans="2:8">
      <c r="B185" s="5"/>
      <c r="H185" s="16"/>
    </row>
    <row r="186" spans="2:8">
      <c r="B186" s="5"/>
      <c r="H186" s="16"/>
    </row>
    <row r="187" spans="2:8">
      <c r="B187" s="5"/>
      <c r="H187" s="16"/>
    </row>
    <row r="188" spans="2:8">
      <c r="B188" s="5"/>
      <c r="H188" s="16"/>
    </row>
    <row r="189" spans="2:8">
      <c r="B189" s="5"/>
      <c r="H189" s="16"/>
    </row>
    <row r="190" spans="2:8">
      <c r="B190" s="5"/>
      <c r="H190" s="16"/>
    </row>
    <row r="191" spans="2:8">
      <c r="B191" s="5"/>
      <c r="H191" s="16"/>
    </row>
    <row r="192" spans="2:8">
      <c r="B192" s="5"/>
      <c r="H192" s="16"/>
    </row>
    <row r="193" spans="2:8">
      <c r="B193" s="5"/>
      <c r="H193" s="16"/>
    </row>
    <row r="194" spans="2:8">
      <c r="B194" s="5"/>
      <c r="H194" s="16"/>
    </row>
    <row r="195" spans="2:8">
      <c r="B195" s="5"/>
      <c r="H195" s="16"/>
    </row>
    <row r="196" spans="2:8">
      <c r="B196" s="5"/>
      <c r="H196" s="16"/>
    </row>
    <row r="197" spans="2:8">
      <c r="B197" s="5"/>
      <c r="H197" s="16"/>
    </row>
    <row r="198" spans="2:8">
      <c r="B198" s="5"/>
      <c r="H198" s="16"/>
    </row>
    <row r="199" spans="2:8">
      <c r="B199" s="5"/>
      <c r="H199" s="16"/>
    </row>
    <row r="200" spans="2:8">
      <c r="B200" s="5"/>
      <c r="H200" s="16"/>
    </row>
    <row r="201" spans="2:8">
      <c r="B201" s="5"/>
      <c r="H201" s="16"/>
    </row>
    <row r="202" spans="2:8">
      <c r="B202" s="5"/>
      <c r="H202" s="16"/>
    </row>
    <row r="203" spans="2:8">
      <c r="B203" s="5"/>
      <c r="H203" s="16"/>
    </row>
    <row r="204" spans="2:8">
      <c r="B204" s="5"/>
      <c r="H204" s="16"/>
    </row>
    <row r="205" spans="2:8">
      <c r="B205" s="5"/>
      <c r="H205" s="16"/>
    </row>
    <row r="206" spans="2:8">
      <c r="B206" s="5"/>
      <c r="H206" s="16"/>
    </row>
    <row r="207" spans="2:8">
      <c r="B207" s="5"/>
      <c r="H207" s="16"/>
    </row>
    <row r="208" spans="2:8">
      <c r="B208" s="5"/>
      <c r="H208" s="16"/>
    </row>
    <row r="209" spans="2:8">
      <c r="B209" s="5"/>
      <c r="H209" s="16"/>
    </row>
    <row r="210" spans="2:8">
      <c r="B210" s="5"/>
      <c r="H210" s="16"/>
    </row>
    <row r="211" spans="2:8">
      <c r="B211" s="5"/>
      <c r="H211" s="16"/>
    </row>
    <row r="212" spans="2:8">
      <c r="B212" s="5"/>
      <c r="H212" s="16"/>
    </row>
    <row r="213" spans="2:8">
      <c r="B213" s="5"/>
      <c r="H213" s="16"/>
    </row>
    <row r="214" spans="2:8">
      <c r="B214" s="5"/>
      <c r="H214" s="16"/>
    </row>
    <row r="215" spans="2:8">
      <c r="B215" s="5"/>
      <c r="H215" s="16"/>
    </row>
    <row r="216" spans="2:8">
      <c r="B216" s="5"/>
      <c r="H216" s="16"/>
    </row>
    <row r="217" spans="2:8">
      <c r="B217" s="5"/>
      <c r="H217" s="16"/>
    </row>
    <row r="218" spans="2:8">
      <c r="B218" s="5"/>
      <c r="H218" s="16"/>
    </row>
    <row r="219" spans="2:8">
      <c r="B219" s="5"/>
      <c r="H219" s="16"/>
    </row>
    <row r="220" spans="2:8">
      <c r="B220" s="5"/>
      <c r="H220" s="16"/>
    </row>
    <row r="221" spans="2:8">
      <c r="B221" s="5"/>
      <c r="H221" s="16"/>
    </row>
    <row r="222" spans="2:8">
      <c r="B222" s="5"/>
      <c r="H222" s="16"/>
    </row>
    <row r="223" spans="2:8">
      <c r="B223" s="5"/>
      <c r="H223" s="16"/>
    </row>
    <row r="224" spans="2:8">
      <c r="B224" s="5"/>
      <c r="H224" s="16"/>
    </row>
    <row r="225" spans="2:8">
      <c r="B225" s="5"/>
      <c r="H225" s="16"/>
    </row>
    <row r="226" spans="2:8">
      <c r="B226" s="5"/>
      <c r="H226" s="16"/>
    </row>
    <row r="227" spans="2:8">
      <c r="B227" s="5"/>
      <c r="H227" s="16"/>
    </row>
    <row r="228" spans="2:8">
      <c r="B228" s="5"/>
      <c r="H228" s="16"/>
    </row>
    <row r="229" spans="2:8">
      <c r="B229" s="5"/>
      <c r="H229" s="16"/>
    </row>
    <row r="230" spans="2:8">
      <c r="B230" s="5"/>
      <c r="H230" s="16"/>
    </row>
    <row r="231" spans="2:8">
      <c r="B231" s="5"/>
      <c r="H231" s="16"/>
    </row>
    <row r="232" spans="2:8">
      <c r="B232" s="5"/>
      <c r="H232" s="16"/>
    </row>
    <row r="233" spans="2:8">
      <c r="B233" s="5"/>
      <c r="H233" s="16"/>
    </row>
    <row r="234" spans="2:8">
      <c r="B234" s="5"/>
      <c r="H234" s="16"/>
    </row>
    <row r="235" spans="2:8">
      <c r="B235" s="5"/>
      <c r="H235" s="16"/>
    </row>
    <row r="236" spans="2:8">
      <c r="B236" s="5"/>
      <c r="H236" s="16"/>
    </row>
    <row r="237" spans="2:8">
      <c r="B237" s="5"/>
      <c r="H237" s="16"/>
    </row>
    <row r="238" spans="2:8">
      <c r="B238" s="5"/>
      <c r="H238" s="16"/>
    </row>
    <row r="239" spans="2:8">
      <c r="B239" s="5"/>
      <c r="H239" s="16"/>
    </row>
    <row r="240" spans="2:8">
      <c r="B240" s="5"/>
      <c r="H240" s="16"/>
    </row>
    <row r="241" spans="2:8">
      <c r="B241" s="5"/>
      <c r="H241" s="16"/>
    </row>
    <row r="242" spans="2:8">
      <c r="B242" s="5"/>
      <c r="H242" s="16"/>
    </row>
    <row r="243" spans="2:8">
      <c r="B243" s="5"/>
      <c r="H243" s="16"/>
    </row>
    <row r="244" spans="2:8">
      <c r="B244" s="5"/>
      <c r="H244" s="16"/>
    </row>
    <row r="245" spans="2:8">
      <c r="B245" s="5"/>
      <c r="H245" s="16"/>
    </row>
    <row r="246" spans="2:8">
      <c r="B246" s="5"/>
      <c r="H246" s="16"/>
    </row>
    <row r="247" spans="2:8">
      <c r="B247" s="5"/>
      <c r="H247" s="16"/>
    </row>
    <row r="248" spans="2:8">
      <c r="B248" s="5"/>
      <c r="H248" s="16"/>
    </row>
    <row r="249" spans="2:8">
      <c r="B249" s="5"/>
      <c r="H249" s="16"/>
    </row>
    <row r="250" spans="2:8">
      <c r="B250" s="5"/>
      <c r="H250" s="16"/>
    </row>
    <row r="251" spans="2:8">
      <c r="B251" s="5"/>
      <c r="H251" s="16"/>
    </row>
    <row r="252" spans="2:8">
      <c r="B252" s="5"/>
      <c r="H252" s="16"/>
    </row>
    <row r="253" spans="2:8">
      <c r="B253" s="5"/>
      <c r="H253" s="16"/>
    </row>
    <row r="254" spans="2:8">
      <c r="B254" s="5"/>
      <c r="H254" s="16"/>
    </row>
    <row r="255" spans="2:8">
      <c r="B255" s="5"/>
      <c r="H255" s="16"/>
    </row>
    <row r="256" spans="2:8">
      <c r="B256" s="5"/>
      <c r="H256" s="16"/>
    </row>
    <row r="257" spans="2:8">
      <c r="B257" s="5"/>
      <c r="H257" s="16"/>
    </row>
    <row r="258" spans="2:8">
      <c r="B258" s="5"/>
      <c r="H258" s="16"/>
    </row>
    <row r="259" spans="2:8">
      <c r="B259" s="5"/>
      <c r="H259" s="16"/>
    </row>
    <row r="260" spans="2:8">
      <c r="B260" s="5"/>
      <c r="H260" s="16"/>
    </row>
    <row r="261" spans="2:8">
      <c r="B261" s="5"/>
      <c r="H261" s="16"/>
    </row>
    <row r="262" spans="2:8">
      <c r="B262" s="5"/>
      <c r="H262" s="16"/>
    </row>
    <row r="263" spans="2:8">
      <c r="B263" s="5"/>
      <c r="H263" s="16"/>
    </row>
    <row r="264" spans="2:8">
      <c r="B264" s="5"/>
      <c r="H264" s="16"/>
    </row>
    <row r="265" spans="2:8">
      <c r="B265" s="5"/>
      <c r="H265" s="16"/>
    </row>
    <row r="266" spans="2:8">
      <c r="B266" s="5"/>
      <c r="H266" s="16"/>
    </row>
    <row r="267" spans="2:8">
      <c r="B267" s="5"/>
      <c r="H267" s="16"/>
    </row>
    <row r="268" spans="2:8">
      <c r="B268" s="5"/>
      <c r="H268" s="16"/>
    </row>
    <row r="269" spans="2:8">
      <c r="B269" s="5"/>
      <c r="H269" s="16"/>
    </row>
    <row r="270" spans="2:8">
      <c r="B270" s="5"/>
      <c r="H270" s="16"/>
    </row>
    <row r="271" spans="2:8">
      <c r="B271" s="5"/>
      <c r="H271" s="16"/>
    </row>
    <row r="272" spans="2:8">
      <c r="B272" s="5"/>
      <c r="H272" s="16"/>
    </row>
    <row r="273" spans="2:8">
      <c r="B273" s="5"/>
      <c r="H273" s="16"/>
    </row>
    <row r="274" spans="2:8">
      <c r="B274" s="5"/>
      <c r="H274" s="16"/>
    </row>
    <row r="275" spans="2:8">
      <c r="B275" s="5"/>
      <c r="H275" s="16"/>
    </row>
    <row r="276" spans="2:8">
      <c r="B276" s="5"/>
      <c r="H276" s="16"/>
    </row>
    <row r="277" spans="2:8">
      <c r="B277" s="5"/>
      <c r="H277" s="16"/>
    </row>
    <row r="278" spans="2:8">
      <c r="B278" s="5"/>
      <c r="H278" s="16"/>
    </row>
    <row r="279" spans="2:8">
      <c r="B279" s="5"/>
      <c r="H279" s="16"/>
    </row>
    <row r="280" spans="2:8">
      <c r="B280" s="5"/>
      <c r="H280" s="16"/>
    </row>
    <row r="281" spans="2:8">
      <c r="B281" s="5"/>
      <c r="H281" s="16"/>
    </row>
    <row r="282" spans="2:8">
      <c r="B282" s="5"/>
      <c r="H282" s="16"/>
    </row>
    <row r="283" spans="2:8">
      <c r="B283" s="5"/>
      <c r="H283" s="16"/>
    </row>
    <row r="284" spans="2:8">
      <c r="B284" s="5"/>
      <c r="H284" s="16"/>
    </row>
    <row r="285" spans="2:8">
      <c r="B285" s="5"/>
      <c r="H285" s="16"/>
    </row>
    <row r="286" spans="2:8">
      <c r="B286" s="5"/>
      <c r="H286" s="16"/>
    </row>
    <row r="287" spans="2:8">
      <c r="B287" s="5"/>
      <c r="H287" s="16"/>
    </row>
    <row r="288" spans="2:8">
      <c r="B288" s="5"/>
      <c r="H288" s="16"/>
    </row>
    <row r="289" spans="2:8">
      <c r="B289" s="5"/>
      <c r="H289" s="16"/>
    </row>
    <row r="290" spans="2:8">
      <c r="B290" s="5"/>
      <c r="H290" s="16"/>
    </row>
    <row r="291" spans="2:8">
      <c r="B291" s="5"/>
      <c r="H291" s="16"/>
    </row>
    <row r="292" spans="2:8">
      <c r="B292" s="5"/>
      <c r="H292" s="16"/>
    </row>
    <row r="293" spans="2:8">
      <c r="B293" s="5"/>
      <c r="H293" s="16"/>
    </row>
    <row r="294" spans="2:8">
      <c r="B294" s="5"/>
      <c r="H294" s="16"/>
    </row>
    <row r="295" spans="2:8">
      <c r="B295" s="5"/>
      <c r="H295" s="16"/>
    </row>
    <row r="296" spans="2:8">
      <c r="B296" s="5"/>
      <c r="H296" s="16"/>
    </row>
    <row r="297" spans="2:8">
      <c r="B297" s="5"/>
      <c r="H297" s="16"/>
    </row>
    <row r="298" spans="2:8">
      <c r="B298" s="5"/>
      <c r="H298" s="16"/>
    </row>
    <row r="299" spans="2:8">
      <c r="B299" s="5"/>
      <c r="H299" s="16"/>
    </row>
    <row r="300" spans="2:8">
      <c r="B300" s="5"/>
      <c r="H300" s="16"/>
    </row>
    <row r="301" spans="2:8">
      <c r="B301" s="5"/>
      <c r="H301" s="16"/>
    </row>
    <row r="302" spans="2:8">
      <c r="B302" s="5"/>
      <c r="H302" s="16"/>
    </row>
    <row r="303" spans="2:8">
      <c r="B303" s="5"/>
      <c r="H303" s="16"/>
    </row>
    <row r="304" spans="2:8">
      <c r="B304" s="5"/>
      <c r="H304" s="16"/>
    </row>
    <row r="305" spans="2:8">
      <c r="B305" s="5"/>
      <c r="H305" s="16"/>
    </row>
    <row r="306" spans="2:8">
      <c r="B306" s="5"/>
      <c r="H306" s="16"/>
    </row>
    <row r="307" spans="2:8">
      <c r="B307" s="5"/>
      <c r="H307" s="16"/>
    </row>
    <row r="308" spans="2:8">
      <c r="B308" s="5"/>
      <c r="H308" s="16"/>
    </row>
    <row r="309" spans="2:8">
      <c r="B309" s="5"/>
      <c r="H309" s="16"/>
    </row>
    <row r="310" spans="2:8">
      <c r="B310" s="5"/>
      <c r="H310" s="16"/>
    </row>
    <row r="311" spans="2:8">
      <c r="B311" s="5"/>
      <c r="H311" s="16"/>
    </row>
    <row r="312" spans="2:8">
      <c r="B312" s="5"/>
      <c r="H312" s="16"/>
    </row>
    <row r="313" spans="2:8">
      <c r="B313" s="5"/>
      <c r="H313" s="16"/>
    </row>
    <row r="314" spans="2:8">
      <c r="B314" s="5"/>
      <c r="H314" s="16"/>
    </row>
    <row r="315" spans="2:8">
      <c r="B315" s="5"/>
      <c r="H315" s="16"/>
    </row>
    <row r="316" spans="2:8">
      <c r="B316" s="5"/>
      <c r="H316" s="16"/>
    </row>
    <row r="317" spans="2:8">
      <c r="B317" s="5"/>
      <c r="H317" s="16"/>
    </row>
    <row r="318" spans="2:8">
      <c r="B318" s="5"/>
      <c r="H318" s="16"/>
    </row>
    <row r="319" spans="2:8">
      <c r="B319" s="5"/>
      <c r="H319" s="16"/>
    </row>
    <row r="320" spans="2:8">
      <c r="B320" s="5"/>
      <c r="H320" s="16"/>
    </row>
    <row r="321" spans="2:8">
      <c r="B321" s="5"/>
      <c r="H321" s="16"/>
    </row>
    <row r="322" spans="2:8">
      <c r="B322" s="5"/>
      <c r="H322" s="16"/>
    </row>
    <row r="323" spans="2:8">
      <c r="B323" s="5"/>
      <c r="H323" s="16"/>
    </row>
    <row r="324" spans="2:8">
      <c r="B324" s="5"/>
      <c r="H324" s="16"/>
    </row>
    <row r="325" spans="2:8">
      <c r="B325" s="5"/>
      <c r="H325" s="16"/>
    </row>
    <row r="326" spans="2:8">
      <c r="B326" s="5"/>
      <c r="H326" s="16"/>
    </row>
    <row r="327" spans="2:8">
      <c r="B327" s="5"/>
      <c r="H327" s="16"/>
    </row>
    <row r="328" spans="2:8">
      <c r="B328" s="5"/>
      <c r="H328" s="16"/>
    </row>
    <row r="329" spans="2:8">
      <c r="B329" s="5"/>
      <c r="H329" s="16"/>
    </row>
    <row r="330" spans="2:8">
      <c r="B330" s="5"/>
      <c r="H330" s="16"/>
    </row>
    <row r="331" spans="2:8">
      <c r="B331" s="5"/>
      <c r="H331" s="16"/>
    </row>
    <row r="332" spans="2:8">
      <c r="B332" s="5"/>
      <c r="H332" s="16"/>
    </row>
    <row r="333" spans="2:8">
      <c r="B333" s="5"/>
      <c r="H333" s="16"/>
    </row>
    <row r="334" spans="2:8">
      <c r="B334" s="5"/>
      <c r="H334" s="16"/>
    </row>
    <row r="335" spans="2:8">
      <c r="B335" s="5"/>
      <c r="H335" s="16"/>
    </row>
    <row r="336" spans="2:8">
      <c r="B336" s="5"/>
      <c r="H336" s="16"/>
    </row>
    <row r="337" spans="2:8">
      <c r="B337" s="5"/>
      <c r="H337" s="16"/>
    </row>
    <row r="338" spans="2:8">
      <c r="B338" s="5"/>
      <c r="H338" s="16"/>
    </row>
    <row r="339" spans="2:8">
      <c r="B339" s="5"/>
      <c r="H339" s="16"/>
    </row>
    <row r="340" spans="2:8">
      <c r="B340" s="5"/>
      <c r="H340" s="16"/>
    </row>
    <row r="341" spans="2:8">
      <c r="B341" s="5"/>
      <c r="H341" s="16"/>
    </row>
    <row r="342" spans="2:8">
      <c r="B342" s="5"/>
      <c r="H342" s="16"/>
    </row>
    <row r="343" spans="2:8">
      <c r="B343" s="5"/>
      <c r="H343" s="16"/>
    </row>
    <row r="344" spans="2:8">
      <c r="B344" s="5"/>
      <c r="H344" s="16"/>
    </row>
    <row r="345" spans="2:8">
      <c r="B345" s="5"/>
      <c r="H345" s="16"/>
    </row>
    <row r="346" spans="2:8">
      <c r="B346" s="5"/>
      <c r="H346" s="16"/>
    </row>
    <row r="347" spans="2:8">
      <c r="B347" s="5"/>
      <c r="H347" s="16"/>
    </row>
    <row r="348" spans="2:8">
      <c r="B348" s="5"/>
      <c r="H348" s="16"/>
    </row>
    <row r="349" spans="2:8">
      <c r="B349" s="5"/>
      <c r="H349" s="16"/>
    </row>
    <row r="350" spans="2:8">
      <c r="B350" s="5"/>
      <c r="H350" s="16"/>
    </row>
    <row r="351" spans="2:8">
      <c r="B351" s="5"/>
      <c r="H351" s="16"/>
    </row>
    <row r="352" spans="2:8">
      <c r="B352" s="5"/>
      <c r="H352" s="16"/>
    </row>
    <row r="353" spans="2:8">
      <c r="B353" s="5"/>
      <c r="H353" s="16"/>
    </row>
    <row r="354" spans="2:8">
      <c r="B354" s="5"/>
      <c r="H354" s="16"/>
    </row>
    <row r="355" spans="2:8">
      <c r="B355" s="5"/>
      <c r="H355" s="16"/>
    </row>
    <row r="356" spans="2:8">
      <c r="B356" s="5"/>
      <c r="H356" s="16"/>
    </row>
    <row r="357" spans="2:8">
      <c r="B357" s="5"/>
      <c r="H357" s="16"/>
    </row>
    <row r="358" spans="2:8">
      <c r="B358" s="5"/>
      <c r="H358" s="16"/>
    </row>
    <row r="359" spans="2:8">
      <c r="B359" s="5"/>
      <c r="H359" s="16"/>
    </row>
    <row r="360" spans="2:8">
      <c r="B360" s="5"/>
      <c r="H360" s="16"/>
    </row>
    <row r="361" spans="2:8">
      <c r="B361" s="5"/>
      <c r="H361" s="16"/>
    </row>
    <row r="362" spans="2:8">
      <c r="B362" s="5"/>
      <c r="H362" s="16"/>
    </row>
    <row r="363" spans="2:8">
      <c r="B363" s="5"/>
      <c r="H363" s="16"/>
    </row>
    <row r="364" spans="2:8">
      <c r="B364" s="5"/>
      <c r="H364" s="16"/>
    </row>
    <row r="365" spans="2:8">
      <c r="B365" s="5"/>
      <c r="H365" s="16"/>
    </row>
    <row r="366" spans="2:8">
      <c r="B366" s="5"/>
      <c r="H366" s="16"/>
    </row>
    <row r="367" spans="2:8">
      <c r="B367" s="5"/>
      <c r="H367" s="16"/>
    </row>
    <row r="368" spans="2:8">
      <c r="B368" s="5"/>
      <c r="H368" s="16"/>
    </row>
    <row r="369" spans="2:8">
      <c r="B369" s="5"/>
      <c r="H369" s="16"/>
    </row>
    <row r="370" spans="2:8">
      <c r="B370" s="5"/>
      <c r="H370" s="16"/>
    </row>
    <row r="371" spans="2:8">
      <c r="B371" s="5"/>
      <c r="H371" s="16"/>
    </row>
    <row r="372" spans="2:8">
      <c r="B372" s="5"/>
      <c r="H372" s="16"/>
    </row>
    <row r="373" spans="2:8">
      <c r="B373" s="5"/>
      <c r="H373" s="16"/>
    </row>
    <row r="374" spans="2:8">
      <c r="B374" s="5"/>
      <c r="H374" s="16"/>
    </row>
    <row r="375" spans="2:8">
      <c r="B375" s="5"/>
      <c r="H375" s="16"/>
    </row>
    <row r="376" spans="2:8">
      <c r="B376" s="5"/>
      <c r="H376" s="16"/>
    </row>
    <row r="377" spans="2:8">
      <c r="B377" s="5"/>
      <c r="H377" s="16"/>
    </row>
    <row r="378" spans="2:8">
      <c r="B378" s="5"/>
      <c r="H378" s="16"/>
    </row>
    <row r="379" spans="2:8">
      <c r="B379" s="5"/>
      <c r="H379" s="16"/>
    </row>
    <row r="380" spans="2:8">
      <c r="B380" s="5"/>
      <c r="H380" s="16"/>
    </row>
    <row r="381" spans="2:8">
      <c r="B381" s="5"/>
      <c r="H381" s="16"/>
    </row>
    <row r="382" spans="2:8">
      <c r="B382" s="5"/>
      <c r="H382" s="16"/>
    </row>
    <row r="383" spans="2:8">
      <c r="B383" s="5"/>
      <c r="H383" s="16"/>
    </row>
    <row r="384" spans="2:8">
      <c r="B384" s="5"/>
      <c r="H384" s="16"/>
    </row>
    <row r="385" spans="2:8">
      <c r="B385" s="5"/>
      <c r="H385" s="16"/>
    </row>
    <row r="386" spans="2:8">
      <c r="B386" s="5"/>
      <c r="H386" s="16"/>
    </row>
    <row r="387" spans="2:8">
      <c r="B387" s="5"/>
      <c r="H387" s="16"/>
    </row>
    <row r="388" spans="2:8">
      <c r="B388" s="5"/>
      <c r="H388" s="16"/>
    </row>
    <row r="389" spans="2:8">
      <c r="B389" s="5"/>
      <c r="H389" s="16"/>
    </row>
    <row r="390" spans="2:8">
      <c r="B390" s="5"/>
      <c r="H390" s="16"/>
    </row>
    <row r="391" spans="2:8">
      <c r="B391" s="5"/>
      <c r="H391" s="16"/>
    </row>
    <row r="392" spans="2:8">
      <c r="B392" s="5"/>
      <c r="H392" s="16"/>
    </row>
    <row r="393" spans="2:8">
      <c r="B393" s="5"/>
      <c r="H393" s="16"/>
    </row>
    <row r="394" spans="2:8">
      <c r="B394" s="5"/>
      <c r="H394" s="16"/>
    </row>
    <row r="395" spans="2:8">
      <c r="B395" s="5"/>
      <c r="H395" s="16"/>
    </row>
    <row r="396" spans="2:8">
      <c r="B396" s="5"/>
      <c r="H396" s="16"/>
    </row>
    <row r="397" spans="2:8">
      <c r="B397" s="5"/>
      <c r="H397" s="16"/>
    </row>
    <row r="398" spans="2:8">
      <c r="B398" s="5"/>
      <c r="H398" s="16"/>
    </row>
    <row r="399" spans="2:8">
      <c r="B399" s="5"/>
      <c r="H399" s="16"/>
    </row>
    <row r="400" spans="2:8">
      <c r="B400" s="5"/>
      <c r="H400" s="16"/>
    </row>
    <row r="401" spans="2:8">
      <c r="B401" s="5"/>
      <c r="H401" s="16"/>
    </row>
    <row r="402" spans="2:8">
      <c r="B402" s="5"/>
      <c r="H402" s="16"/>
    </row>
    <row r="403" spans="2:8">
      <c r="B403" s="5"/>
      <c r="H403" s="16"/>
    </row>
    <row r="404" spans="2:8">
      <c r="B404" s="5"/>
      <c r="H404" s="16"/>
    </row>
    <row r="405" spans="2:8">
      <c r="B405" s="5"/>
      <c r="H405" s="16"/>
    </row>
    <row r="406" spans="2:8">
      <c r="B406" s="5"/>
      <c r="H406" s="16"/>
    </row>
    <row r="407" spans="2:8">
      <c r="B407" s="5"/>
      <c r="H407" s="16"/>
    </row>
    <row r="408" spans="2:8">
      <c r="B408" s="5"/>
      <c r="H408" s="16"/>
    </row>
    <row r="409" spans="2:8">
      <c r="B409" s="5"/>
      <c r="H409" s="16"/>
    </row>
    <row r="410" spans="2:8">
      <c r="B410" s="5"/>
      <c r="H410" s="16"/>
    </row>
    <row r="411" spans="2:8">
      <c r="B411" s="5"/>
      <c r="H411" s="16"/>
    </row>
    <row r="412" spans="2:8">
      <c r="B412" s="5"/>
      <c r="H412" s="16"/>
    </row>
    <row r="413" spans="2:8">
      <c r="B413" s="5"/>
      <c r="H413" s="16"/>
    </row>
    <row r="414" spans="2:8">
      <c r="B414" s="5"/>
      <c r="H414" s="16"/>
    </row>
    <row r="415" spans="2:8">
      <c r="B415" s="5"/>
      <c r="H415" s="16"/>
    </row>
    <row r="416" spans="2:8">
      <c r="B416" s="5"/>
      <c r="H416" s="16"/>
    </row>
    <row r="417" spans="2:8">
      <c r="B417" s="5"/>
      <c r="H417" s="16"/>
    </row>
    <row r="418" spans="2:8">
      <c r="B418" s="5"/>
      <c r="H418" s="16"/>
    </row>
    <row r="419" spans="2:8">
      <c r="B419" s="5"/>
      <c r="H419" s="16"/>
    </row>
    <row r="420" spans="2:8">
      <c r="B420" s="5"/>
      <c r="H420" s="16"/>
    </row>
    <row r="421" spans="2:8">
      <c r="B421" s="5"/>
      <c r="H421" s="16"/>
    </row>
    <row r="422" spans="2:8">
      <c r="B422" s="5"/>
      <c r="H422" s="16"/>
    </row>
    <row r="423" spans="2:8">
      <c r="B423" s="5"/>
      <c r="H423" s="16"/>
    </row>
    <row r="424" spans="2:8">
      <c r="B424" s="5"/>
      <c r="H424" s="16"/>
    </row>
    <row r="425" spans="2:8">
      <c r="B425" s="5"/>
      <c r="H425" s="16"/>
    </row>
    <row r="426" spans="2:8">
      <c r="B426" s="5"/>
      <c r="H426" s="16"/>
    </row>
    <row r="427" spans="2:8">
      <c r="B427" s="5"/>
      <c r="H427" s="16"/>
    </row>
    <row r="428" spans="2:8">
      <c r="B428" s="5"/>
      <c r="H428" s="16"/>
    </row>
    <row r="429" spans="2:8">
      <c r="B429" s="5"/>
      <c r="H429" s="16"/>
    </row>
    <row r="430" spans="2:8">
      <c r="B430" s="5"/>
      <c r="H430" s="16"/>
    </row>
    <row r="431" spans="2:8">
      <c r="B431" s="5"/>
      <c r="H431" s="16"/>
    </row>
    <row r="432" spans="2:8">
      <c r="B432" s="5"/>
      <c r="H432" s="16"/>
    </row>
    <row r="433" spans="2:8">
      <c r="B433" s="5"/>
      <c r="H433" s="16"/>
    </row>
    <row r="434" spans="2:8">
      <c r="B434" s="5"/>
      <c r="H434" s="16"/>
    </row>
    <row r="435" spans="2:8">
      <c r="B435" s="5"/>
      <c r="H435" s="16"/>
    </row>
    <row r="436" spans="2:8">
      <c r="B436" s="5"/>
      <c r="H436" s="16"/>
    </row>
    <row r="437" spans="2:8">
      <c r="B437" s="5"/>
      <c r="H437" s="16"/>
    </row>
    <row r="438" spans="2:8">
      <c r="B438" s="5"/>
      <c r="H438" s="16"/>
    </row>
    <row r="439" spans="2:8">
      <c r="B439" s="5"/>
      <c r="H439" s="16"/>
    </row>
    <row r="440" spans="2:8">
      <c r="B440" s="5"/>
      <c r="H440" s="16"/>
    </row>
    <row r="441" spans="2:8">
      <c r="B441" s="5"/>
      <c r="H441" s="16"/>
    </row>
    <row r="442" spans="2:8">
      <c r="B442" s="5"/>
      <c r="H442" s="16"/>
    </row>
    <row r="443" spans="2:8">
      <c r="B443" s="5"/>
      <c r="H443" s="16"/>
    </row>
    <row r="444" spans="2:8">
      <c r="B444" s="5"/>
      <c r="H444" s="16"/>
    </row>
    <row r="445" spans="2:8">
      <c r="B445" s="5"/>
      <c r="H445" s="16"/>
    </row>
    <row r="446" spans="2:8">
      <c r="B446" s="5"/>
      <c r="H446" s="16"/>
    </row>
    <row r="447" spans="2:8">
      <c r="B447" s="5"/>
      <c r="H447" s="16"/>
    </row>
    <row r="448" spans="2:8">
      <c r="B448" s="5"/>
      <c r="H448" s="16"/>
    </row>
    <row r="449" spans="2:8">
      <c r="B449" s="5"/>
      <c r="H449" s="16"/>
    </row>
    <row r="450" spans="2:8">
      <c r="B450" s="5"/>
      <c r="H450" s="16"/>
    </row>
    <row r="451" spans="2:8">
      <c r="B451" s="5"/>
      <c r="H451" s="16"/>
    </row>
    <row r="452" spans="2:8">
      <c r="B452" s="5"/>
      <c r="H452" s="16"/>
    </row>
    <row r="453" spans="2:8">
      <c r="B453" s="5"/>
      <c r="H453" s="16"/>
    </row>
    <row r="454" spans="2:8">
      <c r="B454" s="5"/>
      <c r="H454" s="16"/>
    </row>
    <row r="455" spans="2:8">
      <c r="B455" s="5"/>
      <c r="H455" s="16"/>
    </row>
    <row r="456" spans="2:8">
      <c r="B456" s="5"/>
      <c r="H456" s="16"/>
    </row>
    <row r="457" spans="2:8">
      <c r="B457" s="5"/>
      <c r="H457" s="16"/>
    </row>
    <row r="458" spans="2:8">
      <c r="B458" s="5"/>
      <c r="H458" s="16"/>
    </row>
    <row r="459" spans="2:8">
      <c r="B459" s="5"/>
      <c r="H459" s="16"/>
    </row>
    <row r="460" spans="2:8">
      <c r="B460" s="5"/>
      <c r="H460" s="16"/>
    </row>
    <row r="461" spans="2:8">
      <c r="B461" s="5"/>
      <c r="H461" s="16"/>
    </row>
    <row r="462" spans="2:8">
      <c r="B462" s="5"/>
      <c r="H462" s="16"/>
    </row>
    <row r="463" spans="2:8">
      <c r="B463" s="5"/>
      <c r="H463" s="16"/>
    </row>
    <row r="464" spans="2:8">
      <c r="B464" s="5"/>
      <c r="H464" s="16"/>
    </row>
    <row r="465" spans="2:8">
      <c r="B465" s="5"/>
      <c r="H465" s="16"/>
    </row>
    <row r="466" spans="2:8">
      <c r="B466" s="5"/>
      <c r="H466" s="16"/>
    </row>
    <row r="467" spans="2:8">
      <c r="B467" s="5"/>
      <c r="H467" s="16"/>
    </row>
    <row r="468" spans="2:8">
      <c r="B468" s="5"/>
      <c r="H468" s="16"/>
    </row>
    <row r="469" spans="2:8">
      <c r="B469" s="5"/>
      <c r="H469" s="16"/>
    </row>
    <row r="470" spans="2:8">
      <c r="B470" s="5"/>
      <c r="H470" s="16"/>
    </row>
    <row r="471" spans="2:8">
      <c r="B471" s="5"/>
      <c r="H471" s="16"/>
    </row>
    <row r="472" spans="2:8">
      <c r="B472" s="5"/>
      <c r="H472" s="16"/>
    </row>
    <row r="473" spans="2:8">
      <c r="B473" s="5"/>
      <c r="H473" s="16"/>
    </row>
    <row r="474" spans="2:8">
      <c r="B474" s="5"/>
      <c r="H474" s="16"/>
    </row>
    <row r="475" spans="2:8">
      <c r="B475" s="5"/>
      <c r="H475" s="16"/>
    </row>
    <row r="476" spans="2:8">
      <c r="B476" s="5"/>
      <c r="H476" s="16"/>
    </row>
    <row r="477" spans="2:8">
      <c r="B477" s="5"/>
      <c r="H477" s="16"/>
    </row>
    <row r="478" spans="2:8">
      <c r="B478" s="5"/>
      <c r="H478" s="16"/>
    </row>
    <row r="479" spans="2:8">
      <c r="B479" s="5"/>
      <c r="H479" s="16"/>
    </row>
    <row r="480" spans="2:8">
      <c r="B480" s="5"/>
      <c r="H480" s="16"/>
    </row>
    <row r="481" spans="2:8">
      <c r="B481" s="5"/>
      <c r="H481" s="16"/>
    </row>
    <row r="482" spans="2:8">
      <c r="B482" s="5"/>
      <c r="H482" s="16"/>
    </row>
    <row r="483" spans="2:8">
      <c r="B483" s="5"/>
      <c r="H483" s="16"/>
    </row>
    <row r="484" spans="2:8">
      <c r="B484" s="5"/>
      <c r="H484" s="16"/>
    </row>
    <row r="485" spans="2:8">
      <c r="B485" s="5"/>
      <c r="H485" s="16"/>
    </row>
    <row r="486" spans="2:8">
      <c r="B486" s="5"/>
      <c r="H486" s="16"/>
    </row>
    <row r="487" spans="2:8">
      <c r="B487" s="5"/>
      <c r="H487" s="16"/>
    </row>
    <row r="488" spans="2:8">
      <c r="B488" s="5"/>
      <c r="H488" s="16"/>
    </row>
    <row r="489" spans="2:8">
      <c r="B489" s="5"/>
      <c r="H489" s="16"/>
    </row>
    <row r="490" spans="2:8">
      <c r="B490" s="5"/>
      <c r="H490" s="16"/>
    </row>
    <row r="491" spans="2:8">
      <c r="B491" s="5"/>
      <c r="H491" s="16"/>
    </row>
    <row r="492" spans="2:8">
      <c r="B492" s="5"/>
      <c r="H492" s="16"/>
    </row>
    <row r="493" spans="2:8">
      <c r="B493" s="5"/>
      <c r="H493" s="16"/>
    </row>
    <row r="494" spans="2:8">
      <c r="B494" s="5"/>
      <c r="H494" s="16"/>
    </row>
    <row r="495" spans="2:8">
      <c r="B495" s="5"/>
      <c r="H495" s="16"/>
    </row>
    <row r="496" spans="2:8">
      <c r="B496" s="5"/>
      <c r="H496" s="16"/>
    </row>
    <row r="497" spans="2:8">
      <c r="B497" s="5"/>
      <c r="H497" s="16"/>
    </row>
    <row r="498" spans="2:8">
      <c r="B498" s="5"/>
      <c r="H498" s="16"/>
    </row>
    <row r="499" spans="2:8">
      <c r="B499" s="5"/>
      <c r="H499" s="16"/>
    </row>
    <row r="500" spans="2:8">
      <c r="B500" s="5"/>
      <c r="H500" s="16"/>
    </row>
    <row r="501" spans="2:8">
      <c r="B501" s="5"/>
      <c r="H501" s="16"/>
    </row>
    <row r="502" spans="2:8">
      <c r="B502" s="5"/>
      <c r="H502" s="16"/>
    </row>
    <row r="503" spans="2:8">
      <c r="B503" s="5"/>
      <c r="H503" s="16"/>
    </row>
    <row r="504" spans="2:8">
      <c r="B504" s="5"/>
      <c r="H504" s="16"/>
    </row>
    <row r="505" spans="2:8">
      <c r="B505" s="5"/>
      <c r="H505" s="16"/>
    </row>
    <row r="506" spans="2:8">
      <c r="B506" s="5"/>
      <c r="H506" s="16"/>
    </row>
    <row r="507" spans="2:8">
      <c r="B507" s="5"/>
      <c r="H507" s="16"/>
    </row>
    <row r="508" spans="2:8">
      <c r="B508" s="5"/>
      <c r="H508" s="16"/>
    </row>
    <row r="509" spans="2:8">
      <c r="B509" s="5"/>
      <c r="H509" s="16"/>
    </row>
    <row r="510" spans="2:8">
      <c r="B510" s="5"/>
      <c r="H510" s="16"/>
    </row>
    <row r="511" spans="2:8">
      <c r="B511" s="5"/>
      <c r="H511" s="16"/>
    </row>
    <row r="512" spans="2:8">
      <c r="B512" s="5"/>
      <c r="H512" s="16"/>
    </row>
    <row r="513" spans="2:8">
      <c r="B513" s="5"/>
      <c r="H513" s="16"/>
    </row>
    <row r="514" spans="2:8">
      <c r="B514" s="5"/>
      <c r="H514" s="16"/>
    </row>
    <row r="515" spans="2:8">
      <c r="B515" s="5"/>
      <c r="H515" s="16"/>
    </row>
    <row r="516" spans="2:8">
      <c r="B516" s="5"/>
      <c r="H516" s="16"/>
    </row>
    <row r="517" spans="2:8">
      <c r="B517" s="5"/>
      <c r="H517" s="16"/>
    </row>
    <row r="518" spans="2:8">
      <c r="B518" s="5"/>
      <c r="H518" s="16"/>
    </row>
    <row r="519" spans="2:8">
      <c r="B519" s="5"/>
      <c r="H519" s="16"/>
    </row>
    <row r="520" spans="2:8">
      <c r="B520" s="5"/>
      <c r="H520" s="16"/>
    </row>
    <row r="521" spans="2:8">
      <c r="B521" s="5"/>
      <c r="H521" s="16"/>
    </row>
    <row r="522" spans="2:8">
      <c r="B522" s="5"/>
      <c r="H522" s="16"/>
    </row>
    <row r="523" spans="2:8">
      <c r="B523" s="5"/>
      <c r="H523" s="16"/>
    </row>
    <row r="524" spans="2:8">
      <c r="B524" s="5"/>
      <c r="H524" s="16"/>
    </row>
    <row r="525" spans="2:8">
      <c r="B525" s="5"/>
      <c r="H525" s="16"/>
    </row>
    <row r="526" spans="2:8">
      <c r="B526" s="5"/>
      <c r="H526" s="16"/>
    </row>
    <row r="527" spans="2:8">
      <c r="B527" s="5"/>
      <c r="H527" s="16"/>
    </row>
    <row r="528" spans="2:8">
      <c r="B528" s="5"/>
      <c r="H528" s="16"/>
    </row>
    <row r="529" spans="2:8">
      <c r="B529" s="5"/>
      <c r="H529" s="16"/>
    </row>
    <row r="530" spans="2:8">
      <c r="B530" s="5"/>
      <c r="H530" s="16"/>
    </row>
    <row r="531" spans="2:8">
      <c r="B531" s="5"/>
      <c r="H531" s="16"/>
    </row>
    <row r="532" spans="2:8">
      <c r="B532" s="5"/>
      <c r="H532" s="16"/>
    </row>
    <row r="533" spans="2:8">
      <c r="B533" s="5"/>
      <c r="H533" s="16"/>
    </row>
    <row r="534" spans="2:8">
      <c r="B534" s="5"/>
      <c r="H534" s="16"/>
    </row>
    <row r="535" spans="2:8">
      <c r="B535" s="5"/>
      <c r="H535" s="16"/>
    </row>
    <row r="536" spans="2:8">
      <c r="B536" s="5"/>
      <c r="H536" s="16"/>
    </row>
    <row r="537" spans="2:8">
      <c r="B537" s="5"/>
      <c r="H537" s="16"/>
    </row>
    <row r="538" spans="2:8">
      <c r="B538" s="5"/>
      <c r="H538" s="16"/>
    </row>
    <row r="539" spans="2:8">
      <c r="B539" s="5"/>
      <c r="H539" s="16"/>
    </row>
    <row r="540" spans="2:8">
      <c r="B540" s="5"/>
      <c r="H540" s="16"/>
    </row>
    <row r="541" spans="2:8">
      <c r="B541" s="5"/>
      <c r="H541" s="16"/>
    </row>
    <row r="542" spans="2:8">
      <c r="B542" s="5"/>
      <c r="H542" s="16"/>
    </row>
    <row r="543" spans="2:8">
      <c r="B543" s="5"/>
      <c r="H543" s="16"/>
    </row>
    <row r="544" spans="2:8">
      <c r="B544" s="5"/>
      <c r="H544" s="16"/>
    </row>
    <row r="545" spans="2:8">
      <c r="B545" s="5"/>
      <c r="H545" s="16"/>
    </row>
    <row r="546" spans="2:8">
      <c r="B546" s="5"/>
      <c r="H546" s="16"/>
    </row>
    <row r="547" spans="2:8">
      <c r="B547" s="5"/>
      <c r="H547" s="16"/>
    </row>
    <row r="548" spans="2:8">
      <c r="B548" s="5"/>
      <c r="H548" s="16"/>
    </row>
    <row r="549" spans="2:8">
      <c r="B549" s="5"/>
      <c r="H549" s="16"/>
    </row>
    <row r="550" spans="2:8">
      <c r="B550" s="5"/>
      <c r="H550" s="16"/>
    </row>
    <row r="551" spans="2:8">
      <c r="B551" s="5"/>
      <c r="H551" s="16"/>
    </row>
    <row r="552" spans="2:8">
      <c r="B552" s="5"/>
      <c r="H552" s="16"/>
    </row>
    <row r="553" spans="2:8">
      <c r="B553" s="5"/>
      <c r="H553" s="16"/>
    </row>
    <row r="554" spans="2:8">
      <c r="B554" s="5"/>
      <c r="H554" s="16"/>
    </row>
    <row r="555" spans="2:8">
      <c r="B555" s="5"/>
      <c r="H555" s="16"/>
    </row>
    <row r="556" spans="2:8">
      <c r="B556" s="5"/>
      <c r="H556" s="16"/>
    </row>
    <row r="557" spans="2:8">
      <c r="B557" s="5"/>
      <c r="H557" s="16"/>
    </row>
    <row r="558" spans="2:8">
      <c r="B558" s="5"/>
      <c r="H558" s="16"/>
    </row>
    <row r="559" spans="2:8">
      <c r="B559" s="5"/>
      <c r="H559" s="16"/>
    </row>
    <row r="560" spans="2:8">
      <c r="B560" s="5"/>
      <c r="H560" s="16"/>
    </row>
    <row r="561" spans="2:8">
      <c r="B561" s="5"/>
      <c r="H561" s="16"/>
    </row>
    <row r="562" spans="2:8">
      <c r="B562" s="5"/>
      <c r="H562" s="16"/>
    </row>
    <row r="563" spans="2:8">
      <c r="B563" s="5"/>
      <c r="H563" s="16"/>
    </row>
    <row r="564" spans="2:8">
      <c r="B564" s="5"/>
      <c r="H564" s="16"/>
    </row>
    <row r="565" spans="2:8">
      <c r="B565" s="5"/>
      <c r="H565" s="16"/>
    </row>
    <row r="566" spans="2:8">
      <c r="B566" s="5"/>
      <c r="H566" s="16"/>
    </row>
    <row r="567" spans="2:8">
      <c r="B567" s="5"/>
      <c r="H567" s="16"/>
    </row>
    <row r="568" spans="2:8">
      <c r="B568" s="5"/>
      <c r="H568" s="16"/>
    </row>
    <row r="569" spans="2:8">
      <c r="B569" s="5"/>
      <c r="H569" s="16"/>
    </row>
    <row r="570" spans="2:8">
      <c r="B570" s="5"/>
      <c r="H570" s="16"/>
    </row>
    <row r="571" spans="2:8">
      <c r="B571" s="5"/>
      <c r="H571" s="16"/>
    </row>
    <row r="572" spans="2:8">
      <c r="B572" s="5"/>
      <c r="H572" s="16"/>
    </row>
    <row r="573" spans="2:8">
      <c r="B573" s="5"/>
      <c r="H573" s="16"/>
    </row>
    <row r="574" spans="2:8">
      <c r="B574" s="5"/>
      <c r="H574" s="16"/>
    </row>
    <row r="575" spans="2:8">
      <c r="B575" s="5"/>
      <c r="H575" s="16"/>
    </row>
    <row r="576" spans="2:8">
      <c r="B576" s="5"/>
      <c r="H576" s="16"/>
    </row>
    <row r="577" spans="2:8">
      <c r="B577" s="5"/>
      <c r="H577" s="16"/>
    </row>
    <row r="578" spans="2:8">
      <c r="B578" s="5"/>
      <c r="H578" s="16"/>
    </row>
    <row r="579" spans="2:8">
      <c r="B579" s="5"/>
      <c r="H579" s="16"/>
    </row>
    <row r="580" spans="2:8">
      <c r="B580" s="5"/>
      <c r="H580" s="16"/>
    </row>
    <row r="581" spans="2:8">
      <c r="B581" s="5"/>
      <c r="H581" s="16"/>
    </row>
    <row r="582" spans="2:8">
      <c r="B582" s="5"/>
      <c r="H582" s="16"/>
    </row>
    <row r="583" spans="2:8">
      <c r="B583" s="5"/>
      <c r="H583" s="16"/>
    </row>
    <row r="584" spans="2:8">
      <c r="B584" s="5"/>
      <c r="H584" s="16"/>
    </row>
    <row r="585" spans="2:8">
      <c r="B585" s="5"/>
      <c r="H585" s="16"/>
    </row>
    <row r="586" spans="2:8">
      <c r="B586" s="5"/>
      <c r="H586" s="16"/>
    </row>
    <row r="587" spans="2:8">
      <c r="B587" s="5"/>
      <c r="H587" s="16"/>
    </row>
    <row r="588" spans="2:8">
      <c r="B588" s="5"/>
      <c r="H588" s="16"/>
    </row>
    <row r="589" spans="2:8">
      <c r="B589" s="5"/>
      <c r="H589" s="16"/>
    </row>
    <row r="590" spans="2:8">
      <c r="B590" s="5"/>
      <c r="H590" s="16"/>
    </row>
    <row r="591" spans="2:8">
      <c r="B591" s="5"/>
      <c r="H591" s="16"/>
    </row>
    <row r="592" spans="2:8">
      <c r="B592" s="5"/>
      <c r="H592" s="16"/>
    </row>
    <row r="593" spans="2:8">
      <c r="B593" s="5"/>
      <c r="H593" s="16"/>
    </row>
    <row r="594" spans="2:8">
      <c r="B594" s="5"/>
      <c r="H594" s="16"/>
    </row>
    <row r="595" spans="2:8">
      <c r="B595" s="5"/>
      <c r="H595" s="16"/>
    </row>
    <row r="596" spans="2:8">
      <c r="B596" s="5"/>
      <c r="H596" s="16"/>
    </row>
    <row r="597" spans="2:8">
      <c r="B597" s="5"/>
      <c r="H597" s="16"/>
    </row>
    <row r="598" spans="2:8">
      <c r="B598" s="5"/>
      <c r="H598" s="16"/>
    </row>
    <row r="599" spans="2:8">
      <c r="B599" s="5"/>
      <c r="H599" s="16"/>
    </row>
    <row r="600" spans="2:8">
      <c r="B600" s="5"/>
      <c r="H600" s="16"/>
    </row>
    <row r="601" spans="2:8">
      <c r="B601" s="5"/>
      <c r="H601" s="16"/>
    </row>
    <row r="602" spans="2:8">
      <c r="B602" s="5"/>
      <c r="H602" s="16"/>
    </row>
    <row r="603" spans="2:8">
      <c r="B603" s="5"/>
      <c r="H603" s="16"/>
    </row>
    <row r="604" spans="2:8">
      <c r="B604" s="5"/>
      <c r="H604" s="16"/>
    </row>
    <row r="605" spans="2:8">
      <c r="B605" s="5"/>
      <c r="H605" s="16"/>
    </row>
    <row r="606" spans="2:8">
      <c r="B606" s="5"/>
      <c r="H606" s="16"/>
    </row>
    <row r="607" spans="2:8">
      <c r="B607" s="5"/>
      <c r="H607" s="16"/>
    </row>
    <row r="608" spans="2:8">
      <c r="B608" s="5"/>
      <c r="H608" s="16"/>
    </row>
    <row r="609" spans="2:8">
      <c r="B609" s="5"/>
      <c r="H609" s="16"/>
    </row>
    <row r="610" spans="2:8">
      <c r="B610" s="5"/>
      <c r="H610" s="16"/>
    </row>
    <row r="611" spans="2:8">
      <c r="B611" s="5"/>
      <c r="H611" s="16"/>
    </row>
    <row r="612" spans="2:8">
      <c r="B612" s="5"/>
      <c r="H612" s="16"/>
    </row>
    <row r="613" spans="2:8">
      <c r="B613" s="5"/>
      <c r="H613" s="16"/>
    </row>
    <row r="614" spans="2:8">
      <c r="B614" s="5"/>
      <c r="H614" s="16"/>
    </row>
    <row r="615" spans="2:8">
      <c r="B615" s="5"/>
      <c r="H615" s="16"/>
    </row>
    <row r="616" spans="2:8">
      <c r="B616" s="5"/>
      <c r="H616" s="16"/>
    </row>
    <row r="617" spans="2:8">
      <c r="B617" s="5"/>
      <c r="H617" s="16"/>
    </row>
    <row r="618" spans="2:8">
      <c r="B618" s="5"/>
      <c r="H618" s="16"/>
    </row>
    <row r="619" spans="2:8">
      <c r="B619" s="5"/>
      <c r="H619" s="16"/>
    </row>
    <row r="620" spans="2:8">
      <c r="B620" s="5"/>
      <c r="H620" s="16"/>
    </row>
    <row r="621" spans="2:8">
      <c r="B621" s="5"/>
      <c r="H621" s="16"/>
    </row>
    <row r="622" spans="2:8">
      <c r="B622" s="5"/>
      <c r="H622" s="16"/>
    </row>
    <row r="623" spans="2:8">
      <c r="B623" s="5"/>
      <c r="H623" s="16"/>
    </row>
    <row r="624" spans="2:8">
      <c r="B624" s="5"/>
      <c r="H624" s="16"/>
    </row>
    <row r="625" spans="2:8">
      <c r="B625" s="5"/>
      <c r="H625" s="16"/>
    </row>
    <row r="626" spans="2:8">
      <c r="B626" s="5"/>
      <c r="H626" s="16"/>
    </row>
    <row r="627" spans="2:8">
      <c r="B627" s="5"/>
      <c r="H627" s="16"/>
    </row>
    <row r="628" spans="2:8">
      <c r="B628" s="5"/>
      <c r="H628" s="16"/>
    </row>
    <row r="629" spans="2:8">
      <c r="B629" s="5"/>
      <c r="H629" s="16"/>
    </row>
    <row r="630" spans="2:8">
      <c r="B630" s="5"/>
      <c r="H630" s="16"/>
    </row>
    <row r="631" spans="2:8">
      <c r="B631" s="5"/>
      <c r="H631" s="16"/>
    </row>
    <row r="632" spans="2:8">
      <c r="B632" s="5"/>
      <c r="H632" s="16"/>
    </row>
    <row r="633" spans="2:8">
      <c r="B633" s="5"/>
      <c r="H633" s="16"/>
    </row>
    <row r="634" spans="2:8">
      <c r="B634" s="5"/>
      <c r="H634" s="16"/>
    </row>
    <row r="635" spans="2:8">
      <c r="B635" s="5"/>
      <c r="H635" s="16"/>
    </row>
    <row r="636" spans="2:8">
      <c r="B636" s="5"/>
      <c r="H636" s="16"/>
    </row>
    <row r="637" spans="2:8">
      <c r="B637" s="5"/>
      <c r="H637" s="16"/>
    </row>
    <row r="638" spans="2:8">
      <c r="B638" s="5"/>
      <c r="H638" s="16"/>
    </row>
    <row r="639" spans="2:8">
      <c r="B639" s="5"/>
      <c r="H639" s="16"/>
    </row>
    <row r="640" spans="2:8">
      <c r="B640" s="5"/>
      <c r="H640" s="16"/>
    </row>
    <row r="641" spans="2:8">
      <c r="B641" s="5"/>
      <c r="H641" s="16"/>
    </row>
    <row r="642" spans="2:8">
      <c r="B642" s="5"/>
      <c r="H642" s="16"/>
    </row>
    <row r="643" spans="2:8">
      <c r="B643" s="5"/>
      <c r="H643" s="16"/>
    </row>
    <row r="644" spans="2:8">
      <c r="B644" s="5"/>
      <c r="H644" s="16"/>
    </row>
    <row r="645" spans="2:8">
      <c r="B645" s="5"/>
      <c r="H645" s="16"/>
    </row>
    <row r="646" spans="2:8">
      <c r="B646" s="5"/>
      <c r="H646" s="16"/>
    </row>
    <row r="647" spans="2:8">
      <c r="B647" s="5"/>
      <c r="H647" s="16"/>
    </row>
    <row r="648" spans="2:8">
      <c r="B648" s="5"/>
      <c r="H648" s="16"/>
    </row>
    <row r="649" spans="2:8">
      <c r="B649" s="5"/>
      <c r="H649" s="16"/>
    </row>
    <row r="650" spans="2:8">
      <c r="B650" s="5"/>
      <c r="H650" s="16"/>
    </row>
    <row r="651" spans="2:8">
      <c r="B651" s="5"/>
      <c r="H651" s="16"/>
    </row>
    <row r="652" spans="2:8">
      <c r="B652" s="5"/>
      <c r="H652" s="16"/>
    </row>
    <row r="653" spans="2:8">
      <c r="B653" s="5"/>
      <c r="H653" s="16"/>
    </row>
    <row r="654" spans="2:8">
      <c r="B654" s="5"/>
      <c r="H654" s="16"/>
    </row>
    <row r="655" spans="2:8">
      <c r="B655" s="5"/>
      <c r="H655" s="16"/>
    </row>
    <row r="656" spans="2:8">
      <c r="B656" s="5"/>
      <c r="H656" s="16"/>
    </row>
    <row r="657" spans="2:8">
      <c r="B657" s="5"/>
      <c r="H657" s="16"/>
    </row>
    <row r="658" spans="2:8">
      <c r="B658" s="5"/>
      <c r="H658" s="16"/>
    </row>
    <row r="659" spans="2:8">
      <c r="B659" s="5"/>
      <c r="H659" s="16"/>
    </row>
    <row r="660" spans="2:8">
      <c r="B660" s="5"/>
      <c r="H660" s="16"/>
    </row>
    <row r="661" spans="2:8">
      <c r="B661" s="5"/>
      <c r="H661" s="16"/>
    </row>
    <row r="662" spans="2:8">
      <c r="B662" s="5"/>
      <c r="H662" s="16"/>
    </row>
    <row r="663" spans="2:8">
      <c r="B663" s="5"/>
      <c r="H663" s="16"/>
    </row>
    <row r="664" spans="2:8">
      <c r="B664" s="5"/>
      <c r="H664" s="16"/>
    </row>
    <row r="665" spans="2:8">
      <c r="B665" s="5"/>
      <c r="H665" s="16"/>
    </row>
    <row r="666" spans="2:8">
      <c r="B666" s="5"/>
      <c r="H666" s="16"/>
    </row>
    <row r="667" spans="2:8">
      <c r="B667" s="5"/>
      <c r="H667" s="16"/>
    </row>
    <row r="668" spans="2:8">
      <c r="B668" s="5"/>
      <c r="H668" s="16"/>
    </row>
    <row r="669" spans="2:8">
      <c r="B669" s="5"/>
      <c r="H669" s="16"/>
    </row>
    <row r="670" spans="2:8">
      <c r="B670" s="5"/>
      <c r="H670" s="16"/>
    </row>
    <row r="671" spans="2:8">
      <c r="B671" s="5"/>
      <c r="H671" s="16"/>
    </row>
    <row r="672" spans="2:8">
      <c r="B672" s="5"/>
      <c r="H672" s="16"/>
    </row>
    <row r="673" spans="2:8">
      <c r="B673" s="5"/>
      <c r="H673" s="16"/>
    </row>
    <row r="674" spans="2:8">
      <c r="B674" s="5"/>
      <c r="H674" s="16"/>
    </row>
    <row r="675" spans="2:8">
      <c r="B675" s="5"/>
      <c r="H675" s="16"/>
    </row>
    <row r="676" spans="2:8">
      <c r="B676" s="5"/>
      <c r="H676" s="16"/>
    </row>
    <row r="677" spans="2:8">
      <c r="B677" s="5"/>
      <c r="H677" s="16"/>
    </row>
    <row r="678" spans="2:8">
      <c r="B678" s="5"/>
      <c r="H678" s="16"/>
    </row>
    <row r="679" spans="2:8">
      <c r="B679" s="5"/>
      <c r="H679" s="16"/>
    </row>
    <row r="680" spans="2:8">
      <c r="B680" s="5"/>
      <c r="H680" s="16"/>
    </row>
    <row r="681" spans="2:8">
      <c r="B681" s="5"/>
      <c r="H681" s="16"/>
    </row>
    <row r="682" spans="2:8">
      <c r="B682" s="5"/>
      <c r="H682" s="16"/>
    </row>
    <row r="683" spans="2:8">
      <c r="B683" s="5"/>
      <c r="H683" s="16"/>
    </row>
    <row r="684" spans="2:8">
      <c r="B684" s="5"/>
      <c r="H684" s="16"/>
    </row>
    <row r="685" spans="2:8">
      <c r="B685" s="5"/>
      <c r="H685" s="16"/>
    </row>
    <row r="686" spans="2:8">
      <c r="B686" s="5"/>
      <c r="H686" s="16"/>
    </row>
    <row r="687" spans="2:8">
      <c r="B687" s="5"/>
      <c r="H687" s="16"/>
    </row>
    <row r="688" spans="2:8">
      <c r="B688" s="5"/>
      <c r="H688" s="16"/>
    </row>
    <row r="689" spans="2:8">
      <c r="B689" s="5"/>
      <c r="H689" s="16"/>
    </row>
    <row r="690" spans="2:8">
      <c r="B690" s="5"/>
      <c r="H690" s="16"/>
    </row>
    <row r="691" spans="2:8">
      <c r="B691" s="5"/>
      <c r="H691" s="16"/>
    </row>
    <row r="692" spans="2:8">
      <c r="B692" s="5"/>
      <c r="H692" s="16"/>
    </row>
    <row r="693" spans="2:8">
      <c r="B693" s="5"/>
      <c r="H693" s="16"/>
    </row>
    <row r="694" spans="2:8">
      <c r="B694" s="5"/>
      <c r="H694" s="16"/>
    </row>
    <row r="695" spans="2:8">
      <c r="B695" s="5"/>
      <c r="H695" s="16"/>
    </row>
    <row r="696" spans="2:8">
      <c r="B696" s="5"/>
      <c r="H696" s="16"/>
    </row>
    <row r="697" spans="2:8">
      <c r="B697" s="5"/>
      <c r="H697" s="16"/>
    </row>
    <row r="698" spans="2:8">
      <c r="B698" s="5"/>
      <c r="H698" s="16"/>
    </row>
    <row r="699" spans="2:8">
      <c r="B699" s="5"/>
      <c r="H699" s="16"/>
    </row>
    <row r="700" spans="2:8">
      <c r="B700" s="5"/>
      <c r="H700" s="16"/>
    </row>
    <row r="701" spans="2:8">
      <c r="B701" s="5"/>
      <c r="H701" s="16"/>
    </row>
    <row r="702" spans="2:8">
      <c r="B702" s="5"/>
      <c r="H702" s="16"/>
    </row>
    <row r="703" spans="2:8">
      <c r="B703" s="5"/>
      <c r="H703" s="16"/>
    </row>
    <row r="704" spans="2:8">
      <c r="B704" s="5"/>
      <c r="H704" s="16"/>
    </row>
    <row r="705" spans="2:8">
      <c r="B705" s="5"/>
      <c r="H705" s="16"/>
    </row>
    <row r="706" spans="2:8">
      <c r="B706" s="5"/>
      <c r="H706" s="16"/>
    </row>
    <row r="707" spans="2:8">
      <c r="B707" s="5"/>
      <c r="H707" s="16"/>
    </row>
    <row r="708" spans="2:8">
      <c r="B708" s="5"/>
      <c r="H708" s="16"/>
    </row>
    <row r="709" spans="2:8">
      <c r="B709" s="5"/>
      <c r="H709" s="16"/>
    </row>
    <row r="710" spans="2:8">
      <c r="B710" s="5"/>
      <c r="H710" s="16"/>
    </row>
    <row r="711" spans="2:8">
      <c r="B711" s="5"/>
      <c r="H711" s="16"/>
    </row>
    <row r="712" spans="2:8">
      <c r="B712" s="5"/>
      <c r="H712" s="16"/>
    </row>
    <row r="713" spans="2:8">
      <c r="B713" s="5"/>
      <c r="H713" s="16"/>
    </row>
    <row r="714" spans="2:8">
      <c r="B714" s="5"/>
      <c r="H714" s="16"/>
    </row>
    <row r="715" spans="2:8">
      <c r="B715" s="5"/>
      <c r="H715" s="16"/>
    </row>
    <row r="716" spans="2:8">
      <c r="B716" s="5"/>
      <c r="H716" s="16"/>
    </row>
    <row r="717" spans="2:8">
      <c r="B717" s="5"/>
      <c r="H717" s="16"/>
    </row>
    <row r="718" spans="2:8">
      <c r="B718" s="5"/>
      <c r="H718" s="16"/>
    </row>
    <row r="719" spans="2:8">
      <c r="B719" s="5"/>
      <c r="H719" s="16"/>
    </row>
    <row r="720" spans="2:8">
      <c r="B720" s="5"/>
      <c r="H720" s="16"/>
    </row>
    <row r="721" spans="2:8">
      <c r="B721" s="5"/>
      <c r="H721" s="16"/>
    </row>
    <row r="722" spans="2:8">
      <c r="B722" s="5"/>
      <c r="H722" s="16"/>
    </row>
    <row r="723" spans="2:8">
      <c r="B723" s="5"/>
      <c r="H723" s="16"/>
    </row>
    <row r="724" spans="2:8">
      <c r="B724" s="5"/>
      <c r="H724" s="16"/>
    </row>
    <row r="725" spans="2:8">
      <c r="B725" s="5"/>
      <c r="H725" s="16"/>
    </row>
    <row r="726" spans="2:8">
      <c r="B726" s="5"/>
      <c r="H726" s="16"/>
    </row>
    <row r="727" spans="2:8">
      <c r="B727" s="5"/>
      <c r="H727" s="16"/>
    </row>
    <row r="728" spans="2:8">
      <c r="B728" s="5"/>
      <c r="H728" s="16"/>
    </row>
    <row r="729" spans="2:8">
      <c r="B729" s="5"/>
      <c r="H729" s="16"/>
    </row>
    <row r="730" spans="2:8">
      <c r="B730" s="5"/>
      <c r="H730" s="16"/>
    </row>
    <row r="731" spans="2:8">
      <c r="B731" s="5"/>
      <c r="H731" s="16"/>
    </row>
    <row r="732" spans="2:8">
      <c r="B732" s="5"/>
      <c r="H732" s="16"/>
    </row>
    <row r="733" spans="2:8">
      <c r="B733" s="5"/>
      <c r="H733" s="16"/>
    </row>
    <row r="734" spans="2:8">
      <c r="B734" s="5"/>
      <c r="H734" s="16"/>
    </row>
    <row r="735" spans="2:8">
      <c r="B735" s="5"/>
      <c r="H735" s="16"/>
    </row>
    <row r="736" spans="2:8">
      <c r="B736" s="5"/>
      <c r="H736" s="16"/>
    </row>
    <row r="737" spans="2:8">
      <c r="B737" s="5"/>
      <c r="H737" s="16"/>
    </row>
    <row r="738" spans="2:8">
      <c r="B738" s="5"/>
      <c r="H738" s="16"/>
    </row>
    <row r="739" spans="2:8">
      <c r="B739" s="5"/>
      <c r="H739" s="16"/>
    </row>
    <row r="740" spans="2:8">
      <c r="B740" s="5"/>
      <c r="H740" s="16"/>
    </row>
    <row r="741" spans="2:8">
      <c r="B741" s="5"/>
      <c r="H741" s="16"/>
    </row>
    <row r="742" spans="2:8">
      <c r="B742" s="5"/>
      <c r="H742" s="16"/>
    </row>
    <row r="743" spans="2:8">
      <c r="B743" s="5"/>
      <c r="H743" s="16"/>
    </row>
    <row r="744" spans="2:8">
      <c r="B744" s="5"/>
      <c r="H744" s="16"/>
    </row>
    <row r="745" spans="2:8">
      <c r="B745" s="5"/>
      <c r="H745" s="16"/>
    </row>
    <row r="746" spans="2:8">
      <c r="B746" s="5"/>
      <c r="H746" s="16"/>
    </row>
    <row r="747" spans="2:8">
      <c r="B747" s="5"/>
      <c r="H747" s="16"/>
    </row>
    <row r="748" spans="2:8">
      <c r="B748" s="5"/>
      <c r="H748" s="16"/>
    </row>
    <row r="749" spans="2:8">
      <c r="B749" s="5"/>
      <c r="H749" s="16"/>
    </row>
    <row r="750" spans="2:8">
      <c r="B750" s="5"/>
      <c r="H750" s="16"/>
    </row>
    <row r="751" spans="2:8">
      <c r="B751" s="5"/>
      <c r="H751" s="16"/>
    </row>
    <row r="752" spans="2:8">
      <c r="B752" s="5"/>
      <c r="H752" s="16"/>
    </row>
    <row r="753" spans="2:8">
      <c r="B753" s="5"/>
      <c r="H753" s="16"/>
    </row>
    <row r="754" spans="2:8">
      <c r="B754" s="5"/>
      <c r="H754" s="16"/>
    </row>
    <row r="755" spans="2:8">
      <c r="B755" s="5"/>
      <c r="H755" s="16"/>
    </row>
    <row r="756" spans="2:8">
      <c r="B756" s="5"/>
      <c r="H756" s="16"/>
    </row>
    <row r="757" spans="2:8">
      <c r="B757" s="5"/>
      <c r="H757" s="16"/>
    </row>
    <row r="758" spans="2:8">
      <c r="B758" s="5"/>
      <c r="H758" s="16"/>
    </row>
    <row r="759" spans="2:8">
      <c r="B759" s="5"/>
      <c r="H759" s="16"/>
    </row>
    <row r="760" spans="2:8">
      <c r="B760" s="5"/>
      <c r="H760" s="16"/>
    </row>
    <row r="761" spans="2:8">
      <c r="B761" s="5"/>
      <c r="H761" s="16"/>
    </row>
    <row r="762" spans="2:8">
      <c r="B762" s="5"/>
      <c r="H762" s="16"/>
    </row>
    <row r="763" spans="2:8">
      <c r="B763" s="5"/>
      <c r="H763" s="16"/>
    </row>
    <row r="764" spans="2:8">
      <c r="B764" s="5"/>
      <c r="H764" s="16"/>
    </row>
    <row r="765" spans="2:8">
      <c r="B765" s="5"/>
      <c r="H765" s="16"/>
    </row>
    <row r="766" spans="2:8">
      <c r="B766" s="5"/>
      <c r="H766" s="16"/>
    </row>
    <row r="767" spans="2:8">
      <c r="B767" s="5"/>
      <c r="H767" s="16"/>
    </row>
    <row r="768" spans="2:8">
      <c r="B768" s="5"/>
      <c r="H768" s="16"/>
    </row>
    <row r="769" spans="2:8">
      <c r="B769" s="5"/>
      <c r="H769" s="16"/>
    </row>
    <row r="770" spans="2:8">
      <c r="B770" s="5"/>
      <c r="H770" s="16"/>
    </row>
    <row r="771" spans="2:8">
      <c r="B771" s="5"/>
      <c r="H771" s="16"/>
    </row>
    <row r="772" spans="2:8">
      <c r="B772" s="5"/>
      <c r="H772" s="16"/>
    </row>
    <row r="773" spans="2:8">
      <c r="B773" s="5"/>
      <c r="H773" s="16"/>
    </row>
    <row r="774" spans="2:8">
      <c r="B774" s="5"/>
      <c r="H774" s="16"/>
    </row>
    <row r="775" spans="2:8">
      <c r="B775" s="5"/>
      <c r="H775" s="16"/>
    </row>
    <row r="776" spans="2:8">
      <c r="B776" s="5"/>
      <c r="H776" s="16"/>
    </row>
    <row r="777" spans="2:8">
      <c r="B777" s="5"/>
      <c r="H777" s="16"/>
    </row>
    <row r="778" spans="2:8">
      <c r="B778" s="5"/>
      <c r="H778" s="16"/>
    </row>
    <row r="779" spans="2:8">
      <c r="B779" s="5"/>
      <c r="H779" s="16"/>
    </row>
    <row r="780" spans="2:8">
      <c r="B780" s="5"/>
      <c r="H780" s="16"/>
    </row>
    <row r="781" spans="2:8">
      <c r="B781" s="5"/>
      <c r="H781" s="16"/>
    </row>
    <row r="782" spans="2:8">
      <c r="B782" s="5"/>
      <c r="H782" s="16"/>
    </row>
    <row r="783" spans="2:8">
      <c r="B783" s="5"/>
      <c r="H783" s="16"/>
    </row>
    <row r="784" spans="2:8">
      <c r="B784" s="5"/>
      <c r="H784" s="16"/>
    </row>
    <row r="785" spans="2:8">
      <c r="B785" s="5"/>
      <c r="H785" s="16"/>
    </row>
    <row r="786" spans="2:8">
      <c r="B786" s="5"/>
      <c r="H786" s="16"/>
    </row>
    <row r="787" spans="2:8">
      <c r="B787" s="5"/>
      <c r="H787" s="16"/>
    </row>
    <row r="788" spans="2:8">
      <c r="B788" s="5"/>
      <c r="H788" s="16"/>
    </row>
    <row r="789" spans="2:8">
      <c r="B789" s="5"/>
      <c r="H789" s="16"/>
    </row>
    <row r="790" spans="2:8">
      <c r="B790" s="5"/>
      <c r="H790" s="16"/>
    </row>
    <row r="791" spans="2:8">
      <c r="B791" s="5"/>
      <c r="H791" s="16"/>
    </row>
    <row r="792" spans="2:8">
      <c r="B792" s="5"/>
      <c r="H792" s="16"/>
    </row>
    <row r="793" spans="2:8">
      <c r="B793" s="5"/>
      <c r="H793" s="16"/>
    </row>
    <row r="794" spans="2:8">
      <c r="B794" s="5"/>
      <c r="H794" s="16"/>
    </row>
    <row r="795" spans="2:8">
      <c r="B795" s="5"/>
      <c r="H795" s="16"/>
    </row>
    <row r="796" spans="2:8">
      <c r="B796" s="5"/>
      <c r="H796" s="16"/>
    </row>
    <row r="797" spans="2:8">
      <c r="B797" s="5"/>
      <c r="H797" s="16"/>
    </row>
    <row r="798" spans="2:8">
      <c r="B798" s="5"/>
      <c r="H798" s="16"/>
    </row>
    <row r="799" spans="2:8">
      <c r="B799" s="5"/>
      <c r="H799" s="16"/>
    </row>
    <row r="800" spans="2:8">
      <c r="B800" s="5"/>
      <c r="H800" s="16"/>
    </row>
    <row r="801" spans="2:8">
      <c r="B801" s="5"/>
      <c r="H801" s="16"/>
    </row>
    <row r="802" spans="2:8">
      <c r="B802" s="5"/>
      <c r="H802" s="16"/>
    </row>
    <row r="803" spans="2:8">
      <c r="B803" s="5"/>
      <c r="H803" s="16"/>
    </row>
    <row r="804" spans="2:8">
      <c r="B804" s="5"/>
      <c r="H804" s="16"/>
    </row>
    <row r="805" spans="2:8">
      <c r="B805" s="5"/>
      <c r="H805" s="16"/>
    </row>
    <row r="806" spans="2:8">
      <c r="B806" s="5"/>
      <c r="H806" s="16"/>
    </row>
    <row r="807" spans="2:8">
      <c r="B807" s="5"/>
      <c r="H807" s="16"/>
    </row>
    <row r="808" spans="2:8">
      <c r="B808" s="5"/>
      <c r="H808" s="16"/>
    </row>
    <row r="809" spans="2:8">
      <c r="B809" s="5"/>
      <c r="H809" s="16"/>
    </row>
    <row r="810" spans="2:8">
      <c r="B810" s="5"/>
      <c r="H810" s="16"/>
    </row>
    <row r="811" spans="2:8">
      <c r="B811" s="5"/>
      <c r="H811" s="16"/>
    </row>
    <row r="812" spans="2:8">
      <c r="B812" s="5"/>
      <c r="H812" s="16"/>
    </row>
    <row r="813" spans="2:8">
      <c r="B813" s="5"/>
      <c r="H813" s="16"/>
    </row>
    <row r="814" spans="2:8">
      <c r="B814" s="5"/>
      <c r="H814" s="16"/>
    </row>
    <row r="815" spans="2:8">
      <c r="B815" s="5"/>
      <c r="H815" s="16"/>
    </row>
    <row r="816" spans="2:8">
      <c r="B816" s="5"/>
      <c r="H816" s="16"/>
    </row>
    <row r="817" spans="2:8">
      <c r="B817" s="5"/>
      <c r="H817" s="16"/>
    </row>
    <row r="818" spans="2:8">
      <c r="B818" s="5"/>
      <c r="H818" s="16"/>
    </row>
    <row r="819" spans="2:8">
      <c r="B819" s="5"/>
      <c r="H819" s="16"/>
    </row>
    <row r="820" spans="2:8">
      <c r="B820" s="5"/>
      <c r="H820" s="16"/>
    </row>
    <row r="821" spans="2:8">
      <c r="B821" s="5"/>
      <c r="H821" s="16"/>
    </row>
    <row r="822" spans="2:8">
      <c r="B822" s="5"/>
      <c r="H822" s="16"/>
    </row>
    <row r="823" spans="2:8">
      <c r="B823" s="5"/>
      <c r="H823" s="16"/>
    </row>
    <row r="824" spans="2:8">
      <c r="B824" s="5"/>
      <c r="H824" s="16"/>
    </row>
    <row r="825" spans="2:8">
      <c r="B825" s="5"/>
      <c r="H825" s="16"/>
    </row>
    <row r="826" spans="2:8">
      <c r="B826" s="5"/>
      <c r="H826" s="16"/>
    </row>
    <row r="827" spans="2:8">
      <c r="B827" s="5"/>
      <c r="H827" s="16"/>
    </row>
    <row r="828" spans="2:8">
      <c r="B828" s="5"/>
      <c r="H828" s="16"/>
    </row>
    <row r="829" spans="2:8">
      <c r="B829" s="5"/>
      <c r="H829" s="16"/>
    </row>
    <row r="830" spans="2:8">
      <c r="B830" s="5"/>
      <c r="H830" s="16"/>
    </row>
    <row r="831" spans="2:8">
      <c r="B831" s="5"/>
      <c r="H831" s="16"/>
    </row>
    <row r="832" spans="2:8">
      <c r="B832" s="5"/>
      <c r="H832" s="16"/>
    </row>
    <row r="833" spans="2:8">
      <c r="B833" s="5"/>
      <c r="H833" s="16"/>
    </row>
    <row r="834" spans="2:8">
      <c r="B834" s="5"/>
      <c r="H834" s="16"/>
    </row>
    <row r="835" spans="2:8">
      <c r="B835" s="5"/>
      <c r="H835" s="16"/>
    </row>
    <row r="836" spans="2:8">
      <c r="B836" s="5"/>
      <c r="H836" s="16"/>
    </row>
    <row r="837" spans="2:8">
      <c r="B837" s="5"/>
      <c r="H837" s="16"/>
    </row>
    <row r="838" spans="2:8">
      <c r="B838" s="5"/>
      <c r="H838" s="16"/>
    </row>
    <row r="839" spans="2:8">
      <c r="B839" s="5"/>
      <c r="H839" s="16"/>
    </row>
    <row r="840" spans="2:8">
      <c r="B840" s="5"/>
      <c r="H840" s="16"/>
    </row>
    <row r="841" spans="2:8">
      <c r="B841" s="5"/>
      <c r="H841" s="16"/>
    </row>
    <row r="842" spans="2:8">
      <c r="B842" s="5"/>
      <c r="H842" s="16"/>
    </row>
    <row r="843" spans="2:8">
      <c r="B843" s="5"/>
      <c r="H843" s="16"/>
    </row>
    <row r="844" spans="2:8">
      <c r="B844" s="5"/>
      <c r="H844" s="16"/>
    </row>
    <row r="845" spans="2:8">
      <c r="B845" s="5"/>
      <c r="H845" s="16"/>
    </row>
    <row r="846" spans="2:8">
      <c r="B846" s="5"/>
      <c r="H846" s="16"/>
    </row>
    <row r="847" spans="2:8">
      <c r="B847" s="5"/>
      <c r="H847" s="16"/>
    </row>
    <row r="848" spans="2:8">
      <c r="B848" s="5"/>
      <c r="H848" s="16"/>
    </row>
    <row r="849" spans="2:8">
      <c r="B849" s="5"/>
      <c r="H849" s="16"/>
    </row>
    <row r="850" spans="2:8">
      <c r="B850" s="5"/>
      <c r="H850" s="16"/>
    </row>
    <row r="851" spans="2:8">
      <c r="B851" s="5"/>
      <c r="H851" s="16"/>
    </row>
    <row r="852" spans="2:8">
      <c r="B852" s="5"/>
      <c r="H852" s="16"/>
    </row>
    <row r="853" spans="2:8">
      <c r="B853" s="5"/>
      <c r="H853" s="16"/>
    </row>
    <row r="854" spans="2:8">
      <c r="B854" s="5"/>
      <c r="H854" s="16"/>
    </row>
    <row r="855" spans="2:8">
      <c r="B855" s="5"/>
      <c r="H855" s="16"/>
    </row>
    <row r="856" spans="2:8">
      <c r="B856" s="5"/>
      <c r="H856" s="16"/>
    </row>
    <row r="857" spans="2:8">
      <c r="B857" s="5"/>
      <c r="H857" s="16"/>
    </row>
    <row r="858" spans="2:8">
      <c r="B858" s="5"/>
      <c r="H858" s="16"/>
    </row>
    <row r="859" spans="2:8">
      <c r="B859" s="5"/>
      <c r="H859" s="16"/>
    </row>
    <row r="860" spans="2:8">
      <c r="B860" s="5"/>
      <c r="H860" s="16"/>
    </row>
    <row r="861" spans="2:8">
      <c r="B861" s="5"/>
      <c r="H861" s="16"/>
    </row>
    <row r="862" spans="2:8">
      <c r="B862" s="5"/>
      <c r="H862" s="16"/>
    </row>
    <row r="863" spans="2:8">
      <c r="B863" s="5"/>
      <c r="H863" s="16"/>
    </row>
    <row r="864" spans="2:8">
      <c r="B864" s="5"/>
      <c r="H864" s="16"/>
    </row>
    <row r="865" spans="2:8">
      <c r="B865" s="5"/>
      <c r="H865" s="16"/>
    </row>
    <row r="866" spans="2:8">
      <c r="B866" s="5"/>
      <c r="H866" s="16"/>
    </row>
    <row r="867" spans="2:8">
      <c r="B867" s="5"/>
      <c r="H867" s="16"/>
    </row>
    <row r="868" spans="2:8">
      <c r="B868" s="5"/>
      <c r="H868" s="16"/>
    </row>
    <row r="869" spans="2:8">
      <c r="B869" s="5"/>
      <c r="H869" s="16"/>
    </row>
    <row r="870" spans="2:8">
      <c r="B870" s="5"/>
      <c r="H870" s="16"/>
    </row>
    <row r="871" spans="2:8">
      <c r="B871" s="5"/>
      <c r="H871" s="16"/>
    </row>
    <row r="872" spans="2:8">
      <c r="B872" s="5"/>
      <c r="H872" s="16"/>
    </row>
    <row r="873" spans="2:8">
      <c r="B873" s="5"/>
      <c r="H873" s="16"/>
    </row>
    <row r="874" spans="2:8">
      <c r="B874" s="5"/>
      <c r="H874" s="16"/>
    </row>
    <row r="875" spans="2:8">
      <c r="B875" s="5"/>
      <c r="H875" s="16"/>
    </row>
    <row r="876" spans="2:8">
      <c r="B876" s="5"/>
      <c r="H876" s="16"/>
    </row>
    <row r="877" spans="2:8">
      <c r="B877" s="5"/>
      <c r="H877" s="16"/>
    </row>
    <row r="878" spans="2:8">
      <c r="B878" s="5"/>
      <c r="H878" s="16"/>
    </row>
    <row r="879" spans="2:8">
      <c r="B879" s="5"/>
      <c r="H879" s="16"/>
    </row>
    <row r="880" spans="2:8">
      <c r="B880" s="5"/>
      <c r="H880" s="16"/>
    </row>
    <row r="881" spans="2:8">
      <c r="B881" s="5"/>
      <c r="H881" s="16"/>
    </row>
    <row r="882" spans="2:8">
      <c r="B882" s="5"/>
      <c r="H882" s="16"/>
    </row>
    <row r="883" spans="2:8">
      <c r="B883" s="5"/>
      <c r="H883" s="16"/>
    </row>
    <row r="884" spans="2:8">
      <c r="B884" s="5"/>
      <c r="H884" s="16"/>
    </row>
    <row r="885" spans="2:8">
      <c r="B885" s="5"/>
      <c r="H885" s="16"/>
    </row>
    <row r="886" spans="2:8">
      <c r="B886" s="5"/>
      <c r="H886" s="16"/>
    </row>
    <row r="887" spans="2:8">
      <c r="B887" s="5"/>
      <c r="H887" s="16"/>
    </row>
    <row r="888" spans="2:8">
      <c r="B888" s="5"/>
      <c r="H888" s="16"/>
    </row>
    <row r="889" spans="2:8">
      <c r="B889" s="5"/>
      <c r="H889" s="16"/>
    </row>
    <row r="890" spans="2:8">
      <c r="B890" s="5"/>
      <c r="H890" s="16"/>
    </row>
    <row r="891" spans="2:8">
      <c r="B891" s="5"/>
      <c r="H891" s="16"/>
    </row>
    <row r="892" spans="2:8">
      <c r="B892" s="5"/>
      <c r="H892" s="16"/>
    </row>
  </sheetData>
  <mergeCells count="27">
    <mergeCell ref="C49:F49"/>
    <mergeCell ref="C50:F50"/>
    <mergeCell ref="C44:F44"/>
    <mergeCell ref="C45:F45"/>
    <mergeCell ref="C46:F46"/>
    <mergeCell ref="C47:F47"/>
    <mergeCell ref="C48:F48"/>
    <mergeCell ref="A4:H4"/>
    <mergeCell ref="A38:F38"/>
    <mergeCell ref="C41:F41"/>
    <mergeCell ref="C42:F42"/>
    <mergeCell ref="C43:F43"/>
    <mergeCell ref="A10:F10"/>
    <mergeCell ref="A17:F17"/>
    <mergeCell ref="A23:F23"/>
    <mergeCell ref="A29:F29"/>
    <mergeCell ref="A35:F35"/>
    <mergeCell ref="G41:H41"/>
    <mergeCell ref="G42:H42"/>
    <mergeCell ref="G43:H43"/>
    <mergeCell ref="G49:H49"/>
    <mergeCell ref="G50:H50"/>
    <mergeCell ref="G44:H44"/>
    <mergeCell ref="G45:H45"/>
    <mergeCell ref="G46:H46"/>
    <mergeCell ref="G47:H47"/>
    <mergeCell ref="G48:H48"/>
  </mergeCells>
  <phoneticPr fontId="24" type="noConversion"/>
  <dataValidations count="1">
    <dataValidation type="list" allowBlank="1" showInputMessage="1" showErrorMessage="1" sqref="B42:B48" xr:uid="{00000000-0002-0000-0300-000000000000}">
      <formula1>$L$41:$L$45</formula1>
    </dataValidation>
  </dataValidations>
  <pageMargins left="0.7" right="0.7" top="0.75" bottom="0.75" header="0.3" footer="0.3"/>
  <pageSetup scale="52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892"/>
  <sheetViews>
    <sheetView showZeros="0" tabSelected="1" topLeftCell="A12" zoomScale="65" zoomScaleNormal="65" workbookViewId="0">
      <selection activeCell="A19" sqref="A19"/>
    </sheetView>
  </sheetViews>
  <sheetFormatPr defaultColWidth="10.875" defaultRowHeight="18.95"/>
  <cols>
    <col min="1" max="1" width="35.625" customWidth="1"/>
    <col min="2" max="2" width="14.625" style="16" customWidth="1"/>
    <col min="3" max="4" width="15.875" style="5" customWidth="1"/>
    <col min="5" max="5" width="15.375" style="5" customWidth="1"/>
    <col min="6" max="6" width="16.375" style="5" customWidth="1"/>
    <col min="7" max="7" width="16.875" style="5" customWidth="1"/>
    <col min="8" max="8" width="15.875" style="17" customWidth="1"/>
    <col min="9" max="9" width="10.875" style="5"/>
    <col min="10" max="12" width="0" style="5" hidden="1" customWidth="1"/>
    <col min="13" max="16384" width="10.875" style="5"/>
  </cols>
  <sheetData>
    <row r="1" spans="1:10" customFormat="1" ht="15.95">
      <c r="A1" s="41"/>
      <c r="B1" s="42"/>
      <c r="C1" s="43"/>
      <c r="D1" s="43"/>
      <c r="E1" s="45" t="s">
        <v>25</v>
      </c>
      <c r="F1" s="43"/>
      <c r="G1" s="45" t="s">
        <v>26</v>
      </c>
      <c r="H1" s="44"/>
    </row>
    <row r="2" spans="1:10" ht="18.75">
      <c r="A2" s="30"/>
      <c r="B2" s="19" t="s">
        <v>29</v>
      </c>
      <c r="C2" s="18" t="s">
        <v>30</v>
      </c>
      <c r="D2" s="18" t="s">
        <v>31</v>
      </c>
      <c r="E2" s="18" t="s">
        <v>32</v>
      </c>
      <c r="F2" s="18" t="s">
        <v>33</v>
      </c>
      <c r="G2" s="18" t="s">
        <v>27</v>
      </c>
      <c r="H2" s="18" t="s">
        <v>28</v>
      </c>
    </row>
    <row r="3" spans="1:10" ht="21" customHeight="1">
      <c r="A3" s="31" t="s">
        <v>7</v>
      </c>
      <c r="B3" s="6">
        <f>'Week 4'!H3+1</f>
        <v>45921</v>
      </c>
      <c r="C3" s="6">
        <f t="shared" ref="C3:H3" si="0">B3+1</f>
        <v>45922</v>
      </c>
      <c r="D3" s="6">
        <f t="shared" si="0"/>
        <v>45923</v>
      </c>
      <c r="E3" s="6">
        <f t="shared" si="0"/>
        <v>45924</v>
      </c>
      <c r="F3" s="6">
        <f t="shared" si="0"/>
        <v>45925</v>
      </c>
      <c r="G3" s="6">
        <f t="shared" si="0"/>
        <v>45926</v>
      </c>
      <c r="H3" s="6">
        <f t="shared" si="0"/>
        <v>45927</v>
      </c>
    </row>
    <row r="4" spans="1:10" s="7" customFormat="1">
      <c r="A4" s="181" t="s">
        <v>34</v>
      </c>
      <c r="B4" s="181"/>
      <c r="C4" s="181"/>
      <c r="D4" s="181"/>
      <c r="E4" s="181"/>
      <c r="F4" s="181"/>
      <c r="G4" s="181"/>
      <c r="H4" s="181"/>
    </row>
    <row r="5" spans="1:10" s="7" customFormat="1" ht="26.1" customHeight="1">
      <c r="A5" s="32" t="s">
        <v>8</v>
      </c>
      <c r="B5" s="27"/>
      <c r="C5" s="27"/>
      <c r="D5" s="27"/>
      <c r="E5" s="27"/>
      <c r="F5" s="27"/>
      <c r="G5" s="27"/>
      <c r="H5" s="27"/>
    </row>
    <row r="6" spans="1:10" s="7" customFormat="1" ht="26.1" customHeight="1">
      <c r="A6" s="4" t="s">
        <v>23</v>
      </c>
      <c r="B6" s="62"/>
      <c r="C6" s="62"/>
      <c r="D6" s="62"/>
      <c r="E6" s="62"/>
      <c r="F6" s="62"/>
      <c r="G6" s="62"/>
      <c r="H6" s="62"/>
    </row>
    <row r="7" spans="1:10" s="7" customFormat="1" ht="21.95" customHeight="1">
      <c r="A7" s="32" t="s">
        <v>35</v>
      </c>
      <c r="B7" s="27"/>
      <c r="C7" s="28"/>
      <c r="D7" s="28"/>
      <c r="E7" s="28"/>
      <c r="F7" s="28"/>
      <c r="G7" s="28"/>
      <c r="H7" s="27"/>
    </row>
    <row r="8" spans="1:10" s="7" customFormat="1" ht="24.95" customHeight="1" thickBot="1">
      <c r="A8" s="83" t="s">
        <v>36</v>
      </c>
      <c r="B8" s="84">
        <f t="shared" ref="B8:G8" si="1">B5+B6+B7</f>
        <v>0</v>
      </c>
      <c r="C8" s="84">
        <f t="shared" si="1"/>
        <v>0</v>
      </c>
      <c r="D8" s="84">
        <f t="shared" si="1"/>
        <v>0</v>
      </c>
      <c r="E8" s="84">
        <f t="shared" si="1"/>
        <v>0</v>
      </c>
      <c r="F8" s="84">
        <f t="shared" si="1"/>
        <v>0</v>
      </c>
      <c r="G8" s="84">
        <f t="shared" si="1"/>
        <v>0</v>
      </c>
      <c r="H8" s="84">
        <f>H5+H6+H7</f>
        <v>0</v>
      </c>
    </row>
    <row r="9" spans="1:10" s="7" customFormat="1" ht="24.95" customHeight="1" thickBot="1">
      <c r="A9" s="33"/>
      <c r="B9" s="29"/>
      <c r="C9" s="29"/>
      <c r="D9" s="29"/>
      <c r="E9" s="29"/>
      <c r="F9" s="29"/>
      <c r="G9" s="63" t="s">
        <v>37</v>
      </c>
      <c r="H9" s="64">
        <f>SUM(B8:H8)</f>
        <v>0</v>
      </c>
    </row>
    <row r="10" spans="1:10" s="7" customFormat="1" ht="21" thickTop="1" thickBot="1">
      <c r="A10" s="182" t="s">
        <v>38</v>
      </c>
      <c r="B10" s="183"/>
      <c r="C10" s="183"/>
      <c r="D10" s="183"/>
      <c r="E10" s="183"/>
      <c r="F10" s="183"/>
      <c r="G10" s="65" t="s">
        <v>39</v>
      </c>
      <c r="H10" s="66">
        <v>-0.08</v>
      </c>
      <c r="I10" s="5"/>
      <c r="J10" s="26"/>
    </row>
    <row r="11" spans="1:10" s="7" customFormat="1" ht="30" customHeight="1">
      <c r="A11" s="39" t="s">
        <v>8</v>
      </c>
      <c r="B11" s="9"/>
      <c r="C11" s="9"/>
      <c r="D11" s="67"/>
      <c r="E11" s="67"/>
      <c r="F11" s="9"/>
      <c r="G11" s="68"/>
      <c r="H11" s="69"/>
    </row>
    <row r="12" spans="1:10" s="7" customFormat="1" ht="30" customHeight="1">
      <c r="A12" s="70" t="s">
        <v>23</v>
      </c>
      <c r="B12" s="59"/>
      <c r="C12" s="58"/>
      <c r="D12" s="58"/>
      <c r="E12" s="58"/>
      <c r="F12" s="58"/>
      <c r="G12" s="58"/>
      <c r="H12" s="59"/>
    </row>
    <row r="13" spans="1:10" s="7" customFormat="1" ht="30" customHeight="1">
      <c r="A13" s="3" t="s">
        <v>35</v>
      </c>
      <c r="B13" s="8"/>
      <c r="C13" s="8"/>
      <c r="D13" s="8"/>
      <c r="E13" s="8"/>
      <c r="F13" s="8"/>
      <c r="G13" s="8"/>
      <c r="H13" s="8"/>
    </row>
    <row r="14" spans="1:10" s="7" customFormat="1" ht="27" customHeight="1" thickBot="1">
      <c r="A14" s="85" t="s">
        <v>36</v>
      </c>
      <c r="B14" s="87">
        <f t="shared" ref="B14:H14" si="2">B11+B12+B13</f>
        <v>0</v>
      </c>
      <c r="C14" s="87">
        <f t="shared" si="2"/>
        <v>0</v>
      </c>
      <c r="D14" s="87">
        <f t="shared" si="2"/>
        <v>0</v>
      </c>
      <c r="E14" s="87">
        <f t="shared" si="2"/>
        <v>0</v>
      </c>
      <c r="F14" s="87">
        <f t="shared" si="2"/>
        <v>0</v>
      </c>
      <c r="G14" s="87">
        <f t="shared" si="2"/>
        <v>0</v>
      </c>
      <c r="H14" s="87">
        <f t="shared" si="2"/>
        <v>0</v>
      </c>
    </row>
    <row r="15" spans="1:10" s="7" customFormat="1" ht="24.95" customHeight="1" thickBot="1">
      <c r="A15" s="86" t="s">
        <v>40</v>
      </c>
      <c r="B15" s="92" t="e">
        <f t="shared" ref="B15:H15" si="3">(B14-B8)/B8</f>
        <v>#DIV/0!</v>
      </c>
      <c r="C15" s="93" t="e">
        <f t="shared" si="3"/>
        <v>#DIV/0!</v>
      </c>
      <c r="D15" s="93" t="e">
        <f t="shared" si="3"/>
        <v>#DIV/0!</v>
      </c>
      <c r="E15" s="93" t="e">
        <f t="shared" si="3"/>
        <v>#DIV/0!</v>
      </c>
      <c r="F15" s="93" t="e">
        <f t="shared" si="3"/>
        <v>#DIV/0!</v>
      </c>
      <c r="G15" s="93" t="e">
        <f t="shared" si="3"/>
        <v>#DIV/0!</v>
      </c>
      <c r="H15" s="94" t="e">
        <f t="shared" si="3"/>
        <v>#DIV/0!</v>
      </c>
      <c r="I15" s="71"/>
    </row>
    <row r="16" spans="1:10" ht="30" customHeight="1" thickBot="1">
      <c r="B16" s="88"/>
      <c r="C16" s="88"/>
      <c r="D16" s="88"/>
      <c r="E16" s="88"/>
      <c r="F16" s="89"/>
      <c r="G16" s="90" t="s">
        <v>37</v>
      </c>
      <c r="H16" s="91">
        <f>SUM(B14:H14)</f>
        <v>0</v>
      </c>
    </row>
    <row r="17" spans="1:8" s="7" customFormat="1" ht="21.95" thickTop="1" thickBot="1">
      <c r="A17" s="184" t="s">
        <v>41</v>
      </c>
      <c r="B17" s="185"/>
      <c r="C17" s="185"/>
      <c r="D17" s="185"/>
      <c r="E17" s="185"/>
      <c r="F17" s="185"/>
      <c r="G17" s="72" t="s">
        <v>42</v>
      </c>
      <c r="H17" s="66" t="e">
        <f>(H16-H9)/H9</f>
        <v>#DIV/0!</v>
      </c>
    </row>
    <row r="18" spans="1:8" s="7" customFormat="1" ht="30" customHeight="1">
      <c r="A18" s="35" t="str">
        <f>'Week 4'!A18</f>
        <v>Greeter Total</v>
      </c>
      <c r="B18" s="12"/>
      <c r="C18" s="12"/>
      <c r="D18" s="73">
        <v>307</v>
      </c>
      <c r="E18" s="73">
        <v>303</v>
      </c>
      <c r="F18" s="12">
        <v>257</v>
      </c>
      <c r="G18" s="24">
        <v>280</v>
      </c>
      <c r="H18" s="74"/>
    </row>
    <row r="19" spans="1:8" s="7" customFormat="1" ht="30" customHeight="1">
      <c r="A19" s="35" t="str">
        <f>'Week 4'!A19</f>
        <v>Non Meal Plan Meals</v>
      </c>
      <c r="B19" s="12"/>
      <c r="C19" s="12"/>
      <c r="D19" s="73"/>
      <c r="E19" s="73"/>
      <c r="F19" s="12"/>
      <c r="G19" s="24"/>
      <c r="H19" s="74"/>
    </row>
    <row r="20" spans="1:8" s="7" customFormat="1" ht="30" customHeight="1">
      <c r="A20" s="35" t="s">
        <v>90</v>
      </c>
      <c r="B20" s="95"/>
      <c r="C20" s="95"/>
      <c r="D20" s="67"/>
      <c r="E20" s="67"/>
      <c r="F20" s="95"/>
      <c r="G20" s="95"/>
      <c r="H20" s="75"/>
    </row>
    <row r="21" spans="1:8" s="7" customFormat="1" ht="24.95" customHeight="1" thickBot="1">
      <c r="A21" s="36" t="s">
        <v>45</v>
      </c>
      <c r="B21" s="77">
        <f t="shared" ref="B21:H21" si="4">SUM(B18:B20)</f>
        <v>0</v>
      </c>
      <c r="C21" s="77">
        <f t="shared" si="4"/>
        <v>0</v>
      </c>
      <c r="D21" s="96">
        <f t="shared" si="4"/>
        <v>307</v>
      </c>
      <c r="E21" s="96">
        <f t="shared" si="4"/>
        <v>303</v>
      </c>
      <c r="F21" s="77">
        <f t="shared" si="4"/>
        <v>257</v>
      </c>
      <c r="G21" s="77">
        <f t="shared" si="4"/>
        <v>280</v>
      </c>
      <c r="H21" s="77">
        <f t="shared" si="4"/>
        <v>0</v>
      </c>
    </row>
    <row r="22" spans="1:8" s="7" customFormat="1" ht="24.95" customHeight="1" thickBot="1">
      <c r="A22" s="34" t="s">
        <v>40</v>
      </c>
      <c r="B22" s="92" t="e">
        <f>(B21-B5)/B5</f>
        <v>#DIV/0!</v>
      </c>
      <c r="C22" s="93" t="e">
        <f>(C21-C5)/C5</f>
        <v>#DIV/0!</v>
      </c>
      <c r="D22" s="99"/>
      <c r="E22" s="99"/>
      <c r="F22" s="93" t="e">
        <f>(F21-F5)/F5</f>
        <v>#DIV/0!</v>
      </c>
      <c r="G22" s="93" t="e">
        <f>(G21-G5)/G5</f>
        <v>#DIV/0!</v>
      </c>
      <c r="H22" s="94" t="e">
        <f>(H21-H5)/H5</f>
        <v>#DIV/0!</v>
      </c>
    </row>
    <row r="23" spans="1:8" s="7" customFormat="1">
      <c r="A23" s="186" t="s">
        <v>46</v>
      </c>
      <c r="B23" s="187"/>
      <c r="C23" s="187"/>
      <c r="D23" s="187"/>
      <c r="E23" s="187"/>
      <c r="F23" s="188" t="s">
        <v>47</v>
      </c>
      <c r="G23" s="97"/>
      <c r="H23" s="98"/>
    </row>
    <row r="24" spans="1:8" s="7" customFormat="1" ht="30" customHeight="1">
      <c r="A24" s="35" t="str">
        <f>A18</f>
        <v>Greeter Total</v>
      </c>
      <c r="B24" s="11"/>
      <c r="C24" s="12"/>
      <c r="D24" s="12">
        <v>589</v>
      </c>
      <c r="E24" s="12">
        <v>553</v>
      </c>
      <c r="F24" s="12">
        <v>540</v>
      </c>
      <c r="G24" s="12">
        <v>579</v>
      </c>
      <c r="H24" s="11">
        <v>380</v>
      </c>
    </row>
    <row r="25" spans="1:8" s="7" customFormat="1" ht="30" customHeight="1">
      <c r="A25" s="35" t="str">
        <f t="shared" ref="A25:A26" si="5">A19</f>
        <v>Non Meal Plan Meals</v>
      </c>
      <c r="B25" s="117"/>
      <c r="C25" s="117"/>
      <c r="D25" s="117"/>
      <c r="E25" s="117"/>
      <c r="F25" s="117"/>
      <c r="G25" s="117"/>
      <c r="H25" s="117"/>
    </row>
    <row r="26" spans="1:8" s="7" customFormat="1" ht="30" customHeight="1">
      <c r="A26" s="35" t="str">
        <f t="shared" si="5"/>
        <v xml:space="preserve">Meal numbers </v>
      </c>
      <c r="B26" s="11"/>
      <c r="C26" s="11"/>
      <c r="D26" s="11"/>
      <c r="E26" s="11"/>
      <c r="F26" s="11"/>
      <c r="G26" s="11"/>
      <c r="H26" s="11"/>
    </row>
    <row r="27" spans="1:8" s="7" customFormat="1" ht="27.95" customHeight="1" thickBot="1">
      <c r="A27" s="36" t="s">
        <v>50</v>
      </c>
      <c r="B27" s="100">
        <f t="shared" ref="B27:H27" si="6">SUM(B24:B26)</f>
        <v>0</v>
      </c>
      <c r="C27" s="100">
        <f t="shared" si="6"/>
        <v>0</v>
      </c>
      <c r="D27" s="100">
        <f t="shared" si="6"/>
        <v>589</v>
      </c>
      <c r="E27" s="100">
        <f t="shared" si="6"/>
        <v>553</v>
      </c>
      <c r="F27" s="100">
        <f t="shared" si="6"/>
        <v>540</v>
      </c>
      <c r="G27" s="100">
        <f t="shared" si="6"/>
        <v>579</v>
      </c>
      <c r="H27" s="100">
        <f t="shared" si="6"/>
        <v>380</v>
      </c>
    </row>
    <row r="28" spans="1:8" s="7" customFormat="1" ht="24.95" customHeight="1" thickBot="1">
      <c r="A28" s="34" t="s">
        <v>40</v>
      </c>
      <c r="B28" s="92" t="e">
        <f t="shared" ref="B28:H28" si="7">(B27-B6)/B6</f>
        <v>#DIV/0!</v>
      </c>
      <c r="C28" s="93" t="e">
        <f t="shared" si="7"/>
        <v>#DIV/0!</v>
      </c>
      <c r="D28" s="93" t="e">
        <f t="shared" si="7"/>
        <v>#DIV/0!</v>
      </c>
      <c r="E28" s="93" t="e">
        <f t="shared" si="7"/>
        <v>#DIV/0!</v>
      </c>
      <c r="F28" s="93" t="e">
        <f t="shared" si="7"/>
        <v>#DIV/0!</v>
      </c>
      <c r="G28" s="93" t="e">
        <f t="shared" si="7"/>
        <v>#DIV/0!</v>
      </c>
      <c r="H28" s="94" t="e">
        <f t="shared" si="7"/>
        <v>#DIV/0!</v>
      </c>
    </row>
    <row r="29" spans="1:8" s="7" customFormat="1">
      <c r="A29" s="189" t="s">
        <v>51</v>
      </c>
      <c r="B29" s="190"/>
      <c r="C29" s="190"/>
      <c r="D29" s="190"/>
      <c r="E29" s="190"/>
      <c r="F29" s="191" t="s">
        <v>35</v>
      </c>
      <c r="G29" s="101"/>
      <c r="H29" s="102"/>
    </row>
    <row r="30" spans="1:8" s="7" customFormat="1" ht="30" customHeight="1">
      <c r="A30" s="35" t="str">
        <f>A24</f>
        <v>Greeter Total</v>
      </c>
      <c r="B30" s="10"/>
      <c r="C30" s="9"/>
      <c r="D30" s="9">
        <v>551</v>
      </c>
      <c r="E30" s="9">
        <v>562</v>
      </c>
      <c r="F30" s="9">
        <v>519</v>
      </c>
      <c r="G30" s="9">
        <v>292</v>
      </c>
      <c r="H30" s="10">
        <v>179</v>
      </c>
    </row>
    <row r="31" spans="1:8" s="7" customFormat="1" ht="30" customHeight="1">
      <c r="A31" s="35" t="str">
        <f t="shared" ref="A31:A32" si="8">A25</f>
        <v>Non Meal Plan Meals</v>
      </c>
      <c r="B31" s="60"/>
      <c r="C31" s="60"/>
      <c r="D31" s="60"/>
      <c r="E31" s="60"/>
      <c r="F31" s="60"/>
      <c r="G31" s="60"/>
      <c r="H31" s="60"/>
    </row>
    <row r="32" spans="1:8" s="7" customFormat="1" ht="30" customHeight="1">
      <c r="A32" s="35" t="str">
        <f t="shared" si="8"/>
        <v xml:space="preserve">Meal numbers </v>
      </c>
      <c r="B32" s="10"/>
      <c r="C32" s="10"/>
      <c r="D32" s="10"/>
      <c r="E32" s="10"/>
      <c r="F32" s="10"/>
      <c r="G32" s="10"/>
      <c r="H32" s="10"/>
    </row>
    <row r="33" spans="1:12" s="7" customFormat="1" ht="30.95" customHeight="1" thickBot="1">
      <c r="A33" s="36" t="s">
        <v>53</v>
      </c>
      <c r="B33" s="103">
        <f t="shared" ref="B33:H33" si="9">SUM(B30:B32)</f>
        <v>0</v>
      </c>
      <c r="C33" s="103">
        <f t="shared" si="9"/>
        <v>0</v>
      </c>
      <c r="D33" s="103">
        <f t="shared" si="9"/>
        <v>551</v>
      </c>
      <c r="E33" s="103">
        <f t="shared" si="9"/>
        <v>562</v>
      </c>
      <c r="F33" s="103">
        <f t="shared" si="9"/>
        <v>519</v>
      </c>
      <c r="G33" s="103">
        <f t="shared" si="9"/>
        <v>292</v>
      </c>
      <c r="H33" s="103">
        <f t="shared" si="9"/>
        <v>179</v>
      </c>
    </row>
    <row r="34" spans="1:12" s="7" customFormat="1" ht="24.95" customHeight="1" thickBot="1">
      <c r="A34" s="34" t="s">
        <v>40</v>
      </c>
      <c r="B34" s="92" t="e">
        <f t="shared" ref="B34:H34" si="10">(B33-B7)/B7</f>
        <v>#DIV/0!</v>
      </c>
      <c r="C34" s="93" t="e">
        <f t="shared" si="10"/>
        <v>#DIV/0!</v>
      </c>
      <c r="D34" s="93" t="e">
        <f t="shared" si="10"/>
        <v>#DIV/0!</v>
      </c>
      <c r="E34" s="93" t="e">
        <f t="shared" si="10"/>
        <v>#DIV/0!</v>
      </c>
      <c r="F34" s="93" t="e">
        <f t="shared" si="10"/>
        <v>#DIV/0!</v>
      </c>
      <c r="G34" s="93" t="e">
        <f t="shared" si="10"/>
        <v>#DIV/0!</v>
      </c>
      <c r="H34" s="94" t="e">
        <f t="shared" si="10"/>
        <v>#DIV/0!</v>
      </c>
    </row>
    <row r="35" spans="1:12" s="7" customFormat="1">
      <c r="A35" s="192" t="s">
        <v>54</v>
      </c>
      <c r="B35" s="193"/>
      <c r="C35" s="193"/>
      <c r="D35" s="193"/>
      <c r="E35" s="193"/>
      <c r="F35" s="194" t="s">
        <v>35</v>
      </c>
      <c r="G35" s="104"/>
      <c r="H35" s="105"/>
    </row>
    <row r="36" spans="1:12" s="7" customFormat="1" ht="30.95" customHeight="1" thickBot="1">
      <c r="A36" s="78" t="s">
        <v>55</v>
      </c>
      <c r="B36" s="77">
        <f t="shared" ref="B36:H36" si="11">B33+B27+B21</f>
        <v>0</v>
      </c>
      <c r="C36" s="77">
        <f t="shared" si="11"/>
        <v>0</v>
      </c>
      <c r="D36" s="77">
        <f t="shared" si="11"/>
        <v>1447</v>
      </c>
      <c r="E36" s="77">
        <f t="shared" si="11"/>
        <v>1418</v>
      </c>
      <c r="F36" s="77">
        <f t="shared" si="11"/>
        <v>1316</v>
      </c>
      <c r="G36" s="77">
        <f t="shared" si="11"/>
        <v>1151</v>
      </c>
      <c r="H36" s="77">
        <f t="shared" si="11"/>
        <v>559</v>
      </c>
    </row>
    <row r="37" spans="1:12" s="7" customFormat="1" ht="24.95" customHeight="1" thickBot="1">
      <c r="A37" s="34" t="s">
        <v>40</v>
      </c>
      <c r="B37" s="92" t="e">
        <f t="shared" ref="B37:H37" si="12">(B36-B8)/B8</f>
        <v>#DIV/0!</v>
      </c>
      <c r="C37" s="93" t="e">
        <f t="shared" si="12"/>
        <v>#DIV/0!</v>
      </c>
      <c r="D37" s="93" t="e">
        <f t="shared" si="12"/>
        <v>#DIV/0!</v>
      </c>
      <c r="E37" s="93" t="e">
        <f t="shared" si="12"/>
        <v>#DIV/0!</v>
      </c>
      <c r="F37" s="93" t="e">
        <f t="shared" si="12"/>
        <v>#DIV/0!</v>
      </c>
      <c r="G37" s="93" t="e">
        <f t="shared" si="12"/>
        <v>#DIV/0!</v>
      </c>
      <c r="H37" s="94" t="e">
        <f t="shared" si="12"/>
        <v>#DIV/0!</v>
      </c>
    </row>
    <row r="38" spans="1:12" ht="30" customHeight="1" thickBot="1">
      <c r="A38" s="195"/>
      <c r="B38" s="196"/>
      <c r="C38" s="196"/>
      <c r="D38" s="196"/>
      <c r="E38" s="196"/>
      <c r="F38" s="196"/>
      <c r="G38" s="106" t="s">
        <v>37</v>
      </c>
      <c r="H38" s="107">
        <f>SUM(B36:H36)</f>
        <v>5891</v>
      </c>
    </row>
    <row r="39" spans="1:12" s="7" customFormat="1" ht="24.95" customHeight="1" thickTop="1">
      <c r="A39" s="37"/>
      <c r="B39" s="25"/>
      <c r="C39" s="25"/>
      <c r="D39" s="25"/>
      <c r="E39" s="25"/>
      <c r="F39" s="25"/>
      <c r="G39" s="79" t="s">
        <v>40</v>
      </c>
      <c r="H39" s="80" t="e">
        <f>(H38-H9)/H9</f>
        <v>#DIV/0!</v>
      </c>
    </row>
    <row r="40" spans="1:12" s="7" customFormat="1" ht="24.95" customHeight="1" thickBot="1">
      <c r="A40" s="37"/>
      <c r="B40" s="25"/>
      <c r="C40" s="25"/>
      <c r="D40" s="25"/>
      <c r="E40" s="25"/>
      <c r="F40" s="25"/>
      <c r="G40" s="81" t="s">
        <v>56</v>
      </c>
      <c r="H40" s="82" t="e">
        <f>(H38-H16)/H16</f>
        <v>#DIV/0!</v>
      </c>
    </row>
    <row r="41" spans="1:12" s="46" customFormat="1" ht="23.1" customHeight="1">
      <c r="A41" s="40"/>
      <c r="B41" s="47" t="s">
        <v>57</v>
      </c>
      <c r="C41" s="197" t="s">
        <v>58</v>
      </c>
      <c r="D41" s="197"/>
      <c r="E41" s="197"/>
      <c r="F41" s="197"/>
      <c r="G41" s="198">
        <v>2020</v>
      </c>
      <c r="H41" s="212"/>
      <c r="I41" s="129"/>
    </row>
    <row r="42" spans="1:12" ht="30" customHeight="1">
      <c r="A42" s="1" t="s">
        <v>0</v>
      </c>
      <c r="B42" s="57" t="s">
        <v>59</v>
      </c>
      <c r="C42" s="206"/>
      <c r="D42" s="207"/>
      <c r="E42" s="207"/>
      <c r="F42" s="210"/>
      <c r="G42" s="178"/>
      <c r="H42" s="211"/>
      <c r="I42" s="130"/>
      <c r="L42" s="7" t="s">
        <v>61</v>
      </c>
    </row>
    <row r="43" spans="1:12" ht="30" customHeight="1">
      <c r="A43" s="1" t="s">
        <v>1</v>
      </c>
      <c r="B43" s="57" t="s">
        <v>59</v>
      </c>
      <c r="C43" s="178"/>
      <c r="D43" s="211"/>
      <c r="E43" s="211"/>
      <c r="F43" s="179"/>
      <c r="G43" s="178"/>
      <c r="H43" s="211"/>
      <c r="I43" s="130"/>
      <c r="L43" s="5" t="s">
        <v>62</v>
      </c>
    </row>
    <row r="44" spans="1:12" ht="30" customHeight="1">
      <c r="A44" s="1" t="s">
        <v>2</v>
      </c>
      <c r="B44" s="57" t="s">
        <v>59</v>
      </c>
      <c r="C44" s="178"/>
      <c r="D44" s="211"/>
      <c r="E44" s="211"/>
      <c r="F44" s="179"/>
      <c r="G44" s="206"/>
      <c r="H44" s="207"/>
      <c r="I44" s="131"/>
      <c r="J44" s="128"/>
      <c r="L44" s="5" t="s">
        <v>63</v>
      </c>
    </row>
    <row r="45" spans="1:12" ht="30" customHeight="1">
      <c r="A45" s="1" t="s">
        <v>3</v>
      </c>
      <c r="B45" s="57" t="s">
        <v>59</v>
      </c>
      <c r="C45" s="178"/>
      <c r="D45" s="211"/>
      <c r="E45" s="211"/>
      <c r="F45" s="179"/>
      <c r="G45" s="206"/>
      <c r="H45" s="207"/>
      <c r="I45" s="131"/>
      <c r="J45" s="128"/>
      <c r="L45" s="5" t="s">
        <v>64</v>
      </c>
    </row>
    <row r="46" spans="1:12" ht="30.95" customHeight="1">
      <c r="A46" s="1" t="s">
        <v>4</v>
      </c>
      <c r="B46" s="57" t="s">
        <v>59</v>
      </c>
      <c r="C46" s="178"/>
      <c r="D46" s="211"/>
      <c r="E46" s="211"/>
      <c r="F46" s="179"/>
      <c r="G46" s="126"/>
      <c r="H46" s="127"/>
      <c r="I46" s="131"/>
      <c r="J46" s="128"/>
    </row>
    <row r="47" spans="1:12" ht="30" customHeight="1">
      <c r="A47" s="1" t="s">
        <v>5</v>
      </c>
      <c r="B47" s="57" t="s">
        <v>59</v>
      </c>
      <c r="C47" s="178"/>
      <c r="D47" s="211"/>
      <c r="E47" s="211"/>
      <c r="F47" s="179"/>
      <c r="G47" s="126"/>
      <c r="H47" s="127"/>
      <c r="I47" s="131"/>
      <c r="J47" s="128"/>
    </row>
    <row r="48" spans="1:12" ht="30" customHeight="1">
      <c r="A48" s="1" t="s">
        <v>6</v>
      </c>
      <c r="B48" s="57" t="s">
        <v>59</v>
      </c>
      <c r="C48" s="206"/>
      <c r="D48" s="207"/>
      <c r="E48" s="207"/>
      <c r="F48" s="210"/>
      <c r="G48" s="206"/>
      <c r="H48" s="207"/>
      <c r="I48" s="131"/>
      <c r="J48" s="128"/>
    </row>
    <row r="49" spans="1:9" ht="30" customHeight="1">
      <c r="A49" s="1"/>
      <c r="B49" s="57" t="s">
        <v>59</v>
      </c>
      <c r="C49" s="175"/>
      <c r="D49" s="175"/>
      <c r="E49" s="175"/>
      <c r="F49" s="175"/>
      <c r="G49" s="176"/>
      <c r="H49" s="209"/>
      <c r="I49" s="130"/>
    </row>
    <row r="50" spans="1:9" ht="30" customHeight="1">
      <c r="A50" s="2"/>
      <c r="B50" s="14"/>
      <c r="C50" s="175"/>
      <c r="D50" s="175"/>
      <c r="E50" s="175"/>
      <c r="F50" s="175"/>
      <c r="G50" s="176"/>
      <c r="H50" s="177"/>
    </row>
    <row r="51" spans="1:9">
      <c r="A51" s="30"/>
      <c r="B51" s="18" t="s">
        <v>27</v>
      </c>
      <c r="C51" s="18" t="s">
        <v>28</v>
      </c>
      <c r="D51" s="18" t="s">
        <v>65</v>
      </c>
      <c r="E51" s="18" t="s">
        <v>30</v>
      </c>
      <c r="F51" s="18" t="s">
        <v>66</v>
      </c>
      <c r="G51" s="18" t="s">
        <v>32</v>
      </c>
      <c r="H51" s="18" t="s">
        <v>33</v>
      </c>
    </row>
    <row r="52" spans="1:9">
      <c r="A52" s="38" t="s">
        <v>91</v>
      </c>
      <c r="B52" s="108"/>
      <c r="C52" s="109"/>
      <c r="D52" s="109"/>
      <c r="E52" s="109"/>
      <c r="F52" s="109"/>
      <c r="G52" s="109"/>
      <c r="H52" s="108"/>
    </row>
    <row r="53" spans="1:9" customFormat="1" ht="15.95">
      <c r="A53" s="48"/>
      <c r="B53" s="22"/>
      <c r="C53" s="21"/>
      <c r="D53" s="21"/>
      <c r="E53" s="21"/>
      <c r="F53" s="21"/>
      <c r="G53" s="23" t="s">
        <v>37</v>
      </c>
      <c r="H53" s="23">
        <f>SUM(B52:H52)</f>
        <v>0</v>
      </c>
    </row>
    <row r="54" spans="1:9">
      <c r="A54" s="30"/>
      <c r="B54" s="18" t="s">
        <v>27</v>
      </c>
      <c r="C54" s="18" t="s">
        <v>28</v>
      </c>
      <c r="D54" s="18" t="s">
        <v>65</v>
      </c>
      <c r="E54" s="18" t="s">
        <v>30</v>
      </c>
      <c r="F54" s="18" t="s">
        <v>66</v>
      </c>
      <c r="G54" s="18" t="s">
        <v>32</v>
      </c>
      <c r="H54" s="18" t="s">
        <v>33</v>
      </c>
    </row>
    <row r="55" spans="1:9">
      <c r="A55" s="38" t="s">
        <v>69</v>
      </c>
      <c r="B55" s="51"/>
      <c r="C55" s="52"/>
      <c r="D55" s="52"/>
      <c r="E55" s="52"/>
      <c r="F55" s="52"/>
      <c r="G55" s="20"/>
      <c r="H55" s="15"/>
    </row>
    <row r="56" spans="1:9" customFormat="1" ht="15.95">
      <c r="A56" s="49" t="s">
        <v>70</v>
      </c>
      <c r="B56" s="53"/>
      <c r="C56" s="53" t="s">
        <v>71</v>
      </c>
      <c r="D56" s="54"/>
      <c r="E56" s="54"/>
      <c r="F56" s="55"/>
      <c r="G56" s="50" t="s">
        <v>37</v>
      </c>
      <c r="H56" s="23"/>
    </row>
    <row r="57" spans="1:9">
      <c r="H57" s="16"/>
    </row>
    <row r="58" spans="1:9">
      <c r="H58" s="16"/>
    </row>
    <row r="59" spans="1:9">
      <c r="H59" s="16"/>
    </row>
    <row r="60" spans="1:9">
      <c r="H60" s="16"/>
    </row>
    <row r="61" spans="1:9">
      <c r="H61" s="16"/>
    </row>
    <row r="62" spans="1:9">
      <c r="H62" s="16"/>
    </row>
    <row r="63" spans="1:9">
      <c r="H63" s="16"/>
    </row>
    <row r="64" spans="1:9">
      <c r="B64" s="5"/>
      <c r="H64" s="16"/>
    </row>
    <row r="65" spans="2:8">
      <c r="B65" s="5"/>
      <c r="H65" s="16"/>
    </row>
    <row r="66" spans="2:8">
      <c r="B66" s="5"/>
      <c r="H66" s="16"/>
    </row>
    <row r="67" spans="2:8">
      <c r="B67" s="5"/>
      <c r="H67" s="16"/>
    </row>
    <row r="68" spans="2:8">
      <c r="B68" s="5"/>
      <c r="H68" s="16"/>
    </row>
    <row r="69" spans="2:8">
      <c r="B69" s="5"/>
      <c r="H69" s="16"/>
    </row>
    <row r="70" spans="2:8">
      <c r="B70" s="5"/>
      <c r="H70" s="16"/>
    </row>
    <row r="71" spans="2:8">
      <c r="B71" s="5"/>
      <c r="H71" s="16"/>
    </row>
    <row r="72" spans="2:8">
      <c r="B72" s="5"/>
      <c r="H72" s="16"/>
    </row>
    <row r="73" spans="2:8">
      <c r="B73" s="5"/>
      <c r="H73" s="16"/>
    </row>
    <row r="74" spans="2:8">
      <c r="B74" s="5"/>
      <c r="H74" s="16"/>
    </row>
    <row r="75" spans="2:8">
      <c r="B75" s="5"/>
      <c r="H75" s="16"/>
    </row>
    <row r="76" spans="2:8">
      <c r="B76" s="5"/>
      <c r="H76" s="16"/>
    </row>
    <row r="77" spans="2:8">
      <c r="B77" s="5"/>
      <c r="H77" s="16"/>
    </row>
    <row r="78" spans="2:8">
      <c r="B78" s="5"/>
      <c r="H78" s="16"/>
    </row>
    <row r="79" spans="2:8">
      <c r="B79" s="5"/>
      <c r="H79" s="16"/>
    </row>
    <row r="80" spans="2:8">
      <c r="B80" s="5"/>
      <c r="H80" s="16"/>
    </row>
    <row r="81" spans="2:8">
      <c r="B81" s="5"/>
      <c r="H81" s="16"/>
    </row>
    <row r="82" spans="2:8">
      <c r="B82" s="5"/>
      <c r="H82" s="16"/>
    </row>
    <row r="83" spans="2:8">
      <c r="B83" s="5"/>
      <c r="H83" s="16"/>
    </row>
    <row r="84" spans="2:8">
      <c r="B84" s="5"/>
      <c r="H84" s="16"/>
    </row>
    <row r="85" spans="2:8">
      <c r="B85" s="5"/>
      <c r="H85" s="16"/>
    </row>
    <row r="86" spans="2:8">
      <c r="B86" s="5"/>
      <c r="H86" s="16"/>
    </row>
    <row r="87" spans="2:8">
      <c r="B87" s="5"/>
      <c r="H87" s="16"/>
    </row>
    <row r="88" spans="2:8">
      <c r="B88" s="5"/>
      <c r="H88" s="16"/>
    </row>
    <row r="89" spans="2:8">
      <c r="B89" s="5"/>
      <c r="H89" s="16"/>
    </row>
    <row r="90" spans="2:8">
      <c r="B90" s="5"/>
      <c r="H90" s="16"/>
    </row>
    <row r="91" spans="2:8">
      <c r="B91" s="5"/>
      <c r="H91" s="16"/>
    </row>
    <row r="92" spans="2:8">
      <c r="B92" s="5"/>
      <c r="H92" s="16"/>
    </row>
    <row r="93" spans="2:8">
      <c r="B93" s="5"/>
      <c r="H93" s="16"/>
    </row>
    <row r="94" spans="2:8">
      <c r="B94" s="5"/>
      <c r="H94" s="16"/>
    </row>
    <row r="95" spans="2:8">
      <c r="B95" s="5"/>
      <c r="H95" s="16"/>
    </row>
    <row r="96" spans="2:8">
      <c r="B96" s="5"/>
      <c r="H96" s="16"/>
    </row>
    <row r="97" spans="2:8">
      <c r="B97" s="5"/>
      <c r="H97" s="16"/>
    </row>
    <row r="98" spans="2:8">
      <c r="B98" s="5"/>
      <c r="H98" s="16"/>
    </row>
    <row r="99" spans="2:8">
      <c r="B99" s="5"/>
      <c r="H99" s="16"/>
    </row>
    <row r="100" spans="2:8">
      <c r="B100" s="5"/>
      <c r="H100" s="16"/>
    </row>
    <row r="101" spans="2:8">
      <c r="B101" s="5"/>
      <c r="H101" s="16"/>
    </row>
    <row r="102" spans="2:8">
      <c r="B102" s="5"/>
      <c r="H102" s="16"/>
    </row>
    <row r="103" spans="2:8">
      <c r="B103" s="5"/>
      <c r="H103" s="16"/>
    </row>
    <row r="104" spans="2:8">
      <c r="B104" s="5"/>
      <c r="H104" s="16"/>
    </row>
    <row r="105" spans="2:8">
      <c r="B105" s="5"/>
      <c r="H105" s="16"/>
    </row>
    <row r="106" spans="2:8">
      <c r="B106" s="5"/>
      <c r="H106" s="16"/>
    </row>
    <row r="107" spans="2:8">
      <c r="B107" s="5"/>
      <c r="H107" s="16"/>
    </row>
    <row r="108" spans="2:8">
      <c r="B108" s="5"/>
      <c r="H108" s="16"/>
    </row>
    <row r="109" spans="2:8">
      <c r="B109" s="5"/>
      <c r="H109" s="16"/>
    </row>
    <row r="110" spans="2:8">
      <c r="B110" s="5"/>
      <c r="H110" s="16"/>
    </row>
    <row r="111" spans="2:8">
      <c r="B111" s="5"/>
      <c r="H111" s="16"/>
    </row>
    <row r="112" spans="2:8">
      <c r="B112" s="5"/>
      <c r="H112" s="16"/>
    </row>
    <row r="113" spans="2:8">
      <c r="B113" s="5"/>
      <c r="H113" s="16"/>
    </row>
    <row r="114" spans="2:8">
      <c r="B114" s="5"/>
      <c r="H114" s="16"/>
    </row>
    <row r="115" spans="2:8">
      <c r="B115" s="5"/>
      <c r="H115" s="16"/>
    </row>
    <row r="116" spans="2:8">
      <c r="B116" s="5"/>
      <c r="H116" s="16"/>
    </row>
    <row r="117" spans="2:8">
      <c r="B117" s="5"/>
      <c r="H117" s="16"/>
    </row>
    <row r="118" spans="2:8">
      <c r="B118" s="5"/>
      <c r="H118" s="16"/>
    </row>
    <row r="119" spans="2:8">
      <c r="B119" s="5"/>
      <c r="H119" s="16"/>
    </row>
    <row r="120" spans="2:8">
      <c r="B120" s="5"/>
      <c r="H120" s="16"/>
    </row>
    <row r="121" spans="2:8">
      <c r="B121" s="5"/>
      <c r="H121" s="16"/>
    </row>
    <row r="122" spans="2:8">
      <c r="B122" s="5"/>
      <c r="H122" s="16"/>
    </row>
    <row r="123" spans="2:8">
      <c r="B123" s="5"/>
      <c r="H123" s="16"/>
    </row>
    <row r="124" spans="2:8">
      <c r="B124" s="5"/>
      <c r="H124" s="16"/>
    </row>
    <row r="125" spans="2:8">
      <c r="B125" s="5"/>
      <c r="H125" s="16"/>
    </row>
    <row r="126" spans="2:8">
      <c r="B126" s="5"/>
      <c r="H126" s="16"/>
    </row>
    <row r="127" spans="2:8">
      <c r="B127" s="5"/>
      <c r="H127" s="16"/>
    </row>
    <row r="128" spans="2:8">
      <c r="B128" s="5"/>
      <c r="H128" s="16"/>
    </row>
    <row r="129" spans="2:8">
      <c r="B129" s="5"/>
      <c r="H129" s="16"/>
    </row>
    <row r="130" spans="2:8">
      <c r="B130" s="5"/>
      <c r="H130" s="16"/>
    </row>
    <row r="131" spans="2:8">
      <c r="B131" s="5"/>
      <c r="H131" s="16"/>
    </row>
    <row r="132" spans="2:8">
      <c r="B132" s="5"/>
      <c r="H132" s="16"/>
    </row>
    <row r="133" spans="2:8">
      <c r="B133" s="5"/>
      <c r="H133" s="16"/>
    </row>
    <row r="134" spans="2:8">
      <c r="B134" s="5"/>
      <c r="H134" s="16"/>
    </row>
    <row r="135" spans="2:8">
      <c r="B135" s="5"/>
      <c r="H135" s="16"/>
    </row>
    <row r="136" spans="2:8">
      <c r="B136" s="5"/>
      <c r="H136" s="16"/>
    </row>
    <row r="137" spans="2:8">
      <c r="B137" s="5"/>
      <c r="H137" s="16"/>
    </row>
    <row r="138" spans="2:8">
      <c r="B138" s="5"/>
      <c r="H138" s="16"/>
    </row>
    <row r="139" spans="2:8">
      <c r="B139" s="5"/>
      <c r="H139" s="16"/>
    </row>
    <row r="140" spans="2:8">
      <c r="B140" s="5"/>
      <c r="H140" s="16"/>
    </row>
    <row r="141" spans="2:8">
      <c r="B141" s="5"/>
      <c r="H141" s="16"/>
    </row>
    <row r="142" spans="2:8">
      <c r="B142" s="5"/>
      <c r="H142" s="16"/>
    </row>
    <row r="143" spans="2:8">
      <c r="B143" s="5"/>
      <c r="H143" s="16"/>
    </row>
    <row r="144" spans="2:8">
      <c r="B144" s="5"/>
      <c r="H144" s="16"/>
    </row>
    <row r="145" spans="2:8">
      <c r="B145" s="5"/>
      <c r="H145" s="16"/>
    </row>
    <row r="146" spans="2:8">
      <c r="B146" s="5"/>
      <c r="H146" s="16"/>
    </row>
    <row r="147" spans="2:8">
      <c r="B147" s="5"/>
      <c r="H147" s="16"/>
    </row>
    <row r="148" spans="2:8">
      <c r="B148" s="5"/>
      <c r="H148" s="16"/>
    </row>
    <row r="149" spans="2:8">
      <c r="B149" s="5"/>
      <c r="H149" s="16"/>
    </row>
    <row r="150" spans="2:8">
      <c r="B150" s="5"/>
      <c r="H150" s="16"/>
    </row>
    <row r="151" spans="2:8">
      <c r="B151" s="5"/>
      <c r="H151" s="16"/>
    </row>
    <row r="152" spans="2:8">
      <c r="B152" s="5"/>
      <c r="H152" s="16"/>
    </row>
    <row r="153" spans="2:8">
      <c r="B153" s="5"/>
      <c r="H153" s="16"/>
    </row>
    <row r="154" spans="2:8">
      <c r="B154" s="5"/>
      <c r="H154" s="16"/>
    </row>
    <row r="155" spans="2:8">
      <c r="B155" s="5"/>
      <c r="H155" s="16"/>
    </row>
    <row r="156" spans="2:8">
      <c r="B156" s="5"/>
      <c r="H156" s="16"/>
    </row>
    <row r="157" spans="2:8">
      <c r="B157" s="5"/>
      <c r="H157" s="16"/>
    </row>
    <row r="158" spans="2:8">
      <c r="B158" s="5"/>
      <c r="H158" s="16"/>
    </row>
    <row r="159" spans="2:8">
      <c r="B159" s="5"/>
      <c r="H159" s="16"/>
    </row>
    <row r="160" spans="2:8">
      <c r="B160" s="5"/>
      <c r="H160" s="16"/>
    </row>
    <row r="161" spans="2:8">
      <c r="B161" s="5"/>
      <c r="H161" s="16"/>
    </row>
    <row r="162" spans="2:8">
      <c r="B162" s="5"/>
      <c r="H162" s="16"/>
    </row>
    <row r="163" spans="2:8">
      <c r="B163" s="5"/>
      <c r="H163" s="16"/>
    </row>
    <row r="164" spans="2:8">
      <c r="B164" s="5"/>
      <c r="H164" s="16"/>
    </row>
    <row r="165" spans="2:8">
      <c r="B165" s="5"/>
      <c r="H165" s="16"/>
    </row>
    <row r="166" spans="2:8">
      <c r="B166" s="5"/>
      <c r="H166" s="16"/>
    </row>
    <row r="167" spans="2:8">
      <c r="B167" s="5"/>
      <c r="H167" s="16"/>
    </row>
    <row r="168" spans="2:8">
      <c r="B168" s="5"/>
      <c r="H168" s="16"/>
    </row>
    <row r="169" spans="2:8">
      <c r="B169" s="5"/>
      <c r="H169" s="16"/>
    </row>
    <row r="170" spans="2:8">
      <c r="B170" s="5"/>
      <c r="H170" s="16"/>
    </row>
    <row r="171" spans="2:8">
      <c r="B171" s="5"/>
      <c r="H171" s="16"/>
    </row>
    <row r="172" spans="2:8">
      <c r="B172" s="5"/>
      <c r="H172" s="16"/>
    </row>
    <row r="173" spans="2:8">
      <c r="B173" s="5"/>
      <c r="H173" s="16"/>
    </row>
    <row r="174" spans="2:8">
      <c r="B174" s="5"/>
      <c r="H174" s="16"/>
    </row>
    <row r="175" spans="2:8">
      <c r="B175" s="5"/>
      <c r="H175" s="16"/>
    </row>
    <row r="176" spans="2:8">
      <c r="B176" s="5"/>
      <c r="H176" s="16"/>
    </row>
    <row r="177" spans="2:8">
      <c r="B177" s="5"/>
      <c r="H177" s="16"/>
    </row>
    <row r="178" spans="2:8">
      <c r="B178" s="5"/>
      <c r="H178" s="16"/>
    </row>
    <row r="179" spans="2:8">
      <c r="B179" s="5"/>
      <c r="H179" s="16"/>
    </row>
    <row r="180" spans="2:8">
      <c r="B180" s="5"/>
      <c r="H180" s="16"/>
    </row>
    <row r="181" spans="2:8">
      <c r="B181" s="5"/>
      <c r="H181" s="16"/>
    </row>
    <row r="182" spans="2:8">
      <c r="B182" s="5"/>
      <c r="H182" s="16"/>
    </row>
    <row r="183" spans="2:8">
      <c r="B183" s="5"/>
      <c r="H183" s="16"/>
    </row>
    <row r="184" spans="2:8">
      <c r="B184" s="5"/>
      <c r="H184" s="16"/>
    </row>
    <row r="185" spans="2:8">
      <c r="B185" s="5"/>
      <c r="H185" s="16"/>
    </row>
    <row r="186" spans="2:8">
      <c r="B186" s="5"/>
      <c r="H186" s="16"/>
    </row>
    <row r="187" spans="2:8">
      <c r="B187" s="5"/>
      <c r="H187" s="16"/>
    </row>
    <row r="188" spans="2:8">
      <c r="B188" s="5"/>
      <c r="H188" s="16"/>
    </row>
    <row r="189" spans="2:8">
      <c r="B189" s="5"/>
      <c r="H189" s="16"/>
    </row>
    <row r="190" spans="2:8">
      <c r="B190" s="5"/>
      <c r="H190" s="16"/>
    </row>
    <row r="191" spans="2:8">
      <c r="B191" s="5"/>
      <c r="H191" s="16"/>
    </row>
    <row r="192" spans="2:8">
      <c r="B192" s="5"/>
      <c r="H192" s="16"/>
    </row>
    <row r="193" spans="2:8">
      <c r="B193" s="5"/>
      <c r="H193" s="16"/>
    </row>
    <row r="194" spans="2:8">
      <c r="B194" s="5"/>
      <c r="H194" s="16"/>
    </row>
    <row r="195" spans="2:8">
      <c r="B195" s="5"/>
      <c r="H195" s="16"/>
    </row>
    <row r="196" spans="2:8">
      <c r="B196" s="5"/>
      <c r="H196" s="16"/>
    </row>
    <row r="197" spans="2:8">
      <c r="B197" s="5"/>
      <c r="H197" s="16"/>
    </row>
    <row r="198" spans="2:8">
      <c r="B198" s="5"/>
      <c r="H198" s="16"/>
    </row>
    <row r="199" spans="2:8">
      <c r="B199" s="5"/>
      <c r="H199" s="16"/>
    </row>
    <row r="200" spans="2:8">
      <c r="B200" s="5"/>
      <c r="H200" s="16"/>
    </row>
    <row r="201" spans="2:8">
      <c r="B201" s="5"/>
      <c r="H201" s="16"/>
    </row>
    <row r="202" spans="2:8">
      <c r="B202" s="5"/>
      <c r="H202" s="16"/>
    </row>
    <row r="203" spans="2:8">
      <c r="B203" s="5"/>
      <c r="H203" s="16"/>
    </row>
    <row r="204" spans="2:8">
      <c r="B204" s="5"/>
      <c r="H204" s="16"/>
    </row>
    <row r="205" spans="2:8">
      <c r="B205" s="5"/>
      <c r="H205" s="16"/>
    </row>
    <row r="206" spans="2:8">
      <c r="B206" s="5"/>
      <c r="H206" s="16"/>
    </row>
    <row r="207" spans="2:8">
      <c r="B207" s="5"/>
      <c r="H207" s="16"/>
    </row>
    <row r="208" spans="2:8">
      <c r="B208" s="5"/>
      <c r="H208" s="16"/>
    </row>
    <row r="209" spans="2:8">
      <c r="B209" s="5"/>
      <c r="H209" s="16"/>
    </row>
    <row r="210" spans="2:8">
      <c r="B210" s="5"/>
      <c r="H210" s="16"/>
    </row>
    <row r="211" spans="2:8">
      <c r="B211" s="5"/>
      <c r="H211" s="16"/>
    </row>
    <row r="212" spans="2:8">
      <c r="B212" s="5"/>
      <c r="H212" s="16"/>
    </row>
    <row r="213" spans="2:8">
      <c r="B213" s="5"/>
      <c r="H213" s="16"/>
    </row>
    <row r="214" spans="2:8">
      <c r="B214" s="5"/>
      <c r="H214" s="16"/>
    </row>
    <row r="215" spans="2:8">
      <c r="B215" s="5"/>
      <c r="H215" s="16"/>
    </row>
    <row r="216" spans="2:8">
      <c r="B216" s="5"/>
      <c r="H216" s="16"/>
    </row>
    <row r="217" spans="2:8">
      <c r="B217" s="5"/>
      <c r="H217" s="16"/>
    </row>
    <row r="218" spans="2:8">
      <c r="B218" s="5"/>
      <c r="H218" s="16"/>
    </row>
    <row r="219" spans="2:8">
      <c r="B219" s="5"/>
      <c r="H219" s="16"/>
    </row>
    <row r="220" spans="2:8">
      <c r="B220" s="5"/>
      <c r="H220" s="16"/>
    </row>
    <row r="221" spans="2:8">
      <c r="B221" s="5"/>
      <c r="H221" s="16"/>
    </row>
    <row r="222" spans="2:8">
      <c r="B222" s="5"/>
      <c r="H222" s="16"/>
    </row>
    <row r="223" spans="2:8">
      <c r="B223" s="5"/>
      <c r="H223" s="16"/>
    </row>
    <row r="224" spans="2:8">
      <c r="B224" s="5"/>
      <c r="H224" s="16"/>
    </row>
    <row r="225" spans="2:8">
      <c r="B225" s="5"/>
      <c r="H225" s="16"/>
    </row>
    <row r="226" spans="2:8">
      <c r="B226" s="5"/>
      <c r="H226" s="16"/>
    </row>
    <row r="227" spans="2:8">
      <c r="B227" s="5"/>
      <c r="H227" s="16"/>
    </row>
    <row r="228" spans="2:8">
      <c r="B228" s="5"/>
      <c r="H228" s="16"/>
    </row>
    <row r="229" spans="2:8">
      <c r="B229" s="5"/>
      <c r="H229" s="16"/>
    </row>
    <row r="230" spans="2:8">
      <c r="B230" s="5"/>
      <c r="H230" s="16"/>
    </row>
    <row r="231" spans="2:8">
      <c r="B231" s="5"/>
      <c r="H231" s="16"/>
    </row>
    <row r="232" spans="2:8">
      <c r="B232" s="5"/>
      <c r="H232" s="16"/>
    </row>
    <row r="233" spans="2:8">
      <c r="B233" s="5"/>
      <c r="H233" s="16"/>
    </row>
    <row r="234" spans="2:8">
      <c r="B234" s="5"/>
      <c r="H234" s="16"/>
    </row>
    <row r="235" spans="2:8">
      <c r="B235" s="5"/>
      <c r="H235" s="16"/>
    </row>
    <row r="236" spans="2:8">
      <c r="B236" s="5"/>
      <c r="H236" s="16"/>
    </row>
    <row r="237" spans="2:8">
      <c r="B237" s="5"/>
      <c r="H237" s="16"/>
    </row>
    <row r="238" spans="2:8">
      <c r="B238" s="5"/>
      <c r="H238" s="16"/>
    </row>
    <row r="239" spans="2:8">
      <c r="B239" s="5"/>
      <c r="H239" s="16"/>
    </row>
    <row r="240" spans="2:8">
      <c r="B240" s="5"/>
      <c r="H240" s="16"/>
    </row>
    <row r="241" spans="2:8">
      <c r="B241" s="5"/>
      <c r="H241" s="16"/>
    </row>
    <row r="242" spans="2:8">
      <c r="B242" s="5"/>
      <c r="H242" s="16"/>
    </row>
    <row r="243" spans="2:8">
      <c r="B243" s="5"/>
      <c r="H243" s="16"/>
    </row>
    <row r="244" spans="2:8">
      <c r="B244" s="5"/>
      <c r="H244" s="16"/>
    </row>
    <row r="245" spans="2:8">
      <c r="B245" s="5"/>
      <c r="H245" s="16"/>
    </row>
    <row r="246" spans="2:8">
      <c r="B246" s="5"/>
      <c r="H246" s="16"/>
    </row>
    <row r="247" spans="2:8">
      <c r="B247" s="5"/>
      <c r="H247" s="16"/>
    </row>
    <row r="248" spans="2:8">
      <c r="B248" s="5"/>
      <c r="H248" s="16"/>
    </row>
    <row r="249" spans="2:8">
      <c r="B249" s="5"/>
      <c r="H249" s="16"/>
    </row>
    <row r="250" spans="2:8">
      <c r="B250" s="5"/>
      <c r="H250" s="16"/>
    </row>
    <row r="251" spans="2:8">
      <c r="B251" s="5"/>
      <c r="H251" s="16"/>
    </row>
    <row r="252" spans="2:8">
      <c r="B252" s="5"/>
      <c r="H252" s="16"/>
    </row>
    <row r="253" spans="2:8">
      <c r="B253" s="5"/>
      <c r="H253" s="16"/>
    </row>
    <row r="254" spans="2:8">
      <c r="B254" s="5"/>
      <c r="H254" s="16"/>
    </row>
    <row r="255" spans="2:8">
      <c r="B255" s="5"/>
      <c r="H255" s="16"/>
    </row>
    <row r="256" spans="2:8">
      <c r="B256" s="5"/>
      <c r="H256" s="16"/>
    </row>
    <row r="257" spans="2:8">
      <c r="B257" s="5"/>
      <c r="H257" s="16"/>
    </row>
    <row r="258" spans="2:8">
      <c r="B258" s="5"/>
      <c r="H258" s="16"/>
    </row>
    <row r="259" spans="2:8">
      <c r="B259" s="5"/>
      <c r="H259" s="16"/>
    </row>
    <row r="260" spans="2:8">
      <c r="B260" s="5"/>
      <c r="H260" s="16"/>
    </row>
    <row r="261" spans="2:8">
      <c r="B261" s="5"/>
      <c r="H261" s="16"/>
    </row>
    <row r="262" spans="2:8">
      <c r="B262" s="5"/>
      <c r="H262" s="16"/>
    </row>
    <row r="263" spans="2:8">
      <c r="B263" s="5"/>
      <c r="H263" s="16"/>
    </row>
    <row r="264" spans="2:8">
      <c r="B264" s="5"/>
      <c r="H264" s="16"/>
    </row>
    <row r="265" spans="2:8">
      <c r="B265" s="5"/>
      <c r="H265" s="16"/>
    </row>
    <row r="266" spans="2:8">
      <c r="B266" s="5"/>
      <c r="H266" s="16"/>
    </row>
    <row r="267" spans="2:8">
      <c r="B267" s="5"/>
      <c r="H267" s="16"/>
    </row>
    <row r="268" spans="2:8">
      <c r="B268" s="5"/>
      <c r="H268" s="16"/>
    </row>
    <row r="269" spans="2:8">
      <c r="B269" s="5"/>
      <c r="H269" s="16"/>
    </row>
    <row r="270" spans="2:8">
      <c r="B270" s="5"/>
      <c r="H270" s="16"/>
    </row>
    <row r="271" spans="2:8">
      <c r="B271" s="5"/>
      <c r="H271" s="16"/>
    </row>
    <row r="272" spans="2:8">
      <c r="B272" s="5"/>
      <c r="H272" s="16"/>
    </row>
    <row r="273" spans="2:8">
      <c r="B273" s="5"/>
      <c r="H273" s="16"/>
    </row>
    <row r="274" spans="2:8">
      <c r="B274" s="5"/>
      <c r="H274" s="16"/>
    </row>
    <row r="275" spans="2:8">
      <c r="B275" s="5"/>
      <c r="H275" s="16"/>
    </row>
    <row r="276" spans="2:8">
      <c r="B276" s="5"/>
      <c r="H276" s="16"/>
    </row>
    <row r="277" spans="2:8">
      <c r="B277" s="5"/>
      <c r="H277" s="16"/>
    </row>
    <row r="278" spans="2:8">
      <c r="B278" s="5"/>
      <c r="H278" s="16"/>
    </row>
    <row r="279" spans="2:8">
      <c r="B279" s="5"/>
      <c r="H279" s="16"/>
    </row>
    <row r="280" spans="2:8">
      <c r="B280" s="5"/>
      <c r="H280" s="16"/>
    </row>
    <row r="281" spans="2:8">
      <c r="B281" s="5"/>
      <c r="H281" s="16"/>
    </row>
    <row r="282" spans="2:8">
      <c r="B282" s="5"/>
      <c r="H282" s="16"/>
    </row>
    <row r="283" spans="2:8">
      <c r="B283" s="5"/>
      <c r="H283" s="16"/>
    </row>
    <row r="284" spans="2:8">
      <c r="B284" s="5"/>
      <c r="H284" s="16"/>
    </row>
    <row r="285" spans="2:8">
      <c r="B285" s="5"/>
      <c r="H285" s="16"/>
    </row>
    <row r="286" spans="2:8">
      <c r="B286" s="5"/>
      <c r="H286" s="16"/>
    </row>
    <row r="287" spans="2:8">
      <c r="B287" s="5"/>
      <c r="H287" s="16"/>
    </row>
    <row r="288" spans="2:8">
      <c r="B288" s="5"/>
      <c r="H288" s="16"/>
    </row>
    <row r="289" spans="2:8">
      <c r="B289" s="5"/>
      <c r="H289" s="16"/>
    </row>
    <row r="290" spans="2:8">
      <c r="B290" s="5"/>
      <c r="H290" s="16"/>
    </row>
    <row r="291" spans="2:8">
      <c r="B291" s="5"/>
      <c r="H291" s="16"/>
    </row>
    <row r="292" spans="2:8">
      <c r="B292" s="5"/>
      <c r="H292" s="16"/>
    </row>
    <row r="293" spans="2:8">
      <c r="B293" s="5"/>
      <c r="H293" s="16"/>
    </row>
    <row r="294" spans="2:8">
      <c r="B294" s="5"/>
      <c r="H294" s="16"/>
    </row>
    <row r="295" spans="2:8">
      <c r="B295" s="5"/>
      <c r="H295" s="16"/>
    </row>
    <row r="296" spans="2:8">
      <c r="B296" s="5"/>
      <c r="H296" s="16"/>
    </row>
    <row r="297" spans="2:8">
      <c r="B297" s="5"/>
      <c r="H297" s="16"/>
    </row>
    <row r="298" spans="2:8">
      <c r="B298" s="5"/>
      <c r="H298" s="16"/>
    </row>
    <row r="299" spans="2:8">
      <c r="B299" s="5"/>
      <c r="H299" s="16"/>
    </row>
    <row r="300" spans="2:8">
      <c r="B300" s="5"/>
      <c r="H300" s="16"/>
    </row>
    <row r="301" spans="2:8">
      <c r="B301" s="5"/>
      <c r="H301" s="16"/>
    </row>
    <row r="302" spans="2:8">
      <c r="B302" s="5"/>
      <c r="H302" s="16"/>
    </row>
    <row r="303" spans="2:8">
      <c r="B303" s="5"/>
      <c r="H303" s="16"/>
    </row>
    <row r="304" spans="2:8">
      <c r="B304" s="5"/>
      <c r="H304" s="16"/>
    </row>
    <row r="305" spans="2:8">
      <c r="B305" s="5"/>
      <c r="H305" s="16"/>
    </row>
    <row r="306" spans="2:8">
      <c r="B306" s="5"/>
      <c r="H306" s="16"/>
    </row>
    <row r="307" spans="2:8">
      <c r="B307" s="5"/>
      <c r="H307" s="16"/>
    </row>
    <row r="308" spans="2:8">
      <c r="B308" s="5"/>
      <c r="H308" s="16"/>
    </row>
    <row r="309" spans="2:8">
      <c r="B309" s="5"/>
      <c r="H309" s="16"/>
    </row>
    <row r="310" spans="2:8">
      <c r="B310" s="5"/>
      <c r="H310" s="16"/>
    </row>
    <row r="311" spans="2:8">
      <c r="B311" s="5"/>
      <c r="H311" s="16"/>
    </row>
    <row r="312" spans="2:8">
      <c r="B312" s="5"/>
      <c r="H312" s="16"/>
    </row>
    <row r="313" spans="2:8">
      <c r="B313" s="5"/>
      <c r="H313" s="16"/>
    </row>
    <row r="314" spans="2:8">
      <c r="B314" s="5"/>
      <c r="H314" s="16"/>
    </row>
    <row r="315" spans="2:8">
      <c r="B315" s="5"/>
      <c r="H315" s="16"/>
    </row>
    <row r="316" spans="2:8">
      <c r="B316" s="5"/>
      <c r="H316" s="16"/>
    </row>
    <row r="317" spans="2:8">
      <c r="B317" s="5"/>
      <c r="H317" s="16"/>
    </row>
    <row r="318" spans="2:8">
      <c r="B318" s="5"/>
      <c r="H318" s="16"/>
    </row>
    <row r="319" spans="2:8">
      <c r="B319" s="5"/>
      <c r="H319" s="16"/>
    </row>
    <row r="320" spans="2:8">
      <c r="B320" s="5"/>
      <c r="H320" s="16"/>
    </row>
    <row r="321" spans="2:8">
      <c r="B321" s="5"/>
      <c r="H321" s="16"/>
    </row>
    <row r="322" spans="2:8">
      <c r="B322" s="5"/>
      <c r="H322" s="16"/>
    </row>
    <row r="323" spans="2:8">
      <c r="B323" s="5"/>
      <c r="H323" s="16"/>
    </row>
    <row r="324" spans="2:8">
      <c r="B324" s="5"/>
      <c r="H324" s="16"/>
    </row>
    <row r="325" spans="2:8">
      <c r="B325" s="5"/>
      <c r="H325" s="16"/>
    </row>
    <row r="326" spans="2:8">
      <c r="B326" s="5"/>
      <c r="H326" s="16"/>
    </row>
    <row r="327" spans="2:8">
      <c r="B327" s="5"/>
      <c r="H327" s="16"/>
    </row>
    <row r="328" spans="2:8">
      <c r="B328" s="5"/>
      <c r="H328" s="16"/>
    </row>
    <row r="329" spans="2:8">
      <c r="B329" s="5"/>
      <c r="H329" s="16"/>
    </row>
    <row r="330" spans="2:8">
      <c r="B330" s="5"/>
      <c r="H330" s="16"/>
    </row>
    <row r="331" spans="2:8">
      <c r="B331" s="5"/>
      <c r="H331" s="16"/>
    </row>
    <row r="332" spans="2:8">
      <c r="B332" s="5"/>
      <c r="H332" s="16"/>
    </row>
    <row r="333" spans="2:8">
      <c r="B333" s="5"/>
      <c r="H333" s="16"/>
    </row>
    <row r="334" spans="2:8">
      <c r="B334" s="5"/>
      <c r="H334" s="16"/>
    </row>
    <row r="335" spans="2:8">
      <c r="B335" s="5"/>
      <c r="H335" s="16"/>
    </row>
    <row r="336" spans="2:8">
      <c r="B336" s="5"/>
      <c r="H336" s="16"/>
    </row>
    <row r="337" spans="2:8">
      <c r="B337" s="5"/>
      <c r="H337" s="16"/>
    </row>
    <row r="338" spans="2:8">
      <c r="B338" s="5"/>
      <c r="H338" s="16"/>
    </row>
    <row r="339" spans="2:8">
      <c r="B339" s="5"/>
      <c r="H339" s="16"/>
    </row>
    <row r="340" spans="2:8">
      <c r="B340" s="5"/>
      <c r="H340" s="16"/>
    </row>
    <row r="341" spans="2:8">
      <c r="B341" s="5"/>
      <c r="H341" s="16"/>
    </row>
    <row r="342" spans="2:8">
      <c r="B342" s="5"/>
      <c r="H342" s="16"/>
    </row>
    <row r="343" spans="2:8">
      <c r="B343" s="5"/>
      <c r="H343" s="16"/>
    </row>
    <row r="344" spans="2:8">
      <c r="B344" s="5"/>
      <c r="H344" s="16"/>
    </row>
    <row r="345" spans="2:8">
      <c r="B345" s="5"/>
      <c r="H345" s="16"/>
    </row>
    <row r="346" spans="2:8">
      <c r="B346" s="5"/>
      <c r="H346" s="16"/>
    </row>
    <row r="347" spans="2:8">
      <c r="B347" s="5"/>
      <c r="H347" s="16"/>
    </row>
    <row r="348" spans="2:8">
      <c r="B348" s="5"/>
      <c r="H348" s="16"/>
    </row>
    <row r="349" spans="2:8">
      <c r="B349" s="5"/>
      <c r="H349" s="16"/>
    </row>
    <row r="350" spans="2:8">
      <c r="B350" s="5"/>
      <c r="H350" s="16"/>
    </row>
    <row r="351" spans="2:8">
      <c r="B351" s="5"/>
      <c r="H351" s="16"/>
    </row>
    <row r="352" spans="2:8">
      <c r="B352" s="5"/>
      <c r="H352" s="16"/>
    </row>
    <row r="353" spans="2:8">
      <c r="B353" s="5"/>
      <c r="H353" s="16"/>
    </row>
    <row r="354" spans="2:8">
      <c r="B354" s="5"/>
      <c r="H354" s="16"/>
    </row>
    <row r="355" spans="2:8">
      <c r="B355" s="5"/>
      <c r="H355" s="16"/>
    </row>
    <row r="356" spans="2:8">
      <c r="B356" s="5"/>
      <c r="H356" s="16"/>
    </row>
    <row r="357" spans="2:8">
      <c r="B357" s="5"/>
      <c r="H357" s="16"/>
    </row>
    <row r="358" spans="2:8">
      <c r="B358" s="5"/>
      <c r="H358" s="16"/>
    </row>
    <row r="359" spans="2:8">
      <c r="B359" s="5"/>
      <c r="H359" s="16"/>
    </row>
    <row r="360" spans="2:8">
      <c r="B360" s="5"/>
      <c r="H360" s="16"/>
    </row>
    <row r="361" spans="2:8">
      <c r="B361" s="5"/>
      <c r="H361" s="16"/>
    </row>
    <row r="362" spans="2:8">
      <c r="B362" s="5"/>
      <c r="H362" s="16"/>
    </row>
    <row r="363" spans="2:8">
      <c r="B363" s="5"/>
      <c r="H363" s="16"/>
    </row>
    <row r="364" spans="2:8">
      <c r="B364" s="5"/>
      <c r="H364" s="16"/>
    </row>
    <row r="365" spans="2:8">
      <c r="B365" s="5"/>
      <c r="H365" s="16"/>
    </row>
    <row r="366" spans="2:8">
      <c r="B366" s="5"/>
      <c r="H366" s="16"/>
    </row>
    <row r="367" spans="2:8">
      <c r="B367" s="5"/>
      <c r="H367" s="16"/>
    </row>
    <row r="368" spans="2:8">
      <c r="B368" s="5"/>
      <c r="H368" s="16"/>
    </row>
    <row r="369" spans="2:8">
      <c r="B369" s="5"/>
      <c r="H369" s="16"/>
    </row>
    <row r="370" spans="2:8">
      <c r="B370" s="5"/>
      <c r="H370" s="16"/>
    </row>
    <row r="371" spans="2:8">
      <c r="B371" s="5"/>
      <c r="H371" s="16"/>
    </row>
    <row r="372" spans="2:8">
      <c r="B372" s="5"/>
      <c r="H372" s="16"/>
    </row>
    <row r="373" spans="2:8">
      <c r="B373" s="5"/>
      <c r="H373" s="16"/>
    </row>
    <row r="374" spans="2:8">
      <c r="B374" s="5"/>
      <c r="H374" s="16"/>
    </row>
    <row r="375" spans="2:8">
      <c r="B375" s="5"/>
      <c r="H375" s="16"/>
    </row>
    <row r="376" spans="2:8">
      <c r="B376" s="5"/>
      <c r="H376" s="16"/>
    </row>
    <row r="377" spans="2:8">
      <c r="B377" s="5"/>
      <c r="H377" s="16"/>
    </row>
    <row r="378" spans="2:8">
      <c r="B378" s="5"/>
      <c r="H378" s="16"/>
    </row>
    <row r="379" spans="2:8">
      <c r="B379" s="5"/>
      <c r="H379" s="16"/>
    </row>
    <row r="380" spans="2:8">
      <c r="B380" s="5"/>
      <c r="H380" s="16"/>
    </row>
    <row r="381" spans="2:8">
      <c r="B381" s="5"/>
      <c r="H381" s="16"/>
    </row>
    <row r="382" spans="2:8">
      <c r="B382" s="5"/>
      <c r="H382" s="16"/>
    </row>
    <row r="383" spans="2:8">
      <c r="B383" s="5"/>
      <c r="H383" s="16"/>
    </row>
    <row r="384" spans="2:8">
      <c r="B384" s="5"/>
      <c r="H384" s="16"/>
    </row>
    <row r="385" spans="2:8">
      <c r="B385" s="5"/>
      <c r="H385" s="16"/>
    </row>
    <row r="386" spans="2:8">
      <c r="B386" s="5"/>
      <c r="H386" s="16"/>
    </row>
    <row r="387" spans="2:8">
      <c r="B387" s="5"/>
      <c r="H387" s="16"/>
    </row>
    <row r="388" spans="2:8">
      <c r="B388" s="5"/>
      <c r="H388" s="16"/>
    </row>
    <row r="389" spans="2:8">
      <c r="B389" s="5"/>
      <c r="H389" s="16"/>
    </row>
    <row r="390" spans="2:8">
      <c r="B390" s="5"/>
      <c r="H390" s="16"/>
    </row>
    <row r="391" spans="2:8">
      <c r="B391" s="5"/>
      <c r="H391" s="16"/>
    </row>
    <row r="392" spans="2:8">
      <c r="B392" s="5"/>
      <c r="H392" s="16"/>
    </row>
    <row r="393" spans="2:8">
      <c r="B393" s="5"/>
      <c r="H393" s="16"/>
    </row>
    <row r="394" spans="2:8">
      <c r="B394" s="5"/>
      <c r="H394" s="16"/>
    </row>
    <row r="395" spans="2:8">
      <c r="B395" s="5"/>
      <c r="H395" s="16"/>
    </row>
    <row r="396" spans="2:8">
      <c r="B396" s="5"/>
      <c r="H396" s="16"/>
    </row>
    <row r="397" spans="2:8">
      <c r="B397" s="5"/>
      <c r="H397" s="16"/>
    </row>
    <row r="398" spans="2:8">
      <c r="B398" s="5"/>
      <c r="H398" s="16"/>
    </row>
    <row r="399" spans="2:8">
      <c r="B399" s="5"/>
      <c r="H399" s="16"/>
    </row>
    <row r="400" spans="2:8">
      <c r="B400" s="5"/>
      <c r="H400" s="16"/>
    </row>
    <row r="401" spans="2:8">
      <c r="B401" s="5"/>
      <c r="H401" s="16"/>
    </row>
    <row r="402" spans="2:8">
      <c r="B402" s="5"/>
      <c r="H402" s="16"/>
    </row>
    <row r="403" spans="2:8">
      <c r="B403" s="5"/>
      <c r="H403" s="16"/>
    </row>
    <row r="404" spans="2:8">
      <c r="B404" s="5"/>
      <c r="H404" s="16"/>
    </row>
    <row r="405" spans="2:8">
      <c r="B405" s="5"/>
      <c r="H405" s="16"/>
    </row>
    <row r="406" spans="2:8">
      <c r="B406" s="5"/>
      <c r="H406" s="16"/>
    </row>
    <row r="407" spans="2:8">
      <c r="B407" s="5"/>
      <c r="H407" s="16"/>
    </row>
    <row r="408" spans="2:8">
      <c r="B408" s="5"/>
      <c r="H408" s="16"/>
    </row>
    <row r="409" spans="2:8">
      <c r="B409" s="5"/>
      <c r="H409" s="16"/>
    </row>
    <row r="410" spans="2:8">
      <c r="B410" s="5"/>
      <c r="H410" s="16"/>
    </row>
    <row r="411" spans="2:8">
      <c r="B411" s="5"/>
      <c r="H411" s="16"/>
    </row>
    <row r="412" spans="2:8">
      <c r="B412" s="5"/>
      <c r="H412" s="16"/>
    </row>
    <row r="413" spans="2:8">
      <c r="B413" s="5"/>
      <c r="H413" s="16"/>
    </row>
    <row r="414" spans="2:8">
      <c r="B414" s="5"/>
      <c r="H414" s="16"/>
    </row>
    <row r="415" spans="2:8">
      <c r="B415" s="5"/>
      <c r="H415" s="16"/>
    </row>
    <row r="416" spans="2:8">
      <c r="B416" s="5"/>
      <c r="H416" s="16"/>
    </row>
    <row r="417" spans="2:8">
      <c r="B417" s="5"/>
      <c r="H417" s="16"/>
    </row>
    <row r="418" spans="2:8">
      <c r="B418" s="5"/>
      <c r="H418" s="16"/>
    </row>
    <row r="419" spans="2:8">
      <c r="B419" s="5"/>
      <c r="H419" s="16"/>
    </row>
    <row r="420" spans="2:8">
      <c r="B420" s="5"/>
      <c r="H420" s="16"/>
    </row>
    <row r="421" spans="2:8">
      <c r="B421" s="5"/>
      <c r="H421" s="16"/>
    </row>
    <row r="422" spans="2:8">
      <c r="B422" s="5"/>
      <c r="H422" s="16"/>
    </row>
    <row r="423" spans="2:8">
      <c r="B423" s="5"/>
      <c r="H423" s="16"/>
    </row>
    <row r="424" spans="2:8">
      <c r="B424" s="5"/>
      <c r="H424" s="16"/>
    </row>
    <row r="425" spans="2:8">
      <c r="B425" s="5"/>
      <c r="H425" s="16"/>
    </row>
    <row r="426" spans="2:8">
      <c r="B426" s="5"/>
      <c r="H426" s="16"/>
    </row>
    <row r="427" spans="2:8">
      <c r="B427" s="5"/>
      <c r="H427" s="16"/>
    </row>
    <row r="428" spans="2:8">
      <c r="B428" s="5"/>
      <c r="H428" s="16"/>
    </row>
    <row r="429" spans="2:8">
      <c r="B429" s="5"/>
      <c r="H429" s="16"/>
    </row>
    <row r="430" spans="2:8">
      <c r="B430" s="5"/>
      <c r="H430" s="16"/>
    </row>
    <row r="431" spans="2:8">
      <c r="B431" s="5"/>
      <c r="H431" s="16"/>
    </row>
    <row r="432" spans="2:8">
      <c r="B432" s="5"/>
      <c r="H432" s="16"/>
    </row>
    <row r="433" spans="2:8">
      <c r="B433" s="5"/>
      <c r="H433" s="16"/>
    </row>
    <row r="434" spans="2:8">
      <c r="B434" s="5"/>
      <c r="H434" s="16"/>
    </row>
    <row r="435" spans="2:8">
      <c r="B435" s="5"/>
      <c r="H435" s="16"/>
    </row>
    <row r="436" spans="2:8">
      <c r="B436" s="5"/>
      <c r="H436" s="16"/>
    </row>
    <row r="437" spans="2:8">
      <c r="B437" s="5"/>
      <c r="H437" s="16"/>
    </row>
    <row r="438" spans="2:8">
      <c r="B438" s="5"/>
      <c r="H438" s="16"/>
    </row>
    <row r="439" spans="2:8">
      <c r="B439" s="5"/>
      <c r="H439" s="16"/>
    </row>
    <row r="440" spans="2:8">
      <c r="B440" s="5"/>
      <c r="H440" s="16"/>
    </row>
    <row r="441" spans="2:8">
      <c r="B441" s="5"/>
      <c r="H441" s="16"/>
    </row>
    <row r="442" spans="2:8">
      <c r="B442" s="5"/>
      <c r="H442" s="16"/>
    </row>
    <row r="443" spans="2:8">
      <c r="B443" s="5"/>
      <c r="H443" s="16"/>
    </row>
    <row r="444" spans="2:8">
      <c r="B444" s="5"/>
      <c r="H444" s="16"/>
    </row>
    <row r="445" spans="2:8">
      <c r="B445" s="5"/>
      <c r="H445" s="16"/>
    </row>
    <row r="446" spans="2:8">
      <c r="B446" s="5"/>
      <c r="H446" s="16"/>
    </row>
    <row r="447" spans="2:8">
      <c r="B447" s="5"/>
      <c r="H447" s="16"/>
    </row>
    <row r="448" spans="2:8">
      <c r="B448" s="5"/>
      <c r="H448" s="16"/>
    </row>
    <row r="449" spans="2:8">
      <c r="B449" s="5"/>
      <c r="H449" s="16"/>
    </row>
    <row r="450" spans="2:8">
      <c r="B450" s="5"/>
      <c r="H450" s="16"/>
    </row>
    <row r="451" spans="2:8">
      <c r="B451" s="5"/>
      <c r="H451" s="16"/>
    </row>
    <row r="452" spans="2:8">
      <c r="B452" s="5"/>
      <c r="H452" s="16"/>
    </row>
    <row r="453" spans="2:8">
      <c r="B453" s="5"/>
      <c r="H453" s="16"/>
    </row>
    <row r="454" spans="2:8">
      <c r="B454" s="5"/>
      <c r="H454" s="16"/>
    </row>
    <row r="455" spans="2:8">
      <c r="B455" s="5"/>
      <c r="H455" s="16"/>
    </row>
    <row r="456" spans="2:8">
      <c r="B456" s="5"/>
      <c r="H456" s="16"/>
    </row>
    <row r="457" spans="2:8">
      <c r="B457" s="5"/>
      <c r="H457" s="16"/>
    </row>
    <row r="458" spans="2:8">
      <c r="B458" s="5"/>
      <c r="H458" s="16"/>
    </row>
    <row r="459" spans="2:8">
      <c r="B459" s="5"/>
      <c r="H459" s="16"/>
    </row>
    <row r="460" spans="2:8">
      <c r="B460" s="5"/>
      <c r="H460" s="16"/>
    </row>
    <row r="461" spans="2:8">
      <c r="B461" s="5"/>
      <c r="H461" s="16"/>
    </row>
    <row r="462" spans="2:8">
      <c r="B462" s="5"/>
      <c r="H462" s="16"/>
    </row>
    <row r="463" spans="2:8">
      <c r="B463" s="5"/>
      <c r="H463" s="16"/>
    </row>
    <row r="464" spans="2:8">
      <c r="B464" s="5"/>
      <c r="H464" s="16"/>
    </row>
    <row r="465" spans="2:8">
      <c r="B465" s="5"/>
      <c r="H465" s="16"/>
    </row>
    <row r="466" spans="2:8">
      <c r="B466" s="5"/>
      <c r="H466" s="16"/>
    </row>
    <row r="467" spans="2:8">
      <c r="B467" s="5"/>
      <c r="H467" s="16"/>
    </row>
    <row r="468" spans="2:8">
      <c r="B468" s="5"/>
      <c r="H468" s="16"/>
    </row>
    <row r="469" spans="2:8">
      <c r="B469" s="5"/>
      <c r="H469" s="16"/>
    </row>
    <row r="470" spans="2:8">
      <c r="B470" s="5"/>
      <c r="H470" s="16"/>
    </row>
    <row r="471" spans="2:8">
      <c r="B471" s="5"/>
      <c r="H471" s="16"/>
    </row>
    <row r="472" spans="2:8">
      <c r="B472" s="5"/>
      <c r="H472" s="16"/>
    </row>
    <row r="473" spans="2:8">
      <c r="B473" s="5"/>
      <c r="H473" s="16"/>
    </row>
    <row r="474" spans="2:8">
      <c r="B474" s="5"/>
      <c r="H474" s="16"/>
    </row>
    <row r="475" spans="2:8">
      <c r="B475" s="5"/>
      <c r="H475" s="16"/>
    </row>
    <row r="476" spans="2:8">
      <c r="B476" s="5"/>
      <c r="H476" s="16"/>
    </row>
    <row r="477" spans="2:8">
      <c r="B477" s="5"/>
      <c r="H477" s="16"/>
    </row>
    <row r="478" spans="2:8">
      <c r="B478" s="5"/>
      <c r="H478" s="16"/>
    </row>
    <row r="479" spans="2:8">
      <c r="B479" s="5"/>
      <c r="H479" s="16"/>
    </row>
    <row r="480" spans="2:8">
      <c r="B480" s="5"/>
      <c r="H480" s="16"/>
    </row>
    <row r="481" spans="2:8">
      <c r="B481" s="5"/>
      <c r="H481" s="16"/>
    </row>
    <row r="482" spans="2:8">
      <c r="B482" s="5"/>
      <c r="H482" s="16"/>
    </row>
    <row r="483" spans="2:8">
      <c r="B483" s="5"/>
      <c r="H483" s="16"/>
    </row>
    <row r="484" spans="2:8">
      <c r="B484" s="5"/>
      <c r="H484" s="16"/>
    </row>
    <row r="485" spans="2:8">
      <c r="B485" s="5"/>
      <c r="H485" s="16"/>
    </row>
    <row r="486" spans="2:8">
      <c r="B486" s="5"/>
      <c r="H486" s="16"/>
    </row>
    <row r="487" spans="2:8">
      <c r="B487" s="5"/>
      <c r="H487" s="16"/>
    </row>
    <row r="488" spans="2:8">
      <c r="B488" s="5"/>
      <c r="H488" s="16"/>
    </row>
    <row r="489" spans="2:8">
      <c r="B489" s="5"/>
      <c r="H489" s="16"/>
    </row>
    <row r="490" spans="2:8">
      <c r="B490" s="5"/>
      <c r="H490" s="16"/>
    </row>
    <row r="491" spans="2:8">
      <c r="B491" s="5"/>
      <c r="H491" s="16"/>
    </row>
    <row r="492" spans="2:8">
      <c r="B492" s="5"/>
      <c r="H492" s="16"/>
    </row>
    <row r="493" spans="2:8">
      <c r="B493" s="5"/>
      <c r="H493" s="16"/>
    </row>
    <row r="494" spans="2:8">
      <c r="B494" s="5"/>
      <c r="H494" s="16"/>
    </row>
    <row r="495" spans="2:8">
      <c r="B495" s="5"/>
      <c r="H495" s="16"/>
    </row>
    <row r="496" spans="2:8">
      <c r="B496" s="5"/>
      <c r="H496" s="16"/>
    </row>
    <row r="497" spans="2:8">
      <c r="B497" s="5"/>
      <c r="H497" s="16"/>
    </row>
    <row r="498" spans="2:8">
      <c r="B498" s="5"/>
      <c r="H498" s="16"/>
    </row>
    <row r="499" spans="2:8">
      <c r="B499" s="5"/>
      <c r="H499" s="16"/>
    </row>
    <row r="500" spans="2:8">
      <c r="B500" s="5"/>
      <c r="H500" s="16"/>
    </row>
    <row r="501" spans="2:8">
      <c r="B501" s="5"/>
      <c r="H501" s="16"/>
    </row>
    <row r="502" spans="2:8">
      <c r="B502" s="5"/>
      <c r="H502" s="16"/>
    </row>
    <row r="503" spans="2:8">
      <c r="B503" s="5"/>
      <c r="H503" s="16"/>
    </row>
    <row r="504" spans="2:8">
      <c r="B504" s="5"/>
      <c r="H504" s="16"/>
    </row>
    <row r="505" spans="2:8">
      <c r="B505" s="5"/>
      <c r="H505" s="16"/>
    </row>
    <row r="506" spans="2:8">
      <c r="B506" s="5"/>
      <c r="H506" s="16"/>
    </row>
    <row r="507" spans="2:8">
      <c r="B507" s="5"/>
      <c r="H507" s="16"/>
    </row>
    <row r="508" spans="2:8">
      <c r="B508" s="5"/>
      <c r="H508" s="16"/>
    </row>
    <row r="509" spans="2:8">
      <c r="B509" s="5"/>
      <c r="H509" s="16"/>
    </row>
    <row r="510" spans="2:8">
      <c r="B510" s="5"/>
      <c r="H510" s="16"/>
    </row>
    <row r="511" spans="2:8">
      <c r="B511" s="5"/>
      <c r="H511" s="16"/>
    </row>
    <row r="512" spans="2:8">
      <c r="B512" s="5"/>
      <c r="H512" s="16"/>
    </row>
    <row r="513" spans="2:8">
      <c r="B513" s="5"/>
      <c r="H513" s="16"/>
    </row>
    <row r="514" spans="2:8">
      <c r="B514" s="5"/>
      <c r="H514" s="16"/>
    </row>
    <row r="515" spans="2:8">
      <c r="B515" s="5"/>
      <c r="H515" s="16"/>
    </row>
    <row r="516" spans="2:8">
      <c r="B516" s="5"/>
      <c r="H516" s="16"/>
    </row>
    <row r="517" spans="2:8">
      <c r="B517" s="5"/>
      <c r="H517" s="16"/>
    </row>
    <row r="518" spans="2:8">
      <c r="B518" s="5"/>
      <c r="H518" s="16"/>
    </row>
    <row r="519" spans="2:8">
      <c r="B519" s="5"/>
      <c r="H519" s="16"/>
    </row>
    <row r="520" spans="2:8">
      <c r="B520" s="5"/>
      <c r="H520" s="16"/>
    </row>
    <row r="521" spans="2:8">
      <c r="B521" s="5"/>
      <c r="H521" s="16"/>
    </row>
    <row r="522" spans="2:8">
      <c r="B522" s="5"/>
      <c r="H522" s="16"/>
    </row>
    <row r="523" spans="2:8">
      <c r="B523" s="5"/>
      <c r="H523" s="16"/>
    </row>
    <row r="524" spans="2:8">
      <c r="B524" s="5"/>
      <c r="H524" s="16"/>
    </row>
    <row r="525" spans="2:8">
      <c r="B525" s="5"/>
      <c r="H525" s="16"/>
    </row>
    <row r="526" spans="2:8">
      <c r="B526" s="5"/>
      <c r="H526" s="16"/>
    </row>
    <row r="527" spans="2:8">
      <c r="B527" s="5"/>
      <c r="H527" s="16"/>
    </row>
    <row r="528" spans="2:8">
      <c r="B528" s="5"/>
      <c r="H528" s="16"/>
    </row>
    <row r="529" spans="2:8">
      <c r="B529" s="5"/>
      <c r="H529" s="16"/>
    </row>
    <row r="530" spans="2:8">
      <c r="B530" s="5"/>
      <c r="H530" s="16"/>
    </row>
    <row r="531" spans="2:8">
      <c r="B531" s="5"/>
      <c r="H531" s="16"/>
    </row>
    <row r="532" spans="2:8">
      <c r="B532" s="5"/>
      <c r="H532" s="16"/>
    </row>
    <row r="533" spans="2:8">
      <c r="B533" s="5"/>
      <c r="H533" s="16"/>
    </row>
    <row r="534" spans="2:8">
      <c r="B534" s="5"/>
      <c r="H534" s="16"/>
    </row>
    <row r="535" spans="2:8">
      <c r="B535" s="5"/>
      <c r="H535" s="16"/>
    </row>
    <row r="536" spans="2:8">
      <c r="B536" s="5"/>
      <c r="H536" s="16"/>
    </row>
    <row r="537" spans="2:8">
      <c r="B537" s="5"/>
      <c r="H537" s="16"/>
    </row>
    <row r="538" spans="2:8">
      <c r="B538" s="5"/>
      <c r="H538" s="16"/>
    </row>
    <row r="539" spans="2:8">
      <c r="B539" s="5"/>
      <c r="H539" s="16"/>
    </row>
    <row r="540" spans="2:8">
      <c r="B540" s="5"/>
      <c r="H540" s="16"/>
    </row>
    <row r="541" spans="2:8">
      <c r="B541" s="5"/>
      <c r="H541" s="16"/>
    </row>
    <row r="542" spans="2:8">
      <c r="B542" s="5"/>
      <c r="H542" s="16"/>
    </row>
    <row r="543" spans="2:8">
      <c r="B543" s="5"/>
      <c r="H543" s="16"/>
    </row>
    <row r="544" spans="2:8">
      <c r="B544" s="5"/>
      <c r="H544" s="16"/>
    </row>
    <row r="545" spans="2:8">
      <c r="B545" s="5"/>
      <c r="H545" s="16"/>
    </row>
    <row r="546" spans="2:8">
      <c r="B546" s="5"/>
      <c r="H546" s="16"/>
    </row>
    <row r="547" spans="2:8">
      <c r="B547" s="5"/>
      <c r="H547" s="16"/>
    </row>
    <row r="548" spans="2:8">
      <c r="B548" s="5"/>
      <c r="H548" s="16"/>
    </row>
    <row r="549" spans="2:8">
      <c r="B549" s="5"/>
      <c r="H549" s="16"/>
    </row>
    <row r="550" spans="2:8">
      <c r="B550" s="5"/>
      <c r="H550" s="16"/>
    </row>
    <row r="551" spans="2:8">
      <c r="B551" s="5"/>
      <c r="H551" s="16"/>
    </row>
    <row r="552" spans="2:8">
      <c r="B552" s="5"/>
      <c r="H552" s="16"/>
    </row>
    <row r="553" spans="2:8">
      <c r="B553" s="5"/>
      <c r="H553" s="16"/>
    </row>
    <row r="554" spans="2:8">
      <c r="B554" s="5"/>
      <c r="H554" s="16"/>
    </row>
    <row r="555" spans="2:8">
      <c r="B555" s="5"/>
      <c r="H555" s="16"/>
    </row>
    <row r="556" spans="2:8">
      <c r="B556" s="5"/>
      <c r="H556" s="16"/>
    </row>
    <row r="557" spans="2:8">
      <c r="B557" s="5"/>
      <c r="H557" s="16"/>
    </row>
    <row r="558" spans="2:8">
      <c r="B558" s="5"/>
      <c r="H558" s="16"/>
    </row>
    <row r="559" spans="2:8">
      <c r="B559" s="5"/>
      <c r="H559" s="16"/>
    </row>
    <row r="560" spans="2:8">
      <c r="B560" s="5"/>
      <c r="H560" s="16"/>
    </row>
    <row r="561" spans="2:8">
      <c r="B561" s="5"/>
      <c r="H561" s="16"/>
    </row>
    <row r="562" spans="2:8">
      <c r="B562" s="5"/>
      <c r="H562" s="16"/>
    </row>
    <row r="563" spans="2:8">
      <c r="B563" s="5"/>
      <c r="H563" s="16"/>
    </row>
    <row r="564" spans="2:8">
      <c r="B564" s="5"/>
      <c r="H564" s="16"/>
    </row>
    <row r="565" spans="2:8">
      <c r="B565" s="5"/>
      <c r="H565" s="16"/>
    </row>
    <row r="566" spans="2:8">
      <c r="B566" s="5"/>
      <c r="H566" s="16"/>
    </row>
    <row r="567" spans="2:8">
      <c r="B567" s="5"/>
      <c r="H567" s="16"/>
    </row>
    <row r="568" spans="2:8">
      <c r="B568" s="5"/>
      <c r="H568" s="16"/>
    </row>
    <row r="569" spans="2:8">
      <c r="B569" s="5"/>
      <c r="H569" s="16"/>
    </row>
    <row r="570" spans="2:8">
      <c r="B570" s="5"/>
      <c r="H570" s="16"/>
    </row>
    <row r="571" spans="2:8">
      <c r="B571" s="5"/>
      <c r="H571" s="16"/>
    </row>
    <row r="572" spans="2:8">
      <c r="B572" s="5"/>
      <c r="H572" s="16"/>
    </row>
    <row r="573" spans="2:8">
      <c r="B573" s="5"/>
      <c r="H573" s="16"/>
    </row>
    <row r="574" spans="2:8">
      <c r="B574" s="5"/>
      <c r="H574" s="16"/>
    </row>
    <row r="575" spans="2:8">
      <c r="B575" s="5"/>
      <c r="H575" s="16"/>
    </row>
    <row r="576" spans="2:8">
      <c r="B576" s="5"/>
      <c r="H576" s="16"/>
    </row>
    <row r="577" spans="2:8">
      <c r="B577" s="5"/>
      <c r="H577" s="16"/>
    </row>
    <row r="578" spans="2:8">
      <c r="B578" s="5"/>
      <c r="H578" s="16"/>
    </row>
    <row r="579" spans="2:8">
      <c r="B579" s="5"/>
      <c r="H579" s="16"/>
    </row>
    <row r="580" spans="2:8">
      <c r="B580" s="5"/>
      <c r="H580" s="16"/>
    </row>
    <row r="581" spans="2:8">
      <c r="B581" s="5"/>
      <c r="H581" s="16"/>
    </row>
    <row r="582" spans="2:8">
      <c r="B582" s="5"/>
      <c r="H582" s="16"/>
    </row>
    <row r="583" spans="2:8">
      <c r="B583" s="5"/>
      <c r="H583" s="16"/>
    </row>
    <row r="584" spans="2:8">
      <c r="B584" s="5"/>
      <c r="H584" s="16"/>
    </row>
    <row r="585" spans="2:8">
      <c r="B585" s="5"/>
      <c r="H585" s="16"/>
    </row>
    <row r="586" spans="2:8">
      <c r="B586" s="5"/>
      <c r="H586" s="16"/>
    </row>
    <row r="587" spans="2:8">
      <c r="B587" s="5"/>
      <c r="H587" s="16"/>
    </row>
    <row r="588" spans="2:8">
      <c r="B588" s="5"/>
      <c r="H588" s="16"/>
    </row>
    <row r="589" spans="2:8">
      <c r="B589" s="5"/>
      <c r="H589" s="16"/>
    </row>
    <row r="590" spans="2:8">
      <c r="B590" s="5"/>
      <c r="H590" s="16"/>
    </row>
    <row r="591" spans="2:8">
      <c r="B591" s="5"/>
      <c r="H591" s="16"/>
    </row>
    <row r="592" spans="2:8">
      <c r="B592" s="5"/>
      <c r="H592" s="16"/>
    </row>
    <row r="593" spans="2:8">
      <c r="B593" s="5"/>
      <c r="H593" s="16"/>
    </row>
    <row r="594" spans="2:8">
      <c r="B594" s="5"/>
      <c r="H594" s="16"/>
    </row>
    <row r="595" spans="2:8">
      <c r="B595" s="5"/>
      <c r="H595" s="16"/>
    </row>
    <row r="596" spans="2:8">
      <c r="B596" s="5"/>
      <c r="H596" s="16"/>
    </row>
    <row r="597" spans="2:8">
      <c r="B597" s="5"/>
      <c r="H597" s="16"/>
    </row>
    <row r="598" spans="2:8">
      <c r="B598" s="5"/>
      <c r="H598" s="16"/>
    </row>
    <row r="599" spans="2:8">
      <c r="B599" s="5"/>
      <c r="H599" s="16"/>
    </row>
    <row r="600" spans="2:8">
      <c r="B600" s="5"/>
      <c r="H600" s="16"/>
    </row>
    <row r="601" spans="2:8">
      <c r="B601" s="5"/>
      <c r="H601" s="16"/>
    </row>
    <row r="602" spans="2:8">
      <c r="B602" s="5"/>
      <c r="H602" s="16"/>
    </row>
    <row r="603" spans="2:8">
      <c r="B603" s="5"/>
      <c r="H603" s="16"/>
    </row>
    <row r="604" spans="2:8">
      <c r="B604" s="5"/>
      <c r="H604" s="16"/>
    </row>
    <row r="605" spans="2:8">
      <c r="B605" s="5"/>
      <c r="H605" s="16"/>
    </row>
    <row r="606" spans="2:8">
      <c r="B606" s="5"/>
      <c r="H606" s="16"/>
    </row>
    <row r="607" spans="2:8">
      <c r="B607" s="5"/>
      <c r="H607" s="16"/>
    </row>
    <row r="608" spans="2:8">
      <c r="B608" s="5"/>
      <c r="H608" s="16"/>
    </row>
    <row r="609" spans="2:8">
      <c r="B609" s="5"/>
      <c r="H609" s="16"/>
    </row>
    <row r="610" spans="2:8">
      <c r="B610" s="5"/>
      <c r="H610" s="16"/>
    </row>
    <row r="611" spans="2:8">
      <c r="B611" s="5"/>
      <c r="H611" s="16"/>
    </row>
    <row r="612" spans="2:8">
      <c r="B612" s="5"/>
      <c r="H612" s="16"/>
    </row>
    <row r="613" spans="2:8">
      <c r="B613" s="5"/>
      <c r="H613" s="16"/>
    </row>
    <row r="614" spans="2:8">
      <c r="B614" s="5"/>
      <c r="H614" s="16"/>
    </row>
    <row r="615" spans="2:8">
      <c r="B615" s="5"/>
      <c r="H615" s="16"/>
    </row>
    <row r="616" spans="2:8">
      <c r="B616" s="5"/>
      <c r="H616" s="16"/>
    </row>
    <row r="617" spans="2:8">
      <c r="B617" s="5"/>
      <c r="H617" s="16"/>
    </row>
    <row r="618" spans="2:8">
      <c r="B618" s="5"/>
      <c r="H618" s="16"/>
    </row>
    <row r="619" spans="2:8">
      <c r="B619" s="5"/>
      <c r="H619" s="16"/>
    </row>
    <row r="620" spans="2:8">
      <c r="B620" s="5"/>
      <c r="H620" s="16"/>
    </row>
    <row r="621" spans="2:8">
      <c r="B621" s="5"/>
      <c r="H621" s="16"/>
    </row>
    <row r="622" spans="2:8">
      <c r="B622" s="5"/>
      <c r="H622" s="16"/>
    </row>
    <row r="623" spans="2:8">
      <c r="B623" s="5"/>
      <c r="H623" s="16"/>
    </row>
    <row r="624" spans="2:8">
      <c r="B624" s="5"/>
      <c r="H624" s="16"/>
    </row>
    <row r="625" spans="2:8">
      <c r="B625" s="5"/>
      <c r="H625" s="16"/>
    </row>
    <row r="626" spans="2:8">
      <c r="B626" s="5"/>
      <c r="H626" s="16"/>
    </row>
    <row r="627" spans="2:8">
      <c r="B627" s="5"/>
      <c r="H627" s="16"/>
    </row>
    <row r="628" spans="2:8">
      <c r="B628" s="5"/>
      <c r="H628" s="16"/>
    </row>
    <row r="629" spans="2:8">
      <c r="B629" s="5"/>
      <c r="H629" s="16"/>
    </row>
    <row r="630" spans="2:8">
      <c r="B630" s="5"/>
      <c r="H630" s="16"/>
    </row>
    <row r="631" spans="2:8">
      <c r="B631" s="5"/>
      <c r="H631" s="16"/>
    </row>
    <row r="632" spans="2:8">
      <c r="B632" s="5"/>
      <c r="H632" s="16"/>
    </row>
    <row r="633" spans="2:8">
      <c r="B633" s="5"/>
      <c r="H633" s="16"/>
    </row>
    <row r="634" spans="2:8">
      <c r="B634" s="5"/>
      <c r="H634" s="16"/>
    </row>
    <row r="635" spans="2:8">
      <c r="B635" s="5"/>
      <c r="H635" s="16"/>
    </row>
    <row r="636" spans="2:8">
      <c r="B636" s="5"/>
      <c r="H636" s="16"/>
    </row>
    <row r="637" spans="2:8">
      <c r="B637" s="5"/>
      <c r="H637" s="16"/>
    </row>
    <row r="638" spans="2:8">
      <c r="B638" s="5"/>
      <c r="H638" s="16"/>
    </row>
    <row r="639" spans="2:8">
      <c r="B639" s="5"/>
      <c r="H639" s="16"/>
    </row>
    <row r="640" spans="2:8">
      <c r="B640" s="5"/>
      <c r="H640" s="16"/>
    </row>
    <row r="641" spans="2:8">
      <c r="B641" s="5"/>
      <c r="H641" s="16"/>
    </row>
    <row r="642" spans="2:8">
      <c r="B642" s="5"/>
      <c r="H642" s="16"/>
    </row>
    <row r="643" spans="2:8">
      <c r="B643" s="5"/>
      <c r="H643" s="16"/>
    </row>
    <row r="644" spans="2:8">
      <c r="B644" s="5"/>
      <c r="H644" s="16"/>
    </row>
    <row r="645" spans="2:8">
      <c r="B645" s="5"/>
      <c r="H645" s="16"/>
    </row>
    <row r="646" spans="2:8">
      <c r="B646" s="5"/>
      <c r="H646" s="16"/>
    </row>
    <row r="647" spans="2:8">
      <c r="B647" s="5"/>
      <c r="H647" s="16"/>
    </row>
    <row r="648" spans="2:8">
      <c r="B648" s="5"/>
      <c r="H648" s="16"/>
    </row>
    <row r="649" spans="2:8">
      <c r="B649" s="5"/>
      <c r="H649" s="16"/>
    </row>
    <row r="650" spans="2:8">
      <c r="B650" s="5"/>
      <c r="H650" s="16"/>
    </row>
    <row r="651" spans="2:8">
      <c r="B651" s="5"/>
      <c r="H651" s="16"/>
    </row>
    <row r="652" spans="2:8">
      <c r="B652" s="5"/>
      <c r="H652" s="16"/>
    </row>
    <row r="653" spans="2:8">
      <c r="B653" s="5"/>
      <c r="H653" s="16"/>
    </row>
    <row r="654" spans="2:8">
      <c r="B654" s="5"/>
      <c r="H654" s="16"/>
    </row>
    <row r="655" spans="2:8">
      <c r="B655" s="5"/>
      <c r="H655" s="16"/>
    </row>
    <row r="656" spans="2:8">
      <c r="B656" s="5"/>
      <c r="H656" s="16"/>
    </row>
    <row r="657" spans="2:8">
      <c r="B657" s="5"/>
      <c r="H657" s="16"/>
    </row>
    <row r="658" spans="2:8">
      <c r="B658" s="5"/>
      <c r="H658" s="16"/>
    </row>
    <row r="659" spans="2:8">
      <c r="B659" s="5"/>
      <c r="H659" s="16"/>
    </row>
    <row r="660" spans="2:8">
      <c r="B660" s="5"/>
      <c r="H660" s="16"/>
    </row>
    <row r="661" spans="2:8">
      <c r="B661" s="5"/>
      <c r="H661" s="16"/>
    </row>
    <row r="662" spans="2:8">
      <c r="B662" s="5"/>
      <c r="H662" s="16"/>
    </row>
    <row r="663" spans="2:8">
      <c r="B663" s="5"/>
      <c r="H663" s="16"/>
    </row>
    <row r="664" spans="2:8">
      <c r="B664" s="5"/>
      <c r="H664" s="16"/>
    </row>
    <row r="665" spans="2:8">
      <c r="B665" s="5"/>
      <c r="H665" s="16"/>
    </row>
    <row r="666" spans="2:8">
      <c r="B666" s="5"/>
      <c r="H666" s="16"/>
    </row>
    <row r="667" spans="2:8">
      <c r="B667" s="5"/>
      <c r="H667" s="16"/>
    </row>
    <row r="668" spans="2:8">
      <c r="B668" s="5"/>
      <c r="H668" s="16"/>
    </row>
    <row r="669" spans="2:8">
      <c r="B669" s="5"/>
      <c r="H669" s="16"/>
    </row>
    <row r="670" spans="2:8">
      <c r="B670" s="5"/>
      <c r="H670" s="16"/>
    </row>
    <row r="671" spans="2:8">
      <c r="B671" s="5"/>
      <c r="H671" s="16"/>
    </row>
    <row r="672" spans="2:8">
      <c r="B672" s="5"/>
      <c r="H672" s="16"/>
    </row>
    <row r="673" spans="2:8">
      <c r="B673" s="5"/>
      <c r="H673" s="16"/>
    </row>
    <row r="674" spans="2:8">
      <c r="B674" s="5"/>
      <c r="H674" s="16"/>
    </row>
    <row r="675" spans="2:8">
      <c r="B675" s="5"/>
      <c r="H675" s="16"/>
    </row>
    <row r="676" spans="2:8">
      <c r="B676" s="5"/>
      <c r="H676" s="16"/>
    </row>
    <row r="677" spans="2:8">
      <c r="B677" s="5"/>
      <c r="H677" s="16"/>
    </row>
    <row r="678" spans="2:8">
      <c r="B678" s="5"/>
      <c r="H678" s="16"/>
    </row>
    <row r="679" spans="2:8">
      <c r="B679" s="5"/>
      <c r="H679" s="16"/>
    </row>
    <row r="680" spans="2:8">
      <c r="B680" s="5"/>
      <c r="H680" s="16"/>
    </row>
    <row r="681" spans="2:8">
      <c r="B681" s="5"/>
      <c r="H681" s="16"/>
    </row>
    <row r="682" spans="2:8">
      <c r="B682" s="5"/>
      <c r="H682" s="16"/>
    </row>
    <row r="683" spans="2:8">
      <c r="B683" s="5"/>
      <c r="H683" s="16"/>
    </row>
    <row r="684" spans="2:8">
      <c r="B684" s="5"/>
      <c r="H684" s="16"/>
    </row>
    <row r="685" spans="2:8">
      <c r="B685" s="5"/>
      <c r="H685" s="16"/>
    </row>
    <row r="686" spans="2:8">
      <c r="B686" s="5"/>
      <c r="H686" s="16"/>
    </row>
    <row r="687" spans="2:8">
      <c r="B687" s="5"/>
      <c r="H687" s="16"/>
    </row>
    <row r="688" spans="2:8">
      <c r="B688" s="5"/>
      <c r="H688" s="16"/>
    </row>
    <row r="689" spans="2:8">
      <c r="B689" s="5"/>
      <c r="H689" s="16"/>
    </row>
    <row r="690" spans="2:8">
      <c r="B690" s="5"/>
      <c r="H690" s="16"/>
    </row>
    <row r="691" spans="2:8">
      <c r="B691" s="5"/>
      <c r="H691" s="16"/>
    </row>
    <row r="692" spans="2:8">
      <c r="B692" s="5"/>
      <c r="H692" s="16"/>
    </row>
    <row r="693" spans="2:8">
      <c r="B693" s="5"/>
      <c r="H693" s="16"/>
    </row>
    <row r="694" spans="2:8">
      <c r="B694" s="5"/>
      <c r="H694" s="16"/>
    </row>
    <row r="695" spans="2:8">
      <c r="B695" s="5"/>
      <c r="H695" s="16"/>
    </row>
    <row r="696" spans="2:8">
      <c r="B696" s="5"/>
      <c r="H696" s="16"/>
    </row>
    <row r="697" spans="2:8">
      <c r="B697" s="5"/>
      <c r="H697" s="16"/>
    </row>
    <row r="698" spans="2:8">
      <c r="B698" s="5"/>
      <c r="H698" s="16"/>
    </row>
    <row r="699" spans="2:8">
      <c r="B699" s="5"/>
      <c r="H699" s="16"/>
    </row>
    <row r="700" spans="2:8">
      <c r="B700" s="5"/>
      <c r="H700" s="16"/>
    </row>
    <row r="701" spans="2:8">
      <c r="B701" s="5"/>
      <c r="H701" s="16"/>
    </row>
    <row r="702" spans="2:8">
      <c r="B702" s="5"/>
      <c r="H702" s="16"/>
    </row>
    <row r="703" spans="2:8">
      <c r="B703" s="5"/>
      <c r="H703" s="16"/>
    </row>
    <row r="704" spans="2:8">
      <c r="B704" s="5"/>
      <c r="H704" s="16"/>
    </row>
    <row r="705" spans="2:8">
      <c r="B705" s="5"/>
      <c r="H705" s="16"/>
    </row>
    <row r="706" spans="2:8">
      <c r="B706" s="5"/>
      <c r="H706" s="16"/>
    </row>
    <row r="707" spans="2:8">
      <c r="B707" s="5"/>
      <c r="H707" s="16"/>
    </row>
    <row r="708" spans="2:8">
      <c r="B708" s="5"/>
      <c r="H708" s="16"/>
    </row>
    <row r="709" spans="2:8">
      <c r="B709" s="5"/>
      <c r="H709" s="16"/>
    </row>
    <row r="710" spans="2:8">
      <c r="B710" s="5"/>
      <c r="H710" s="16"/>
    </row>
    <row r="711" spans="2:8">
      <c r="B711" s="5"/>
      <c r="H711" s="16"/>
    </row>
    <row r="712" spans="2:8">
      <c r="B712" s="5"/>
      <c r="H712" s="16"/>
    </row>
    <row r="713" spans="2:8">
      <c r="B713" s="5"/>
      <c r="H713" s="16"/>
    </row>
    <row r="714" spans="2:8">
      <c r="B714" s="5"/>
      <c r="H714" s="16"/>
    </row>
    <row r="715" spans="2:8">
      <c r="B715" s="5"/>
      <c r="H715" s="16"/>
    </row>
    <row r="716" spans="2:8">
      <c r="B716" s="5"/>
      <c r="H716" s="16"/>
    </row>
    <row r="717" spans="2:8">
      <c r="B717" s="5"/>
      <c r="H717" s="16"/>
    </row>
    <row r="718" spans="2:8">
      <c r="B718" s="5"/>
      <c r="H718" s="16"/>
    </row>
    <row r="719" spans="2:8">
      <c r="B719" s="5"/>
      <c r="H719" s="16"/>
    </row>
    <row r="720" spans="2:8">
      <c r="B720" s="5"/>
      <c r="H720" s="16"/>
    </row>
    <row r="721" spans="2:8">
      <c r="B721" s="5"/>
      <c r="H721" s="16"/>
    </row>
    <row r="722" spans="2:8">
      <c r="B722" s="5"/>
      <c r="H722" s="16"/>
    </row>
    <row r="723" spans="2:8">
      <c r="B723" s="5"/>
      <c r="H723" s="16"/>
    </row>
    <row r="724" spans="2:8">
      <c r="B724" s="5"/>
      <c r="H724" s="16"/>
    </row>
    <row r="725" spans="2:8">
      <c r="B725" s="5"/>
      <c r="H725" s="16"/>
    </row>
    <row r="726" spans="2:8">
      <c r="B726" s="5"/>
      <c r="H726" s="16"/>
    </row>
    <row r="727" spans="2:8">
      <c r="B727" s="5"/>
      <c r="H727" s="16"/>
    </row>
    <row r="728" spans="2:8">
      <c r="B728" s="5"/>
      <c r="H728" s="16"/>
    </row>
    <row r="729" spans="2:8">
      <c r="B729" s="5"/>
      <c r="H729" s="16"/>
    </row>
    <row r="730" spans="2:8">
      <c r="B730" s="5"/>
      <c r="H730" s="16"/>
    </row>
    <row r="731" spans="2:8">
      <c r="B731" s="5"/>
      <c r="H731" s="16"/>
    </row>
    <row r="732" spans="2:8">
      <c r="B732" s="5"/>
      <c r="H732" s="16"/>
    </row>
    <row r="733" spans="2:8">
      <c r="B733" s="5"/>
      <c r="H733" s="16"/>
    </row>
    <row r="734" spans="2:8">
      <c r="B734" s="5"/>
      <c r="H734" s="16"/>
    </row>
    <row r="735" spans="2:8">
      <c r="B735" s="5"/>
      <c r="H735" s="16"/>
    </row>
    <row r="736" spans="2:8">
      <c r="B736" s="5"/>
      <c r="H736" s="16"/>
    </row>
    <row r="737" spans="2:8">
      <c r="B737" s="5"/>
      <c r="H737" s="16"/>
    </row>
    <row r="738" spans="2:8">
      <c r="B738" s="5"/>
      <c r="H738" s="16"/>
    </row>
    <row r="739" spans="2:8">
      <c r="B739" s="5"/>
      <c r="H739" s="16"/>
    </row>
    <row r="740" spans="2:8">
      <c r="B740" s="5"/>
      <c r="H740" s="16"/>
    </row>
    <row r="741" spans="2:8">
      <c r="B741" s="5"/>
      <c r="H741" s="16"/>
    </row>
    <row r="742" spans="2:8">
      <c r="B742" s="5"/>
      <c r="H742" s="16"/>
    </row>
    <row r="743" spans="2:8">
      <c r="B743" s="5"/>
      <c r="H743" s="16"/>
    </row>
    <row r="744" spans="2:8">
      <c r="B744" s="5"/>
      <c r="H744" s="16"/>
    </row>
    <row r="745" spans="2:8">
      <c r="B745" s="5"/>
      <c r="H745" s="16"/>
    </row>
    <row r="746" spans="2:8">
      <c r="B746" s="5"/>
      <c r="H746" s="16"/>
    </row>
    <row r="747" spans="2:8">
      <c r="B747" s="5"/>
      <c r="H747" s="16"/>
    </row>
    <row r="748" spans="2:8">
      <c r="B748" s="5"/>
      <c r="H748" s="16"/>
    </row>
    <row r="749" spans="2:8">
      <c r="B749" s="5"/>
      <c r="H749" s="16"/>
    </row>
    <row r="750" spans="2:8">
      <c r="B750" s="5"/>
      <c r="H750" s="16"/>
    </row>
    <row r="751" spans="2:8">
      <c r="B751" s="5"/>
      <c r="H751" s="16"/>
    </row>
    <row r="752" spans="2:8">
      <c r="B752" s="5"/>
      <c r="H752" s="16"/>
    </row>
    <row r="753" spans="2:8">
      <c r="B753" s="5"/>
      <c r="H753" s="16"/>
    </row>
    <row r="754" spans="2:8">
      <c r="B754" s="5"/>
      <c r="H754" s="16"/>
    </row>
    <row r="755" spans="2:8">
      <c r="B755" s="5"/>
      <c r="H755" s="16"/>
    </row>
    <row r="756" spans="2:8">
      <c r="B756" s="5"/>
      <c r="H756" s="16"/>
    </row>
    <row r="757" spans="2:8">
      <c r="B757" s="5"/>
      <c r="H757" s="16"/>
    </row>
    <row r="758" spans="2:8">
      <c r="B758" s="5"/>
      <c r="H758" s="16"/>
    </row>
    <row r="759" spans="2:8">
      <c r="B759" s="5"/>
      <c r="H759" s="16"/>
    </row>
    <row r="760" spans="2:8">
      <c r="B760" s="5"/>
      <c r="H760" s="16"/>
    </row>
    <row r="761" spans="2:8">
      <c r="B761" s="5"/>
      <c r="H761" s="16"/>
    </row>
    <row r="762" spans="2:8">
      <c r="B762" s="5"/>
      <c r="H762" s="16"/>
    </row>
    <row r="763" spans="2:8">
      <c r="B763" s="5"/>
      <c r="H763" s="16"/>
    </row>
    <row r="764" spans="2:8">
      <c r="B764" s="5"/>
      <c r="H764" s="16"/>
    </row>
    <row r="765" spans="2:8">
      <c r="B765" s="5"/>
      <c r="H765" s="16"/>
    </row>
    <row r="766" spans="2:8">
      <c r="B766" s="5"/>
      <c r="H766" s="16"/>
    </row>
    <row r="767" spans="2:8">
      <c r="B767" s="5"/>
      <c r="H767" s="16"/>
    </row>
    <row r="768" spans="2:8">
      <c r="B768" s="5"/>
      <c r="H768" s="16"/>
    </row>
    <row r="769" spans="2:8">
      <c r="B769" s="5"/>
      <c r="H769" s="16"/>
    </row>
    <row r="770" spans="2:8">
      <c r="B770" s="5"/>
      <c r="H770" s="16"/>
    </row>
    <row r="771" spans="2:8">
      <c r="B771" s="5"/>
      <c r="H771" s="16"/>
    </row>
    <row r="772" spans="2:8">
      <c r="B772" s="5"/>
      <c r="H772" s="16"/>
    </row>
    <row r="773" spans="2:8">
      <c r="B773" s="5"/>
      <c r="H773" s="16"/>
    </row>
    <row r="774" spans="2:8">
      <c r="B774" s="5"/>
      <c r="H774" s="16"/>
    </row>
    <row r="775" spans="2:8">
      <c r="B775" s="5"/>
      <c r="H775" s="16"/>
    </row>
    <row r="776" spans="2:8">
      <c r="B776" s="5"/>
      <c r="H776" s="16"/>
    </row>
    <row r="777" spans="2:8">
      <c r="B777" s="5"/>
      <c r="H777" s="16"/>
    </row>
    <row r="778" spans="2:8">
      <c r="B778" s="5"/>
      <c r="H778" s="16"/>
    </row>
    <row r="779" spans="2:8">
      <c r="B779" s="5"/>
      <c r="H779" s="16"/>
    </row>
    <row r="780" spans="2:8">
      <c r="B780" s="5"/>
      <c r="H780" s="16"/>
    </row>
    <row r="781" spans="2:8">
      <c r="B781" s="5"/>
      <c r="H781" s="16"/>
    </row>
    <row r="782" spans="2:8">
      <c r="B782" s="5"/>
      <c r="H782" s="16"/>
    </row>
    <row r="783" spans="2:8">
      <c r="B783" s="5"/>
      <c r="H783" s="16"/>
    </row>
    <row r="784" spans="2:8">
      <c r="B784" s="5"/>
      <c r="H784" s="16"/>
    </row>
    <row r="785" spans="2:8">
      <c r="B785" s="5"/>
      <c r="H785" s="16"/>
    </row>
    <row r="786" spans="2:8">
      <c r="B786" s="5"/>
      <c r="H786" s="16"/>
    </row>
    <row r="787" spans="2:8">
      <c r="B787" s="5"/>
      <c r="H787" s="16"/>
    </row>
    <row r="788" spans="2:8">
      <c r="B788" s="5"/>
      <c r="H788" s="16"/>
    </row>
    <row r="789" spans="2:8">
      <c r="B789" s="5"/>
      <c r="H789" s="16"/>
    </row>
    <row r="790" spans="2:8">
      <c r="B790" s="5"/>
      <c r="H790" s="16"/>
    </row>
    <row r="791" spans="2:8">
      <c r="B791" s="5"/>
      <c r="H791" s="16"/>
    </row>
    <row r="792" spans="2:8">
      <c r="B792" s="5"/>
      <c r="H792" s="16"/>
    </row>
    <row r="793" spans="2:8">
      <c r="B793" s="5"/>
      <c r="H793" s="16"/>
    </row>
    <row r="794" spans="2:8">
      <c r="B794" s="5"/>
      <c r="H794" s="16"/>
    </row>
    <row r="795" spans="2:8">
      <c r="B795" s="5"/>
      <c r="H795" s="16"/>
    </row>
    <row r="796" spans="2:8">
      <c r="B796" s="5"/>
      <c r="H796" s="16"/>
    </row>
    <row r="797" spans="2:8">
      <c r="B797" s="5"/>
      <c r="H797" s="16"/>
    </row>
    <row r="798" spans="2:8">
      <c r="B798" s="5"/>
      <c r="H798" s="16"/>
    </row>
    <row r="799" spans="2:8">
      <c r="B799" s="5"/>
      <c r="H799" s="16"/>
    </row>
    <row r="800" spans="2:8">
      <c r="B800" s="5"/>
      <c r="H800" s="16"/>
    </row>
    <row r="801" spans="2:8">
      <c r="B801" s="5"/>
      <c r="H801" s="16"/>
    </row>
    <row r="802" spans="2:8">
      <c r="B802" s="5"/>
      <c r="H802" s="16"/>
    </row>
    <row r="803" spans="2:8">
      <c r="B803" s="5"/>
      <c r="H803" s="16"/>
    </row>
    <row r="804" spans="2:8">
      <c r="B804" s="5"/>
      <c r="H804" s="16"/>
    </row>
    <row r="805" spans="2:8">
      <c r="B805" s="5"/>
      <c r="H805" s="16"/>
    </row>
    <row r="806" spans="2:8">
      <c r="B806" s="5"/>
      <c r="H806" s="16"/>
    </row>
    <row r="807" spans="2:8">
      <c r="B807" s="5"/>
      <c r="H807" s="16"/>
    </row>
    <row r="808" spans="2:8">
      <c r="B808" s="5"/>
      <c r="H808" s="16"/>
    </row>
    <row r="809" spans="2:8">
      <c r="B809" s="5"/>
      <c r="H809" s="16"/>
    </row>
    <row r="810" spans="2:8">
      <c r="B810" s="5"/>
      <c r="H810" s="16"/>
    </row>
    <row r="811" spans="2:8">
      <c r="B811" s="5"/>
      <c r="H811" s="16"/>
    </row>
    <row r="812" spans="2:8">
      <c r="B812" s="5"/>
      <c r="H812" s="16"/>
    </row>
    <row r="813" spans="2:8">
      <c r="B813" s="5"/>
      <c r="H813" s="16"/>
    </row>
    <row r="814" spans="2:8">
      <c r="B814" s="5"/>
      <c r="H814" s="16"/>
    </row>
    <row r="815" spans="2:8">
      <c r="B815" s="5"/>
      <c r="H815" s="16"/>
    </row>
    <row r="816" spans="2:8">
      <c r="B816" s="5"/>
      <c r="H816" s="16"/>
    </row>
    <row r="817" spans="2:8">
      <c r="B817" s="5"/>
      <c r="H817" s="16"/>
    </row>
    <row r="818" spans="2:8">
      <c r="B818" s="5"/>
      <c r="H818" s="16"/>
    </row>
    <row r="819" spans="2:8">
      <c r="B819" s="5"/>
      <c r="H819" s="16"/>
    </row>
    <row r="820" spans="2:8">
      <c r="B820" s="5"/>
      <c r="H820" s="16"/>
    </row>
    <row r="821" spans="2:8">
      <c r="B821" s="5"/>
      <c r="H821" s="16"/>
    </row>
    <row r="822" spans="2:8">
      <c r="B822" s="5"/>
      <c r="H822" s="16"/>
    </row>
    <row r="823" spans="2:8">
      <c r="B823" s="5"/>
      <c r="H823" s="16"/>
    </row>
    <row r="824" spans="2:8">
      <c r="B824" s="5"/>
      <c r="H824" s="16"/>
    </row>
    <row r="825" spans="2:8">
      <c r="B825" s="5"/>
      <c r="H825" s="16"/>
    </row>
    <row r="826" spans="2:8">
      <c r="B826" s="5"/>
      <c r="H826" s="16"/>
    </row>
    <row r="827" spans="2:8">
      <c r="B827" s="5"/>
      <c r="H827" s="16"/>
    </row>
    <row r="828" spans="2:8">
      <c r="B828" s="5"/>
      <c r="H828" s="16"/>
    </row>
    <row r="829" spans="2:8">
      <c r="B829" s="5"/>
      <c r="H829" s="16"/>
    </row>
    <row r="830" spans="2:8">
      <c r="B830" s="5"/>
      <c r="H830" s="16"/>
    </row>
    <row r="831" spans="2:8">
      <c r="B831" s="5"/>
      <c r="H831" s="16"/>
    </row>
    <row r="832" spans="2:8">
      <c r="B832" s="5"/>
      <c r="H832" s="16"/>
    </row>
    <row r="833" spans="2:8">
      <c r="B833" s="5"/>
      <c r="H833" s="16"/>
    </row>
    <row r="834" spans="2:8">
      <c r="B834" s="5"/>
      <c r="H834" s="16"/>
    </row>
    <row r="835" spans="2:8">
      <c r="B835" s="5"/>
      <c r="H835" s="16"/>
    </row>
    <row r="836" spans="2:8">
      <c r="B836" s="5"/>
      <c r="H836" s="16"/>
    </row>
    <row r="837" spans="2:8">
      <c r="B837" s="5"/>
      <c r="H837" s="16"/>
    </row>
    <row r="838" spans="2:8">
      <c r="B838" s="5"/>
      <c r="H838" s="16"/>
    </row>
    <row r="839" spans="2:8">
      <c r="B839" s="5"/>
      <c r="H839" s="16"/>
    </row>
    <row r="840" spans="2:8">
      <c r="B840" s="5"/>
      <c r="H840" s="16"/>
    </row>
    <row r="841" spans="2:8">
      <c r="B841" s="5"/>
      <c r="H841" s="16"/>
    </row>
    <row r="842" spans="2:8">
      <c r="B842" s="5"/>
      <c r="H842" s="16"/>
    </row>
    <row r="843" spans="2:8">
      <c r="B843" s="5"/>
      <c r="H843" s="16"/>
    </row>
    <row r="844" spans="2:8">
      <c r="B844" s="5"/>
      <c r="H844" s="16"/>
    </row>
    <row r="845" spans="2:8">
      <c r="B845" s="5"/>
      <c r="H845" s="16"/>
    </row>
    <row r="846" spans="2:8">
      <c r="B846" s="5"/>
      <c r="H846" s="16"/>
    </row>
    <row r="847" spans="2:8">
      <c r="B847" s="5"/>
      <c r="H847" s="16"/>
    </row>
    <row r="848" spans="2:8">
      <c r="B848" s="5"/>
      <c r="H848" s="16"/>
    </row>
    <row r="849" spans="2:8">
      <c r="B849" s="5"/>
      <c r="H849" s="16"/>
    </row>
    <row r="850" spans="2:8">
      <c r="B850" s="5"/>
      <c r="H850" s="16"/>
    </row>
    <row r="851" spans="2:8">
      <c r="B851" s="5"/>
      <c r="H851" s="16"/>
    </row>
    <row r="852" spans="2:8">
      <c r="B852" s="5"/>
      <c r="H852" s="16"/>
    </row>
    <row r="853" spans="2:8">
      <c r="B853" s="5"/>
      <c r="H853" s="16"/>
    </row>
    <row r="854" spans="2:8">
      <c r="B854" s="5"/>
      <c r="H854" s="16"/>
    </row>
    <row r="855" spans="2:8">
      <c r="B855" s="5"/>
      <c r="H855" s="16"/>
    </row>
    <row r="856" spans="2:8">
      <c r="B856" s="5"/>
      <c r="H856" s="16"/>
    </row>
    <row r="857" spans="2:8">
      <c r="B857" s="5"/>
      <c r="H857" s="16"/>
    </row>
    <row r="858" spans="2:8">
      <c r="B858" s="5"/>
      <c r="H858" s="16"/>
    </row>
    <row r="859" spans="2:8">
      <c r="B859" s="5"/>
      <c r="H859" s="16"/>
    </row>
    <row r="860" spans="2:8">
      <c r="B860" s="5"/>
      <c r="H860" s="16"/>
    </row>
    <row r="861" spans="2:8">
      <c r="B861" s="5"/>
      <c r="H861" s="16"/>
    </row>
    <row r="862" spans="2:8">
      <c r="B862" s="5"/>
      <c r="H862" s="16"/>
    </row>
    <row r="863" spans="2:8">
      <c r="B863" s="5"/>
      <c r="H863" s="16"/>
    </row>
    <row r="864" spans="2:8">
      <c r="B864" s="5"/>
      <c r="H864" s="16"/>
    </row>
    <row r="865" spans="2:8">
      <c r="B865" s="5"/>
      <c r="H865" s="16"/>
    </row>
    <row r="866" spans="2:8">
      <c r="B866" s="5"/>
      <c r="H866" s="16"/>
    </row>
    <row r="867" spans="2:8">
      <c r="B867" s="5"/>
      <c r="H867" s="16"/>
    </row>
    <row r="868" spans="2:8">
      <c r="B868" s="5"/>
      <c r="H868" s="16"/>
    </row>
    <row r="869" spans="2:8">
      <c r="B869" s="5"/>
      <c r="H869" s="16"/>
    </row>
    <row r="870" spans="2:8">
      <c r="B870" s="5"/>
      <c r="H870" s="16"/>
    </row>
    <row r="871" spans="2:8">
      <c r="B871" s="5"/>
      <c r="H871" s="16"/>
    </row>
    <row r="872" spans="2:8">
      <c r="B872" s="5"/>
      <c r="H872" s="16"/>
    </row>
    <row r="873" spans="2:8">
      <c r="B873" s="5"/>
      <c r="H873" s="16"/>
    </row>
    <row r="874" spans="2:8">
      <c r="B874" s="5"/>
      <c r="H874" s="16"/>
    </row>
    <row r="875" spans="2:8">
      <c r="B875" s="5"/>
      <c r="H875" s="16"/>
    </row>
    <row r="876" spans="2:8">
      <c r="B876" s="5"/>
      <c r="H876" s="16"/>
    </row>
    <row r="877" spans="2:8">
      <c r="B877" s="5"/>
      <c r="H877" s="16"/>
    </row>
    <row r="878" spans="2:8">
      <c r="B878" s="5"/>
      <c r="H878" s="16"/>
    </row>
    <row r="879" spans="2:8">
      <c r="B879" s="5"/>
      <c r="H879" s="16"/>
    </row>
    <row r="880" spans="2:8">
      <c r="B880" s="5"/>
      <c r="H880" s="16"/>
    </row>
    <row r="881" spans="2:8">
      <c r="B881" s="5"/>
      <c r="H881" s="16"/>
    </row>
    <row r="882" spans="2:8">
      <c r="B882" s="5"/>
      <c r="H882" s="16"/>
    </row>
    <row r="883" spans="2:8">
      <c r="B883" s="5"/>
      <c r="H883" s="16"/>
    </row>
    <row r="884" spans="2:8">
      <c r="B884" s="5"/>
      <c r="H884" s="16"/>
    </row>
    <row r="885" spans="2:8">
      <c r="B885" s="5"/>
      <c r="H885" s="16"/>
    </row>
    <row r="886" spans="2:8">
      <c r="B886" s="5"/>
      <c r="H886" s="16"/>
    </row>
    <row r="887" spans="2:8">
      <c r="B887" s="5"/>
      <c r="H887" s="16"/>
    </row>
    <row r="888" spans="2:8">
      <c r="B888" s="5"/>
      <c r="H888" s="16"/>
    </row>
    <row r="889" spans="2:8">
      <c r="B889" s="5"/>
      <c r="H889" s="16"/>
    </row>
    <row r="890" spans="2:8">
      <c r="B890" s="5"/>
      <c r="H890" s="16"/>
    </row>
    <row r="891" spans="2:8">
      <c r="B891" s="5"/>
      <c r="H891" s="16"/>
    </row>
    <row r="892" spans="2:8">
      <c r="B892" s="5"/>
      <c r="H892" s="16"/>
    </row>
  </sheetData>
  <mergeCells count="25">
    <mergeCell ref="C49:F49"/>
    <mergeCell ref="C50:F50"/>
    <mergeCell ref="C44:F44"/>
    <mergeCell ref="C45:F45"/>
    <mergeCell ref="C46:F46"/>
    <mergeCell ref="C47:F47"/>
    <mergeCell ref="C48:F48"/>
    <mergeCell ref="A4:H4"/>
    <mergeCell ref="A38:F38"/>
    <mergeCell ref="C41:F41"/>
    <mergeCell ref="C42:F42"/>
    <mergeCell ref="C43:F43"/>
    <mergeCell ref="A10:F10"/>
    <mergeCell ref="A17:F17"/>
    <mergeCell ref="A23:F23"/>
    <mergeCell ref="A29:F29"/>
    <mergeCell ref="A35:F35"/>
    <mergeCell ref="G41:H41"/>
    <mergeCell ref="G42:H42"/>
    <mergeCell ref="G43:H43"/>
    <mergeCell ref="G49:H49"/>
    <mergeCell ref="G50:H50"/>
    <mergeCell ref="G44:H44"/>
    <mergeCell ref="G45:H45"/>
    <mergeCell ref="G48:H48"/>
  </mergeCells>
  <phoneticPr fontId="24" type="noConversion"/>
  <dataValidations count="1">
    <dataValidation type="list" allowBlank="1" showInputMessage="1" showErrorMessage="1" sqref="B42:B49" xr:uid="{00000000-0002-0000-0400-000000000000}">
      <formula1>$L$41:$L$45</formula1>
    </dataValidation>
  </dataValidations>
  <pageMargins left="0.7" right="0.7" top="0.75" bottom="0.75" header="0.3" footer="0.3"/>
  <pageSetup scale="52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892"/>
  <sheetViews>
    <sheetView view="pageBreakPreview" zoomScale="60" zoomScaleNormal="75" workbookViewId="0">
      <selection activeCell="A11" sqref="A11"/>
    </sheetView>
  </sheetViews>
  <sheetFormatPr defaultColWidth="10.875" defaultRowHeight="18.95"/>
  <cols>
    <col min="1" max="1" width="35.625" customWidth="1"/>
    <col min="2" max="2" width="14.625" style="16" customWidth="1"/>
    <col min="3" max="4" width="15.875" style="5" customWidth="1"/>
    <col min="5" max="5" width="15.375" style="5" customWidth="1"/>
    <col min="6" max="6" width="16.375" style="5" customWidth="1"/>
    <col min="7" max="7" width="16.875" style="5" customWidth="1"/>
    <col min="8" max="8" width="15.875" style="17" customWidth="1"/>
    <col min="9" max="9" width="10.875" style="5"/>
    <col min="10" max="12" width="0" style="5" hidden="1" customWidth="1"/>
    <col min="13" max="16384" width="10.875" style="5"/>
  </cols>
  <sheetData>
    <row r="1" spans="1:10" customFormat="1" ht="15.95">
      <c r="A1" s="41"/>
      <c r="B1" s="42"/>
      <c r="C1" s="43"/>
      <c r="D1" s="43"/>
      <c r="E1" s="45" t="s">
        <v>25</v>
      </c>
      <c r="F1" s="43"/>
      <c r="G1" s="45" t="s">
        <v>26</v>
      </c>
      <c r="H1" s="44"/>
    </row>
    <row r="2" spans="1:10">
      <c r="A2" s="30"/>
      <c r="B2" s="18" t="s">
        <v>27</v>
      </c>
      <c r="C2" s="18" t="s">
        <v>28</v>
      </c>
      <c r="D2" s="18" t="s">
        <v>65</v>
      </c>
      <c r="E2" s="18" t="s">
        <v>30</v>
      </c>
      <c r="F2" s="18" t="s">
        <v>66</v>
      </c>
      <c r="G2" s="18" t="s">
        <v>32</v>
      </c>
      <c r="H2" s="18" t="s">
        <v>33</v>
      </c>
    </row>
    <row r="3" spans="1:10" ht="21" customHeight="1">
      <c r="A3" s="31" t="s">
        <v>7</v>
      </c>
      <c r="B3" s="6"/>
      <c r="C3" s="6"/>
      <c r="D3" s="6"/>
      <c r="E3" s="6"/>
      <c r="F3" s="6"/>
      <c r="G3" s="6"/>
      <c r="H3" s="6"/>
    </row>
    <row r="4" spans="1:10" s="7" customFormat="1">
      <c r="A4" s="181" t="s">
        <v>92</v>
      </c>
      <c r="B4" s="181"/>
      <c r="C4" s="181"/>
      <c r="D4" s="181"/>
      <c r="E4" s="181"/>
      <c r="F4" s="181"/>
      <c r="G4" s="181"/>
      <c r="H4" s="181"/>
    </row>
    <row r="5" spans="1:10" s="7" customFormat="1" ht="26.1" customHeight="1">
      <c r="A5" s="32" t="s">
        <v>8</v>
      </c>
      <c r="B5" s="27">
        <f>('Week 5'!B5+'Week 4'!B5+'Week 3'!B5)/3</f>
        <v>0</v>
      </c>
      <c r="C5" s="27">
        <f>('Week 5'!C5+'Week 4'!C5+'Week 3'!C5)/3</f>
        <v>0</v>
      </c>
      <c r="D5" s="27">
        <f>('Week 5'!D5+'Week 4'!D5+'Week 3'!D5)/3</f>
        <v>0</v>
      </c>
      <c r="E5" s="27">
        <f>('Week 5'!E5+'Week 4'!E5+'Week 3'!E5)/3</f>
        <v>0</v>
      </c>
      <c r="F5" s="27">
        <f>('Week 5'!F5+'Week 4'!F5+'Week 3'!F5)/3</f>
        <v>0</v>
      </c>
      <c r="G5" s="27">
        <f>('Week 5'!G5+'Week 4'!G5+'Week 3'!G5)/3</f>
        <v>0</v>
      </c>
      <c r="H5" s="27">
        <f>('Week 5'!H5+'Week 4'!H5+'Week 3'!H5)/3</f>
        <v>0</v>
      </c>
    </row>
    <row r="6" spans="1:10" s="7" customFormat="1" ht="26.1" customHeight="1">
      <c r="A6" s="4" t="s">
        <v>23</v>
      </c>
      <c r="B6" s="62">
        <f>('Week 5'!B6+'Week 4'!B6+'Week 3'!B6)/3</f>
        <v>0</v>
      </c>
      <c r="C6" s="62">
        <f>('Week 5'!C6+'Week 4'!C6+'Week 3'!C6)/3</f>
        <v>0</v>
      </c>
      <c r="D6" s="62">
        <f>('Week 5'!D6+'Week 4'!D6+'Week 3'!D6)/3</f>
        <v>0</v>
      </c>
      <c r="E6" s="62">
        <f>('Week 5'!E6+'Week 4'!E6+'Week 3'!E6)/3</f>
        <v>0</v>
      </c>
      <c r="F6" s="62">
        <f>('Week 5'!F6+'Week 4'!F6+'Week 3'!F6)/3</f>
        <v>0</v>
      </c>
      <c r="G6" s="62">
        <f>('Week 5'!G6+'Week 4'!G6+'Week 3'!G6)/3</f>
        <v>0</v>
      </c>
      <c r="H6" s="62">
        <f>('Week 5'!H6+'Week 4'!H6+'Week 3'!H6)/3</f>
        <v>0</v>
      </c>
    </row>
    <row r="7" spans="1:10" s="7" customFormat="1" ht="21.95" customHeight="1">
      <c r="A7" s="32" t="s">
        <v>35</v>
      </c>
      <c r="B7" s="27">
        <f>('Week 5'!B7+'Week 4'!B7+'Week 3'!B7)/3</f>
        <v>0</v>
      </c>
      <c r="C7" s="27">
        <f>('Week 5'!C7+'Week 4'!C7+'Week 3'!C7)/3</f>
        <v>0</v>
      </c>
      <c r="D7" s="27">
        <f>('Week 5'!D7+'Week 4'!D7+'Week 3'!D7)/3</f>
        <v>0</v>
      </c>
      <c r="E7" s="27">
        <f>('Week 5'!E7+'Week 4'!E7+'Week 3'!E7)/3</f>
        <v>0</v>
      </c>
      <c r="F7" s="27">
        <f>('Week 5'!F7+'Week 4'!F7+'Week 3'!F7)/3</f>
        <v>0</v>
      </c>
      <c r="G7" s="27">
        <f>('Week 5'!G7+'Week 4'!G7+'Week 3'!G7)/3</f>
        <v>0</v>
      </c>
      <c r="H7" s="27">
        <f>('Week 5'!H7+'Week 4'!H7+'Week 3'!H7)/3</f>
        <v>0</v>
      </c>
    </row>
    <row r="8" spans="1:10" s="7" customFormat="1" ht="24.95" customHeight="1" thickBot="1">
      <c r="A8" s="83" t="s">
        <v>36</v>
      </c>
      <c r="B8" s="84">
        <f t="shared" ref="B8:H8" si="0">B5+B6+B7</f>
        <v>0</v>
      </c>
      <c r="C8" s="84">
        <f t="shared" si="0"/>
        <v>0</v>
      </c>
      <c r="D8" s="84">
        <f t="shared" si="0"/>
        <v>0</v>
      </c>
      <c r="E8" s="84">
        <f t="shared" si="0"/>
        <v>0</v>
      </c>
      <c r="F8" s="84">
        <f t="shared" si="0"/>
        <v>0</v>
      </c>
      <c r="G8" s="84">
        <f t="shared" si="0"/>
        <v>0</v>
      </c>
      <c r="H8" s="84">
        <f t="shared" si="0"/>
        <v>0</v>
      </c>
    </row>
    <row r="9" spans="1:10" s="7" customFormat="1" ht="24.95" customHeight="1" thickBot="1">
      <c r="A9" s="33"/>
      <c r="B9" s="29"/>
      <c r="C9" s="29"/>
      <c r="D9" s="29"/>
      <c r="E9" s="29"/>
      <c r="F9" s="29"/>
      <c r="G9" s="63" t="s">
        <v>37</v>
      </c>
      <c r="H9" s="64">
        <f>SUM(B8:H8)</f>
        <v>0</v>
      </c>
    </row>
    <row r="10" spans="1:10" s="7" customFormat="1" ht="21" thickTop="1" thickBot="1">
      <c r="A10" s="182" t="s">
        <v>93</v>
      </c>
      <c r="B10" s="183"/>
      <c r="C10" s="183"/>
      <c r="D10" s="183"/>
      <c r="E10" s="183"/>
      <c r="F10" s="183"/>
      <c r="G10" s="65" t="s">
        <v>39</v>
      </c>
      <c r="H10" s="66">
        <v>0</v>
      </c>
      <c r="I10" s="5"/>
      <c r="J10" s="26"/>
    </row>
    <row r="11" spans="1:10" s="7" customFormat="1" ht="30" customHeight="1">
      <c r="A11" s="39" t="s">
        <v>8</v>
      </c>
      <c r="B11" s="8">
        <f>('Week 5'!B11+'Week 4'!B11+'Week 3'!B11)/3</f>
        <v>0</v>
      </c>
      <c r="C11" s="9">
        <f>('Week 5'!C11+'Week 4'!C11+'Week 3'!C11)/3</f>
        <v>0</v>
      </c>
      <c r="D11" s="67">
        <f>('Week 5'!D11+'Week 4'!D11+'Week 3'!D11)/3</f>
        <v>0</v>
      </c>
      <c r="E11" s="67">
        <f>('Week 5'!E11+'Week 4'!E11+'Week 3'!E11)/3</f>
        <v>0</v>
      </c>
      <c r="F11" s="9">
        <f>('Week 5'!F11+'Week 4'!F11+'Week 3'!F11)/3</f>
        <v>0</v>
      </c>
      <c r="G11" s="68">
        <f>('Week 5'!G11+'Week 4'!G11+'Week 3'!G11)/3</f>
        <v>0</v>
      </c>
      <c r="H11" s="69">
        <f>('Week 5'!H11+'Week 4'!H11+'Week 3'!H11)/3</f>
        <v>0</v>
      </c>
    </row>
    <row r="12" spans="1:10" s="7" customFormat="1" ht="30" customHeight="1">
      <c r="A12" s="70" t="s">
        <v>23</v>
      </c>
      <c r="B12" s="59">
        <f>('Week 5'!B12+'Week 4'!B12+'Week 3'!B12)/3</f>
        <v>0</v>
      </c>
      <c r="C12" s="58">
        <f>('Week 5'!C12+'Week 4'!C12+'Week 3'!C12)/3</f>
        <v>0</v>
      </c>
      <c r="D12" s="58">
        <f>('Week 5'!D12+'Week 4'!D12+'Week 3'!D12)/3</f>
        <v>0</v>
      </c>
      <c r="E12" s="58">
        <f>('Week 5'!E12+'Week 4'!E12+'Week 3'!E12)/3</f>
        <v>0</v>
      </c>
      <c r="F12" s="58">
        <f>('Week 5'!F12+'Week 4'!F12+'Week 3'!F12)/3</f>
        <v>0</v>
      </c>
      <c r="G12" s="58">
        <f>('Week 5'!G12+'Week 4'!G12+'Week 3'!G12)/3</f>
        <v>0</v>
      </c>
      <c r="H12" s="59">
        <f>('Week 5'!H12+'Week 4'!H12+'Week 3'!H12)/3</f>
        <v>0</v>
      </c>
    </row>
    <row r="13" spans="1:10" s="7" customFormat="1" ht="30" customHeight="1">
      <c r="A13" s="3" t="s">
        <v>35</v>
      </c>
      <c r="B13" s="8">
        <f>('Week 5'!B13+'Week 4'!B13+'Week 3'!B13)/3</f>
        <v>0</v>
      </c>
      <c r="C13" s="9">
        <f>('Week 5'!C13+'Week 4'!C13+'Week 3'!C13)/3</f>
        <v>0</v>
      </c>
      <c r="D13" s="9">
        <f>('Week 5'!D13+'Week 4'!D13+'Week 3'!D13)/3</f>
        <v>0</v>
      </c>
      <c r="E13" s="9">
        <f>('Week 5'!E13+'Week 4'!E13+'Week 3'!E13)/3</f>
        <v>0</v>
      </c>
      <c r="F13" s="9">
        <f>('Week 5'!F13+'Week 4'!F13+'Week 3'!F13)/3</f>
        <v>0</v>
      </c>
      <c r="G13" s="9">
        <f>('Week 5'!G13+'Week 4'!G13+'Week 3'!G13)/3</f>
        <v>0</v>
      </c>
      <c r="H13" s="8">
        <f>('Week 5'!H13+'Week 4'!H13+'Week 3'!H13)/3</f>
        <v>0</v>
      </c>
    </row>
    <row r="14" spans="1:10" s="7" customFormat="1" ht="27" customHeight="1" thickBot="1">
      <c r="A14" s="85" t="s">
        <v>36</v>
      </c>
      <c r="B14" s="87">
        <f t="shared" ref="B14:H14" si="1">B11+B12+B13</f>
        <v>0</v>
      </c>
      <c r="C14" s="87">
        <f t="shared" si="1"/>
        <v>0</v>
      </c>
      <c r="D14" s="87">
        <f t="shared" si="1"/>
        <v>0</v>
      </c>
      <c r="E14" s="87">
        <f t="shared" si="1"/>
        <v>0</v>
      </c>
      <c r="F14" s="87">
        <f t="shared" si="1"/>
        <v>0</v>
      </c>
      <c r="G14" s="87">
        <f t="shared" si="1"/>
        <v>0</v>
      </c>
      <c r="H14" s="87">
        <f t="shared" si="1"/>
        <v>0</v>
      </c>
    </row>
    <row r="15" spans="1:10" s="7" customFormat="1" ht="24.95" customHeight="1" thickBot="1">
      <c r="A15" s="86" t="s">
        <v>40</v>
      </c>
      <c r="B15" s="92" t="e">
        <f t="shared" ref="B15:H15" si="2">(B14-B8)/B8</f>
        <v>#DIV/0!</v>
      </c>
      <c r="C15" s="93" t="e">
        <f t="shared" si="2"/>
        <v>#DIV/0!</v>
      </c>
      <c r="D15" s="93" t="e">
        <f t="shared" si="2"/>
        <v>#DIV/0!</v>
      </c>
      <c r="E15" s="93" t="e">
        <f t="shared" si="2"/>
        <v>#DIV/0!</v>
      </c>
      <c r="F15" s="93" t="e">
        <f t="shared" si="2"/>
        <v>#DIV/0!</v>
      </c>
      <c r="G15" s="93" t="e">
        <f t="shared" si="2"/>
        <v>#DIV/0!</v>
      </c>
      <c r="H15" s="94" t="e">
        <f t="shared" si="2"/>
        <v>#DIV/0!</v>
      </c>
      <c r="I15" s="71"/>
    </row>
    <row r="16" spans="1:10" ht="30" customHeight="1" thickBot="1">
      <c r="B16" s="88"/>
      <c r="C16" s="88"/>
      <c r="D16" s="88"/>
      <c r="E16" s="88"/>
      <c r="F16" s="89"/>
      <c r="G16" s="90" t="s">
        <v>37</v>
      </c>
      <c r="H16" s="91">
        <f>SUM(B14:H14)</f>
        <v>0</v>
      </c>
    </row>
    <row r="17" spans="1:8" s="7" customFormat="1" ht="21.95" thickTop="1" thickBot="1">
      <c r="A17" s="184" t="s">
        <v>41</v>
      </c>
      <c r="B17" s="185"/>
      <c r="C17" s="185"/>
      <c r="D17" s="185"/>
      <c r="E17" s="185"/>
      <c r="F17" s="185"/>
      <c r="G17" s="72" t="s">
        <v>42</v>
      </c>
      <c r="H17" s="66" t="e">
        <f>(H16-H9)/H9</f>
        <v>#DIV/0!</v>
      </c>
    </row>
    <row r="18" spans="1:8" s="7" customFormat="1" ht="30" customHeight="1">
      <c r="A18" s="35" t="str">
        <f>'Week 5'!A30</f>
        <v>Greeter Total</v>
      </c>
      <c r="B18" s="11"/>
      <c r="C18" s="12"/>
      <c r="D18" s="73"/>
      <c r="E18" s="73"/>
      <c r="F18" s="12"/>
      <c r="G18" s="24"/>
      <c r="H18" s="74"/>
    </row>
    <row r="19" spans="1:8" s="7" customFormat="1" ht="30" customHeight="1">
      <c r="A19" s="35" t="str">
        <f>'Week 5'!A31</f>
        <v>Non Meal Plan Meals</v>
      </c>
      <c r="B19" s="11"/>
      <c r="C19" s="12"/>
      <c r="D19" s="73"/>
      <c r="E19" s="73"/>
      <c r="F19" s="12"/>
      <c r="G19" s="24"/>
      <c r="H19" s="74"/>
    </row>
    <row r="20" spans="1:8" s="7" customFormat="1" ht="30" customHeight="1">
      <c r="A20" s="35" t="str">
        <f>'Week 5'!A32</f>
        <v xml:space="preserve">Meal numbers </v>
      </c>
      <c r="B20" s="75"/>
      <c r="C20" s="95"/>
      <c r="D20" s="67"/>
      <c r="E20" s="67"/>
      <c r="F20" s="95"/>
      <c r="G20" s="95"/>
      <c r="H20" s="75"/>
    </row>
    <row r="21" spans="1:8" s="7" customFormat="1" ht="24.95" customHeight="1" thickBot="1">
      <c r="A21" s="36" t="s">
        <v>45</v>
      </c>
      <c r="B21" s="77">
        <f>('Week 5'!B21+'Week 4'!B21+'Week 3'!B21)/3</f>
        <v>0</v>
      </c>
      <c r="C21" s="77">
        <f>('Week 5'!C21+'Week 4'!C21+'Week 3'!C21)/3</f>
        <v>193.33333333333334</v>
      </c>
      <c r="D21" s="96">
        <f>('Week 5'!D21+'Week 4'!D21+'Week 3'!D21)/3</f>
        <v>306.33333333333331</v>
      </c>
      <c r="E21" s="96">
        <f>('Week 5'!E21+'Week 4'!E21+'Week 3'!E21)/3</f>
        <v>332.66666666666669</v>
      </c>
      <c r="F21" s="77">
        <f>('Week 5'!F21+'Week 4'!F21+'Week 3'!F21)/3</f>
        <v>285.33333333333331</v>
      </c>
      <c r="G21" s="77">
        <f>('Week 5'!G21+'Week 4'!G21+'Week 3'!G21)/3</f>
        <v>199.33333333333334</v>
      </c>
      <c r="H21" s="77">
        <f>('Week 5'!H21+'Week 4'!H21+'Week 3'!H21)/3</f>
        <v>0</v>
      </c>
    </row>
    <row r="22" spans="1:8" s="7" customFormat="1" ht="24.95" customHeight="1" thickBot="1">
      <c r="A22" s="34" t="s">
        <v>40</v>
      </c>
      <c r="B22" s="92" t="e">
        <f>(B21-B5)/B5</f>
        <v>#DIV/0!</v>
      </c>
      <c r="C22" s="93" t="e">
        <f>(C21-C5)/C5</f>
        <v>#DIV/0!</v>
      </c>
      <c r="D22" s="99"/>
      <c r="E22" s="99"/>
      <c r="F22" s="93" t="e">
        <f>(F21-F5)/F5</f>
        <v>#DIV/0!</v>
      </c>
      <c r="G22" s="93" t="e">
        <f>(G21-G5)/G5</f>
        <v>#DIV/0!</v>
      </c>
      <c r="H22" s="94" t="e">
        <f>(H21-H5)/H5</f>
        <v>#DIV/0!</v>
      </c>
    </row>
    <row r="23" spans="1:8" s="7" customFormat="1">
      <c r="A23" s="186" t="s">
        <v>46</v>
      </c>
      <c r="B23" s="187"/>
      <c r="C23" s="187"/>
      <c r="D23" s="187"/>
      <c r="E23" s="187"/>
      <c r="F23" s="188" t="s">
        <v>47</v>
      </c>
      <c r="G23" s="97"/>
      <c r="H23" s="98"/>
    </row>
    <row r="24" spans="1:8" s="7" customFormat="1" ht="30" customHeight="1">
      <c r="A24" s="35" t="str">
        <f>A18</f>
        <v>Greeter Total</v>
      </c>
      <c r="B24" s="13"/>
      <c r="C24" s="12"/>
      <c r="D24" s="12"/>
      <c r="E24" s="12"/>
      <c r="F24" s="12"/>
      <c r="G24" s="12"/>
      <c r="H24" s="10"/>
    </row>
    <row r="25" spans="1:8" s="7" customFormat="1" ht="30" customHeight="1">
      <c r="A25" s="35" t="str">
        <f t="shared" ref="A25:A26" si="3">A19</f>
        <v>Non Meal Plan Meals</v>
      </c>
      <c r="B25" s="76"/>
      <c r="C25" s="76"/>
      <c r="D25" s="76"/>
      <c r="E25" s="76"/>
      <c r="F25" s="76"/>
      <c r="G25" s="76"/>
      <c r="H25" s="76"/>
    </row>
    <row r="26" spans="1:8" s="7" customFormat="1" ht="30" customHeight="1">
      <c r="A26" s="35" t="str">
        <f t="shared" si="3"/>
        <v xml:space="preserve">Meal numbers </v>
      </c>
      <c r="B26" s="10"/>
      <c r="C26" s="10"/>
      <c r="D26" s="10"/>
      <c r="E26" s="10"/>
      <c r="F26" s="10"/>
      <c r="G26" s="10"/>
      <c r="H26" s="10"/>
    </row>
    <row r="27" spans="1:8" s="7" customFormat="1" ht="27.95" customHeight="1" thickBot="1">
      <c r="A27" s="36" t="s">
        <v>50</v>
      </c>
      <c r="B27" s="100">
        <f>('Week 5'!B27+'Week 4'!B27+'Week 3'!B27)/3</f>
        <v>264</v>
      </c>
      <c r="C27" s="100">
        <f>('Week 5'!C27+'Week 4'!C27+'Week 3'!C27)/3</f>
        <v>384</v>
      </c>
      <c r="D27" s="100">
        <f>('Week 5'!D27+'Week 4'!D27+'Week 3'!D27)/3</f>
        <v>575</v>
      </c>
      <c r="E27" s="100">
        <f>('Week 5'!E27+'Week 4'!E27+'Week 3'!E27)/3</f>
        <v>571.33333333333337</v>
      </c>
      <c r="F27" s="100">
        <f>('Week 5'!F27+'Week 4'!F27+'Week 3'!F27)/3</f>
        <v>545</v>
      </c>
      <c r="G27" s="100">
        <f>('Week 5'!G27+'Week 4'!G27+'Week 3'!G27)/3</f>
        <v>385.66666666666669</v>
      </c>
      <c r="H27" s="100">
        <f>('Week 5'!H27+'Week 4'!H27+'Week 3'!H27)/3</f>
        <v>126.66666666666667</v>
      </c>
    </row>
    <row r="28" spans="1:8" s="7" customFormat="1" ht="24.95" customHeight="1" thickBot="1">
      <c r="A28" s="34" t="s">
        <v>40</v>
      </c>
      <c r="B28" s="92" t="e">
        <f t="shared" ref="B28:H28" si="4">(B27-B6)/B6</f>
        <v>#DIV/0!</v>
      </c>
      <c r="C28" s="93" t="e">
        <f t="shared" si="4"/>
        <v>#DIV/0!</v>
      </c>
      <c r="D28" s="93" t="e">
        <f t="shared" si="4"/>
        <v>#DIV/0!</v>
      </c>
      <c r="E28" s="93" t="e">
        <f t="shared" si="4"/>
        <v>#DIV/0!</v>
      </c>
      <c r="F28" s="93" t="e">
        <f t="shared" si="4"/>
        <v>#DIV/0!</v>
      </c>
      <c r="G28" s="93" t="e">
        <f t="shared" si="4"/>
        <v>#DIV/0!</v>
      </c>
      <c r="H28" s="94" t="e">
        <f t="shared" si="4"/>
        <v>#DIV/0!</v>
      </c>
    </row>
    <row r="29" spans="1:8" s="7" customFormat="1">
      <c r="A29" s="189" t="s">
        <v>51</v>
      </c>
      <c r="B29" s="190"/>
      <c r="C29" s="190"/>
      <c r="D29" s="190"/>
      <c r="E29" s="190"/>
      <c r="F29" s="191" t="s">
        <v>35</v>
      </c>
      <c r="G29" s="101"/>
      <c r="H29" s="102"/>
    </row>
    <row r="30" spans="1:8" s="7" customFormat="1" ht="30" customHeight="1">
      <c r="A30" s="35" t="str">
        <f>A24</f>
        <v>Greeter Total</v>
      </c>
      <c r="B30" s="10"/>
      <c r="C30" s="9"/>
      <c r="D30" s="9"/>
      <c r="E30" s="9"/>
      <c r="F30" s="9"/>
      <c r="G30" s="9"/>
      <c r="H30" s="10"/>
    </row>
    <row r="31" spans="1:8" s="7" customFormat="1" ht="30" customHeight="1">
      <c r="A31" s="35" t="str">
        <f t="shared" ref="A31:A32" si="5">A25</f>
        <v>Non Meal Plan Meals</v>
      </c>
      <c r="B31" s="60"/>
      <c r="C31" s="60"/>
      <c r="D31" s="60"/>
      <c r="E31" s="60"/>
      <c r="F31" s="60"/>
      <c r="G31" s="60"/>
      <c r="H31" s="60"/>
    </row>
    <row r="32" spans="1:8" s="7" customFormat="1" ht="30" customHeight="1">
      <c r="A32" s="35" t="str">
        <f t="shared" si="5"/>
        <v xml:space="preserve">Meal numbers </v>
      </c>
      <c r="B32" s="10"/>
      <c r="C32" s="10"/>
      <c r="D32" s="10"/>
      <c r="E32" s="10"/>
      <c r="F32" s="10"/>
      <c r="G32" s="10"/>
      <c r="H32" s="10"/>
    </row>
    <row r="33" spans="1:12" s="7" customFormat="1" ht="30.95" customHeight="1" thickBot="1">
      <c r="A33" s="36" t="s">
        <v>53</v>
      </c>
      <c r="B33" s="103">
        <f>('Week 5'!B33+'Week 4'!B33+'Week 3'!B33)/3</f>
        <v>188</v>
      </c>
      <c r="C33" s="103">
        <f>('Week 5'!C33+'Week 4'!C33+'Week 3'!C33)/3</f>
        <v>395</v>
      </c>
      <c r="D33" s="103">
        <f>('Week 5'!D33+'Week 4'!D33+'Week 3'!D33)/3</f>
        <v>594</v>
      </c>
      <c r="E33" s="103">
        <f>('Week 5'!E33+'Week 4'!E33+'Week 3'!E33)/3</f>
        <v>582.66666666666663</v>
      </c>
      <c r="F33" s="103">
        <f>('Week 5'!F33+'Week 4'!F33+'Week 3'!F33)/3</f>
        <v>551.66666666666663</v>
      </c>
      <c r="G33" s="103">
        <f>('Week 5'!G33+'Week 4'!G33+'Week 3'!G33)/3</f>
        <v>223.33333333333334</v>
      </c>
      <c r="H33" s="103">
        <f>('Week 5'!H33+'Week 4'!H33+'Week 3'!H33)/3</f>
        <v>59.666666666666664</v>
      </c>
    </row>
    <row r="34" spans="1:12" s="7" customFormat="1" ht="24.95" customHeight="1" thickBot="1">
      <c r="A34" s="34" t="s">
        <v>40</v>
      </c>
      <c r="B34" s="92" t="e">
        <f t="shared" ref="B34:H34" si="6">(B33-B7)/B7</f>
        <v>#DIV/0!</v>
      </c>
      <c r="C34" s="93" t="e">
        <f t="shared" si="6"/>
        <v>#DIV/0!</v>
      </c>
      <c r="D34" s="93" t="e">
        <f t="shared" si="6"/>
        <v>#DIV/0!</v>
      </c>
      <c r="E34" s="93" t="e">
        <f t="shared" si="6"/>
        <v>#DIV/0!</v>
      </c>
      <c r="F34" s="93" t="e">
        <f t="shared" si="6"/>
        <v>#DIV/0!</v>
      </c>
      <c r="G34" s="93" t="e">
        <f t="shared" si="6"/>
        <v>#DIV/0!</v>
      </c>
      <c r="H34" s="94" t="e">
        <f t="shared" si="6"/>
        <v>#DIV/0!</v>
      </c>
    </row>
    <row r="35" spans="1:12" s="7" customFormat="1">
      <c r="A35" s="192" t="s">
        <v>54</v>
      </c>
      <c r="B35" s="193"/>
      <c r="C35" s="193"/>
      <c r="D35" s="193"/>
      <c r="E35" s="193"/>
      <c r="F35" s="194" t="s">
        <v>35</v>
      </c>
      <c r="G35" s="104"/>
      <c r="H35" s="105"/>
    </row>
    <row r="36" spans="1:12" s="7" customFormat="1" ht="30.95" customHeight="1" thickBot="1">
      <c r="A36" s="78" t="s">
        <v>55</v>
      </c>
      <c r="B36" s="77">
        <f>('Week 5'!B36+'Week 4'!B36+'Week 3'!B36)/3</f>
        <v>452</v>
      </c>
      <c r="C36" s="77">
        <f>('Week 5'!C36+'Week 4'!C36+'Week 3'!C36)/3</f>
        <v>972.33333333333337</v>
      </c>
      <c r="D36" s="77">
        <f>('Week 5'!D36+'Week 4'!D36+'Week 3'!D36)/3</f>
        <v>1475.3333333333333</v>
      </c>
      <c r="E36" s="77">
        <f>('Week 5'!E36+'Week 4'!E36+'Week 3'!E36)/3</f>
        <v>1486.6666666666667</v>
      </c>
      <c r="F36" s="77">
        <f>('Week 5'!F36+'Week 4'!F36+'Week 3'!F36)/3</f>
        <v>1382</v>
      </c>
      <c r="G36" s="77">
        <f>('Week 5'!G36+'Week 4'!G36+'Week 3'!G36)/3</f>
        <v>808.33333333333337</v>
      </c>
      <c r="H36" s="77">
        <f>('Week 5'!H36+'Week 4'!H36+'Week 3'!H36)/3</f>
        <v>186.33333333333334</v>
      </c>
    </row>
    <row r="37" spans="1:12" s="7" customFormat="1" ht="24.95" customHeight="1" thickBot="1">
      <c r="A37" s="34" t="s">
        <v>40</v>
      </c>
      <c r="B37" s="92" t="e">
        <f t="shared" ref="B37:H37" si="7">(B36-B8)/B8</f>
        <v>#DIV/0!</v>
      </c>
      <c r="C37" s="93" t="e">
        <f t="shared" si="7"/>
        <v>#DIV/0!</v>
      </c>
      <c r="D37" s="93" t="e">
        <f t="shared" si="7"/>
        <v>#DIV/0!</v>
      </c>
      <c r="E37" s="93" t="e">
        <f t="shared" si="7"/>
        <v>#DIV/0!</v>
      </c>
      <c r="F37" s="93" t="e">
        <f t="shared" si="7"/>
        <v>#DIV/0!</v>
      </c>
      <c r="G37" s="93" t="e">
        <f t="shared" si="7"/>
        <v>#DIV/0!</v>
      </c>
      <c r="H37" s="94" t="e">
        <f t="shared" si="7"/>
        <v>#DIV/0!</v>
      </c>
    </row>
    <row r="38" spans="1:12" ht="30" customHeight="1" thickBot="1">
      <c r="A38" s="195"/>
      <c r="B38" s="196"/>
      <c r="C38" s="196"/>
      <c r="D38" s="196"/>
      <c r="E38" s="196"/>
      <c r="F38" s="196"/>
      <c r="G38" s="106" t="s">
        <v>37</v>
      </c>
      <c r="H38" s="107">
        <f>SUM(B36:H36)</f>
        <v>6763</v>
      </c>
    </row>
    <row r="39" spans="1:12" s="7" customFormat="1" ht="24.95" customHeight="1" thickTop="1">
      <c r="A39" s="37"/>
      <c r="B39" s="25"/>
      <c r="C39" s="25"/>
      <c r="D39" s="25"/>
      <c r="E39" s="25"/>
      <c r="F39" s="25"/>
      <c r="G39" s="79" t="s">
        <v>40</v>
      </c>
      <c r="H39" s="80" t="e">
        <f>(H38-H9)/H9</f>
        <v>#DIV/0!</v>
      </c>
    </row>
    <row r="40" spans="1:12" s="7" customFormat="1" ht="24.95" customHeight="1" thickBot="1">
      <c r="A40" s="37"/>
      <c r="B40" s="25"/>
      <c r="C40" s="25"/>
      <c r="D40" s="25"/>
      <c r="E40" s="25"/>
      <c r="F40" s="25"/>
      <c r="G40" s="81" t="s">
        <v>56</v>
      </c>
      <c r="H40" s="82" t="e">
        <f>(H38-H16)/H16</f>
        <v>#DIV/0!</v>
      </c>
    </row>
    <row r="41" spans="1:12" s="46" customFormat="1" ht="23.1" customHeight="1">
      <c r="A41" s="40"/>
      <c r="B41" s="47" t="s">
        <v>57</v>
      </c>
      <c r="C41" s="197" t="s">
        <v>58</v>
      </c>
      <c r="D41" s="197"/>
      <c r="E41" s="197"/>
      <c r="F41" s="197"/>
      <c r="G41" s="198">
        <v>2020</v>
      </c>
      <c r="H41" s="199"/>
    </row>
    <row r="42" spans="1:12" ht="30" customHeight="1">
      <c r="A42" s="1" t="s">
        <v>60</v>
      </c>
      <c r="B42" s="57"/>
      <c r="C42" s="180"/>
      <c r="D42" s="180"/>
      <c r="E42" s="180"/>
      <c r="F42" s="180"/>
      <c r="G42" s="178"/>
      <c r="H42" s="179"/>
      <c r="L42" s="7" t="s">
        <v>61</v>
      </c>
    </row>
    <row r="43" spans="1:12" ht="30" customHeight="1">
      <c r="A43" s="1" t="s">
        <v>1</v>
      </c>
      <c r="B43" s="57" t="s">
        <v>59</v>
      </c>
      <c r="C43" s="175"/>
      <c r="D43" s="175"/>
      <c r="E43" s="175"/>
      <c r="F43" s="175"/>
      <c r="G43" s="178"/>
      <c r="H43" s="179"/>
      <c r="L43" s="5" t="s">
        <v>62</v>
      </c>
    </row>
    <row r="44" spans="1:12" ht="30" customHeight="1">
      <c r="A44" s="1" t="s">
        <v>2</v>
      </c>
      <c r="B44" s="57" t="s">
        <v>59</v>
      </c>
      <c r="C44" s="175"/>
      <c r="D44" s="175"/>
      <c r="E44" s="175"/>
      <c r="F44" s="175"/>
      <c r="G44" s="176"/>
      <c r="H44" s="177"/>
      <c r="L44" s="5" t="s">
        <v>63</v>
      </c>
    </row>
    <row r="45" spans="1:12" ht="30" customHeight="1">
      <c r="A45" s="1" t="s">
        <v>3</v>
      </c>
      <c r="B45" s="57"/>
      <c r="C45" s="175"/>
      <c r="D45" s="175"/>
      <c r="E45" s="175"/>
      <c r="F45" s="175"/>
      <c r="G45" s="176"/>
      <c r="H45" s="177"/>
      <c r="L45" s="5" t="s">
        <v>64</v>
      </c>
    </row>
    <row r="46" spans="1:12" ht="30.95" customHeight="1">
      <c r="A46" s="1" t="s">
        <v>4</v>
      </c>
      <c r="B46" s="57"/>
      <c r="C46" s="175"/>
      <c r="D46" s="175"/>
      <c r="E46" s="175"/>
      <c r="F46" s="175"/>
      <c r="G46" s="176"/>
      <c r="H46" s="177"/>
    </row>
    <row r="47" spans="1:12" ht="30" customHeight="1">
      <c r="A47" s="1" t="s">
        <v>5</v>
      </c>
      <c r="B47" s="57" t="s">
        <v>59</v>
      </c>
      <c r="C47" s="175"/>
      <c r="D47" s="175"/>
      <c r="E47" s="175"/>
      <c r="F47" s="175"/>
      <c r="G47" s="176"/>
      <c r="H47" s="177"/>
    </row>
    <row r="48" spans="1:12" ht="30" customHeight="1">
      <c r="A48" s="1" t="s">
        <v>6</v>
      </c>
      <c r="B48" s="57"/>
      <c r="C48" s="175"/>
      <c r="D48" s="175"/>
      <c r="E48" s="175"/>
      <c r="F48" s="175"/>
      <c r="G48" s="176"/>
      <c r="H48" s="177"/>
    </row>
    <row r="49" spans="1:8" ht="30" customHeight="1">
      <c r="A49" s="1"/>
      <c r="B49" s="14"/>
      <c r="C49" s="175"/>
      <c r="D49" s="175"/>
      <c r="E49" s="175"/>
      <c r="F49" s="175"/>
      <c r="G49" s="176"/>
      <c r="H49" s="177"/>
    </row>
    <row r="50" spans="1:8" ht="30" customHeight="1">
      <c r="A50" s="2"/>
      <c r="B50" s="14"/>
      <c r="C50" s="175"/>
      <c r="D50" s="175"/>
      <c r="E50" s="175"/>
      <c r="F50" s="175"/>
      <c r="G50" s="176"/>
      <c r="H50" s="177"/>
    </row>
    <row r="51" spans="1:8">
      <c r="A51" s="30"/>
      <c r="B51" s="18" t="s">
        <v>27</v>
      </c>
      <c r="C51" s="18" t="s">
        <v>28</v>
      </c>
      <c r="D51" s="18" t="s">
        <v>65</v>
      </c>
      <c r="E51" s="18" t="s">
        <v>30</v>
      </c>
      <c r="F51" s="18" t="s">
        <v>66</v>
      </c>
      <c r="G51" s="18" t="s">
        <v>32</v>
      </c>
      <c r="H51" s="18" t="s">
        <v>33</v>
      </c>
    </row>
    <row r="52" spans="1:8">
      <c r="A52" s="38" t="s">
        <v>67</v>
      </c>
      <c r="B52" s="15"/>
      <c r="C52" s="20"/>
      <c r="D52" s="20"/>
      <c r="E52" s="20"/>
      <c r="F52" s="20"/>
      <c r="G52" s="20"/>
      <c r="H52" s="15"/>
    </row>
    <row r="53" spans="1:8" customFormat="1" ht="15.95">
      <c r="A53" s="48" t="s">
        <v>68</v>
      </c>
      <c r="B53" s="22"/>
      <c r="C53" s="21"/>
      <c r="D53" s="21"/>
      <c r="E53" s="21"/>
      <c r="F53" s="21"/>
      <c r="G53" s="23" t="s">
        <v>37</v>
      </c>
      <c r="H53" s="23">
        <f>SUM(B52:H52)</f>
        <v>0</v>
      </c>
    </row>
    <row r="54" spans="1:8">
      <c r="A54" s="30"/>
      <c r="B54" s="18" t="s">
        <v>27</v>
      </c>
      <c r="C54" s="18" t="s">
        <v>28</v>
      </c>
      <c r="D54" s="18" t="s">
        <v>65</v>
      </c>
      <c r="E54" s="18" t="s">
        <v>30</v>
      </c>
      <c r="F54" s="18" t="s">
        <v>66</v>
      </c>
      <c r="G54" s="18" t="s">
        <v>32</v>
      </c>
      <c r="H54" s="18" t="s">
        <v>33</v>
      </c>
    </row>
    <row r="55" spans="1:8">
      <c r="A55" s="38" t="s">
        <v>69</v>
      </c>
      <c r="B55" s="51"/>
      <c r="C55" s="52"/>
      <c r="D55" s="52"/>
      <c r="E55" s="52"/>
      <c r="F55" s="52"/>
      <c r="G55" s="20"/>
      <c r="H55" s="15"/>
    </row>
    <row r="56" spans="1:8" customFormat="1" ht="15.95">
      <c r="A56" s="49" t="s">
        <v>70</v>
      </c>
      <c r="B56" s="53"/>
      <c r="C56" s="53" t="s">
        <v>71</v>
      </c>
      <c r="D56" s="54"/>
      <c r="E56" s="54"/>
      <c r="F56" s="55"/>
      <c r="G56" s="50" t="s">
        <v>37</v>
      </c>
      <c r="H56" s="23"/>
    </row>
    <row r="57" spans="1:8">
      <c r="H57" s="16"/>
    </row>
    <row r="58" spans="1:8">
      <c r="H58" s="16"/>
    </row>
    <row r="59" spans="1:8">
      <c r="H59" s="16"/>
    </row>
    <row r="60" spans="1:8">
      <c r="H60" s="16"/>
    </row>
    <row r="61" spans="1:8">
      <c r="H61" s="16"/>
    </row>
    <row r="62" spans="1:8">
      <c r="H62" s="16"/>
    </row>
    <row r="63" spans="1:8">
      <c r="H63" s="16"/>
    </row>
    <row r="64" spans="1:8">
      <c r="B64" s="5"/>
      <c r="H64" s="16"/>
    </row>
    <row r="65" spans="2:8">
      <c r="B65" s="5"/>
      <c r="H65" s="16"/>
    </row>
    <row r="66" spans="2:8">
      <c r="B66" s="5"/>
      <c r="H66" s="16"/>
    </row>
    <row r="67" spans="2:8">
      <c r="B67" s="5"/>
      <c r="H67" s="16"/>
    </row>
    <row r="68" spans="2:8">
      <c r="B68" s="5"/>
      <c r="H68" s="16"/>
    </row>
    <row r="69" spans="2:8">
      <c r="B69" s="5"/>
      <c r="H69" s="16"/>
    </row>
    <row r="70" spans="2:8">
      <c r="B70" s="5"/>
      <c r="H70" s="16"/>
    </row>
    <row r="71" spans="2:8">
      <c r="B71" s="5"/>
      <c r="H71" s="16"/>
    </row>
    <row r="72" spans="2:8">
      <c r="B72" s="5"/>
      <c r="H72" s="16"/>
    </row>
    <row r="73" spans="2:8">
      <c r="B73" s="5"/>
      <c r="H73" s="16"/>
    </row>
    <row r="74" spans="2:8">
      <c r="B74" s="5"/>
      <c r="H74" s="16"/>
    </row>
    <row r="75" spans="2:8">
      <c r="B75" s="5"/>
      <c r="H75" s="16"/>
    </row>
    <row r="76" spans="2:8">
      <c r="B76" s="5"/>
      <c r="H76" s="16"/>
    </row>
    <row r="77" spans="2:8">
      <c r="B77" s="5"/>
      <c r="H77" s="16"/>
    </row>
    <row r="78" spans="2:8">
      <c r="B78" s="5"/>
      <c r="H78" s="16"/>
    </row>
    <row r="79" spans="2:8">
      <c r="B79" s="5"/>
      <c r="H79" s="16"/>
    </row>
    <row r="80" spans="2:8">
      <c r="B80" s="5"/>
      <c r="H80" s="16"/>
    </row>
    <row r="81" spans="2:8">
      <c r="B81" s="5"/>
      <c r="H81" s="16"/>
    </row>
    <row r="82" spans="2:8">
      <c r="B82" s="5"/>
      <c r="H82" s="16"/>
    </row>
    <row r="83" spans="2:8">
      <c r="B83" s="5"/>
      <c r="H83" s="16"/>
    </row>
    <row r="84" spans="2:8">
      <c r="B84" s="5"/>
      <c r="H84" s="16"/>
    </row>
    <row r="85" spans="2:8">
      <c r="B85" s="5"/>
      <c r="H85" s="16"/>
    </row>
    <row r="86" spans="2:8">
      <c r="B86" s="5"/>
      <c r="H86" s="16"/>
    </row>
    <row r="87" spans="2:8">
      <c r="B87" s="5"/>
      <c r="H87" s="16"/>
    </row>
    <row r="88" spans="2:8">
      <c r="B88" s="5"/>
      <c r="H88" s="16"/>
    </row>
    <row r="89" spans="2:8">
      <c r="B89" s="5"/>
      <c r="H89" s="16"/>
    </row>
    <row r="90" spans="2:8">
      <c r="B90" s="5"/>
      <c r="H90" s="16"/>
    </row>
    <row r="91" spans="2:8">
      <c r="B91" s="5"/>
      <c r="H91" s="16"/>
    </row>
    <row r="92" spans="2:8">
      <c r="B92" s="5"/>
      <c r="H92" s="16"/>
    </row>
    <row r="93" spans="2:8">
      <c r="B93" s="5"/>
      <c r="H93" s="16"/>
    </row>
    <row r="94" spans="2:8">
      <c r="B94" s="5"/>
      <c r="H94" s="16"/>
    </row>
    <row r="95" spans="2:8">
      <c r="B95" s="5"/>
      <c r="H95" s="16"/>
    </row>
    <row r="96" spans="2:8">
      <c r="B96" s="5"/>
      <c r="H96" s="16"/>
    </row>
    <row r="97" spans="2:8">
      <c r="B97" s="5"/>
      <c r="H97" s="16"/>
    </row>
    <row r="98" spans="2:8">
      <c r="B98" s="5"/>
      <c r="H98" s="16"/>
    </row>
    <row r="99" spans="2:8">
      <c r="B99" s="5"/>
      <c r="H99" s="16"/>
    </row>
    <row r="100" spans="2:8">
      <c r="B100" s="5"/>
      <c r="H100" s="16"/>
    </row>
    <row r="101" spans="2:8">
      <c r="B101" s="5"/>
      <c r="H101" s="16"/>
    </row>
    <row r="102" spans="2:8">
      <c r="B102" s="5"/>
      <c r="H102" s="16"/>
    </row>
    <row r="103" spans="2:8">
      <c r="B103" s="5"/>
      <c r="H103" s="16"/>
    </row>
    <row r="104" spans="2:8">
      <c r="B104" s="5"/>
      <c r="H104" s="16"/>
    </row>
    <row r="105" spans="2:8">
      <c r="B105" s="5"/>
      <c r="H105" s="16"/>
    </row>
    <row r="106" spans="2:8">
      <c r="B106" s="5"/>
      <c r="H106" s="16"/>
    </row>
    <row r="107" spans="2:8">
      <c r="B107" s="5"/>
      <c r="H107" s="16"/>
    </row>
    <row r="108" spans="2:8">
      <c r="B108" s="5"/>
      <c r="H108" s="16"/>
    </row>
    <row r="109" spans="2:8">
      <c r="B109" s="5"/>
      <c r="H109" s="16"/>
    </row>
    <row r="110" spans="2:8">
      <c r="B110" s="5"/>
      <c r="H110" s="16"/>
    </row>
    <row r="111" spans="2:8">
      <c r="B111" s="5"/>
      <c r="H111" s="16"/>
    </row>
    <row r="112" spans="2:8">
      <c r="B112" s="5"/>
      <c r="H112" s="16"/>
    </row>
    <row r="113" spans="2:8">
      <c r="B113" s="5"/>
      <c r="H113" s="16"/>
    </row>
    <row r="114" spans="2:8">
      <c r="B114" s="5"/>
      <c r="H114" s="16"/>
    </row>
    <row r="115" spans="2:8">
      <c r="B115" s="5"/>
      <c r="H115" s="16"/>
    </row>
    <row r="116" spans="2:8">
      <c r="B116" s="5"/>
      <c r="H116" s="16"/>
    </row>
    <row r="117" spans="2:8">
      <c r="B117" s="5"/>
      <c r="H117" s="16"/>
    </row>
    <row r="118" spans="2:8">
      <c r="B118" s="5"/>
      <c r="H118" s="16"/>
    </row>
    <row r="119" spans="2:8">
      <c r="B119" s="5"/>
      <c r="H119" s="16"/>
    </row>
    <row r="120" spans="2:8">
      <c r="B120" s="5"/>
      <c r="H120" s="16"/>
    </row>
    <row r="121" spans="2:8">
      <c r="B121" s="5"/>
      <c r="H121" s="16"/>
    </row>
    <row r="122" spans="2:8">
      <c r="B122" s="5"/>
      <c r="H122" s="16"/>
    </row>
    <row r="123" spans="2:8">
      <c r="B123" s="5"/>
      <c r="H123" s="16"/>
    </row>
    <row r="124" spans="2:8">
      <c r="B124" s="5"/>
      <c r="H124" s="16"/>
    </row>
    <row r="125" spans="2:8">
      <c r="B125" s="5"/>
      <c r="H125" s="16"/>
    </row>
    <row r="126" spans="2:8">
      <c r="B126" s="5"/>
      <c r="H126" s="16"/>
    </row>
    <row r="127" spans="2:8">
      <c r="B127" s="5"/>
      <c r="H127" s="16"/>
    </row>
    <row r="128" spans="2:8">
      <c r="B128" s="5"/>
      <c r="H128" s="16"/>
    </row>
    <row r="129" spans="2:8">
      <c r="B129" s="5"/>
      <c r="H129" s="16"/>
    </row>
    <row r="130" spans="2:8">
      <c r="B130" s="5"/>
      <c r="H130" s="16"/>
    </row>
    <row r="131" spans="2:8">
      <c r="B131" s="5"/>
      <c r="H131" s="16"/>
    </row>
    <row r="132" spans="2:8">
      <c r="B132" s="5"/>
      <c r="H132" s="16"/>
    </row>
    <row r="133" spans="2:8">
      <c r="B133" s="5"/>
      <c r="H133" s="16"/>
    </row>
    <row r="134" spans="2:8">
      <c r="B134" s="5"/>
      <c r="H134" s="16"/>
    </row>
    <row r="135" spans="2:8">
      <c r="B135" s="5"/>
      <c r="H135" s="16"/>
    </row>
    <row r="136" spans="2:8">
      <c r="B136" s="5"/>
      <c r="H136" s="16"/>
    </row>
    <row r="137" spans="2:8">
      <c r="B137" s="5"/>
      <c r="H137" s="16"/>
    </row>
    <row r="138" spans="2:8">
      <c r="B138" s="5"/>
      <c r="H138" s="16"/>
    </row>
    <row r="139" spans="2:8">
      <c r="B139" s="5"/>
      <c r="H139" s="16"/>
    </row>
    <row r="140" spans="2:8">
      <c r="B140" s="5"/>
      <c r="H140" s="16"/>
    </row>
    <row r="141" spans="2:8">
      <c r="B141" s="5"/>
      <c r="H141" s="16"/>
    </row>
    <row r="142" spans="2:8">
      <c r="B142" s="5"/>
      <c r="H142" s="16"/>
    </row>
    <row r="143" spans="2:8">
      <c r="B143" s="5"/>
      <c r="H143" s="16"/>
    </row>
    <row r="144" spans="2:8">
      <c r="B144" s="5"/>
      <c r="H144" s="16"/>
    </row>
    <row r="145" spans="2:8">
      <c r="B145" s="5"/>
      <c r="H145" s="16"/>
    </row>
    <row r="146" spans="2:8">
      <c r="B146" s="5"/>
      <c r="H146" s="16"/>
    </row>
    <row r="147" spans="2:8">
      <c r="B147" s="5"/>
      <c r="H147" s="16"/>
    </row>
    <row r="148" spans="2:8">
      <c r="B148" s="5"/>
      <c r="H148" s="16"/>
    </row>
    <row r="149" spans="2:8">
      <c r="B149" s="5"/>
      <c r="H149" s="16"/>
    </row>
    <row r="150" spans="2:8">
      <c r="B150" s="5"/>
      <c r="H150" s="16"/>
    </row>
    <row r="151" spans="2:8">
      <c r="B151" s="5"/>
      <c r="H151" s="16"/>
    </row>
    <row r="152" spans="2:8">
      <c r="B152" s="5"/>
      <c r="H152" s="16"/>
    </row>
    <row r="153" spans="2:8">
      <c r="B153" s="5"/>
      <c r="H153" s="16"/>
    </row>
    <row r="154" spans="2:8">
      <c r="B154" s="5"/>
      <c r="H154" s="16"/>
    </row>
    <row r="155" spans="2:8">
      <c r="B155" s="5"/>
      <c r="H155" s="16"/>
    </row>
    <row r="156" spans="2:8">
      <c r="B156" s="5"/>
      <c r="H156" s="16"/>
    </row>
    <row r="157" spans="2:8">
      <c r="B157" s="5"/>
      <c r="H157" s="16"/>
    </row>
    <row r="158" spans="2:8">
      <c r="B158" s="5"/>
      <c r="H158" s="16"/>
    </row>
    <row r="159" spans="2:8">
      <c r="B159" s="5"/>
      <c r="H159" s="16"/>
    </row>
    <row r="160" spans="2:8">
      <c r="B160" s="5"/>
      <c r="H160" s="16"/>
    </row>
    <row r="161" spans="2:8">
      <c r="B161" s="5"/>
      <c r="H161" s="16"/>
    </row>
    <row r="162" spans="2:8">
      <c r="B162" s="5"/>
      <c r="H162" s="16"/>
    </row>
    <row r="163" spans="2:8">
      <c r="B163" s="5"/>
      <c r="H163" s="16"/>
    </row>
    <row r="164" spans="2:8">
      <c r="B164" s="5"/>
      <c r="H164" s="16"/>
    </row>
    <row r="165" spans="2:8">
      <c r="B165" s="5"/>
      <c r="H165" s="16"/>
    </row>
    <row r="166" spans="2:8">
      <c r="B166" s="5"/>
      <c r="H166" s="16"/>
    </row>
    <row r="167" spans="2:8">
      <c r="B167" s="5"/>
      <c r="H167" s="16"/>
    </row>
    <row r="168" spans="2:8">
      <c r="B168" s="5"/>
      <c r="H168" s="16"/>
    </row>
    <row r="169" spans="2:8">
      <c r="B169" s="5"/>
      <c r="H169" s="16"/>
    </row>
    <row r="170" spans="2:8">
      <c r="B170" s="5"/>
      <c r="H170" s="16"/>
    </row>
    <row r="171" spans="2:8">
      <c r="B171" s="5"/>
      <c r="H171" s="16"/>
    </row>
    <row r="172" spans="2:8">
      <c r="B172" s="5"/>
      <c r="H172" s="16"/>
    </row>
    <row r="173" spans="2:8">
      <c r="B173" s="5"/>
      <c r="H173" s="16"/>
    </row>
    <row r="174" spans="2:8">
      <c r="B174" s="5"/>
      <c r="H174" s="16"/>
    </row>
    <row r="175" spans="2:8">
      <c r="B175" s="5"/>
      <c r="H175" s="16"/>
    </row>
    <row r="176" spans="2:8">
      <c r="B176" s="5"/>
      <c r="H176" s="16"/>
    </row>
    <row r="177" spans="2:8">
      <c r="B177" s="5"/>
      <c r="H177" s="16"/>
    </row>
    <row r="178" spans="2:8">
      <c r="B178" s="5"/>
      <c r="H178" s="16"/>
    </row>
    <row r="179" spans="2:8">
      <c r="B179" s="5"/>
      <c r="H179" s="16"/>
    </row>
    <row r="180" spans="2:8">
      <c r="B180" s="5"/>
      <c r="H180" s="16"/>
    </row>
    <row r="181" spans="2:8">
      <c r="B181" s="5"/>
      <c r="H181" s="16"/>
    </row>
    <row r="182" spans="2:8">
      <c r="B182" s="5"/>
      <c r="H182" s="16"/>
    </row>
    <row r="183" spans="2:8">
      <c r="B183" s="5"/>
      <c r="H183" s="16"/>
    </row>
    <row r="184" spans="2:8">
      <c r="B184" s="5"/>
      <c r="H184" s="16"/>
    </row>
    <row r="185" spans="2:8">
      <c r="B185" s="5"/>
      <c r="H185" s="16"/>
    </row>
    <row r="186" spans="2:8">
      <c r="B186" s="5"/>
      <c r="H186" s="16"/>
    </row>
    <row r="187" spans="2:8">
      <c r="B187" s="5"/>
      <c r="H187" s="16"/>
    </row>
    <row r="188" spans="2:8">
      <c r="B188" s="5"/>
      <c r="H188" s="16"/>
    </row>
    <row r="189" spans="2:8">
      <c r="B189" s="5"/>
      <c r="H189" s="16"/>
    </row>
    <row r="190" spans="2:8">
      <c r="B190" s="5"/>
      <c r="H190" s="16"/>
    </row>
    <row r="191" spans="2:8">
      <c r="B191" s="5"/>
      <c r="H191" s="16"/>
    </row>
    <row r="192" spans="2:8">
      <c r="B192" s="5"/>
      <c r="H192" s="16"/>
    </row>
    <row r="193" spans="2:8">
      <c r="B193" s="5"/>
      <c r="H193" s="16"/>
    </row>
    <row r="194" spans="2:8">
      <c r="B194" s="5"/>
      <c r="H194" s="16"/>
    </row>
    <row r="195" spans="2:8">
      <c r="B195" s="5"/>
      <c r="H195" s="16"/>
    </row>
    <row r="196" spans="2:8">
      <c r="B196" s="5"/>
      <c r="H196" s="16"/>
    </row>
    <row r="197" spans="2:8">
      <c r="B197" s="5"/>
      <c r="H197" s="16"/>
    </row>
    <row r="198" spans="2:8">
      <c r="B198" s="5"/>
      <c r="H198" s="16"/>
    </row>
    <row r="199" spans="2:8">
      <c r="B199" s="5"/>
      <c r="H199" s="16"/>
    </row>
    <row r="200" spans="2:8">
      <c r="B200" s="5"/>
      <c r="H200" s="16"/>
    </row>
    <row r="201" spans="2:8">
      <c r="B201" s="5"/>
      <c r="H201" s="16"/>
    </row>
    <row r="202" spans="2:8">
      <c r="B202" s="5"/>
      <c r="H202" s="16"/>
    </row>
    <row r="203" spans="2:8">
      <c r="B203" s="5"/>
      <c r="H203" s="16"/>
    </row>
    <row r="204" spans="2:8">
      <c r="B204" s="5"/>
      <c r="H204" s="16"/>
    </row>
    <row r="205" spans="2:8">
      <c r="B205" s="5"/>
      <c r="H205" s="16"/>
    </row>
    <row r="206" spans="2:8">
      <c r="B206" s="5"/>
      <c r="H206" s="16"/>
    </row>
    <row r="207" spans="2:8">
      <c r="B207" s="5"/>
      <c r="H207" s="16"/>
    </row>
    <row r="208" spans="2:8">
      <c r="B208" s="5"/>
      <c r="H208" s="16"/>
    </row>
    <row r="209" spans="2:8">
      <c r="B209" s="5"/>
      <c r="H209" s="16"/>
    </row>
    <row r="210" spans="2:8">
      <c r="B210" s="5"/>
      <c r="H210" s="16"/>
    </row>
    <row r="211" spans="2:8">
      <c r="B211" s="5"/>
      <c r="H211" s="16"/>
    </row>
    <row r="212" spans="2:8">
      <c r="B212" s="5"/>
      <c r="H212" s="16"/>
    </row>
    <row r="213" spans="2:8">
      <c r="B213" s="5"/>
      <c r="H213" s="16"/>
    </row>
    <row r="214" spans="2:8">
      <c r="B214" s="5"/>
      <c r="H214" s="16"/>
    </row>
    <row r="215" spans="2:8">
      <c r="B215" s="5"/>
      <c r="H215" s="16"/>
    </row>
    <row r="216" spans="2:8">
      <c r="B216" s="5"/>
      <c r="H216" s="16"/>
    </row>
    <row r="217" spans="2:8">
      <c r="B217" s="5"/>
      <c r="H217" s="16"/>
    </row>
    <row r="218" spans="2:8">
      <c r="B218" s="5"/>
      <c r="H218" s="16"/>
    </row>
    <row r="219" spans="2:8">
      <c r="B219" s="5"/>
      <c r="H219" s="16"/>
    </row>
    <row r="220" spans="2:8">
      <c r="B220" s="5"/>
      <c r="H220" s="16"/>
    </row>
    <row r="221" spans="2:8">
      <c r="B221" s="5"/>
      <c r="H221" s="16"/>
    </row>
    <row r="222" spans="2:8">
      <c r="B222" s="5"/>
      <c r="H222" s="16"/>
    </row>
    <row r="223" spans="2:8">
      <c r="B223" s="5"/>
      <c r="H223" s="16"/>
    </row>
    <row r="224" spans="2:8">
      <c r="B224" s="5"/>
      <c r="H224" s="16"/>
    </row>
    <row r="225" spans="2:8">
      <c r="B225" s="5"/>
      <c r="H225" s="16"/>
    </row>
    <row r="226" spans="2:8">
      <c r="B226" s="5"/>
      <c r="H226" s="16"/>
    </row>
    <row r="227" spans="2:8">
      <c r="B227" s="5"/>
      <c r="H227" s="16"/>
    </row>
    <row r="228" spans="2:8">
      <c r="B228" s="5"/>
      <c r="H228" s="16"/>
    </row>
    <row r="229" spans="2:8">
      <c r="B229" s="5"/>
      <c r="H229" s="16"/>
    </row>
    <row r="230" spans="2:8">
      <c r="B230" s="5"/>
      <c r="H230" s="16"/>
    </row>
    <row r="231" spans="2:8">
      <c r="B231" s="5"/>
      <c r="H231" s="16"/>
    </row>
    <row r="232" spans="2:8">
      <c r="B232" s="5"/>
      <c r="H232" s="16"/>
    </row>
    <row r="233" spans="2:8">
      <c r="B233" s="5"/>
      <c r="H233" s="16"/>
    </row>
    <row r="234" spans="2:8">
      <c r="B234" s="5"/>
      <c r="H234" s="16"/>
    </row>
    <row r="235" spans="2:8">
      <c r="B235" s="5"/>
      <c r="H235" s="16"/>
    </row>
    <row r="236" spans="2:8">
      <c r="B236" s="5"/>
      <c r="H236" s="16"/>
    </row>
    <row r="237" spans="2:8">
      <c r="B237" s="5"/>
      <c r="H237" s="16"/>
    </row>
    <row r="238" spans="2:8">
      <c r="B238" s="5"/>
      <c r="H238" s="16"/>
    </row>
    <row r="239" spans="2:8">
      <c r="B239" s="5"/>
      <c r="H239" s="16"/>
    </row>
    <row r="240" spans="2:8">
      <c r="B240" s="5"/>
      <c r="H240" s="16"/>
    </row>
    <row r="241" spans="2:8">
      <c r="B241" s="5"/>
      <c r="H241" s="16"/>
    </row>
    <row r="242" spans="2:8">
      <c r="B242" s="5"/>
      <c r="H242" s="16"/>
    </row>
    <row r="243" spans="2:8">
      <c r="B243" s="5"/>
      <c r="H243" s="16"/>
    </row>
    <row r="244" spans="2:8">
      <c r="B244" s="5"/>
      <c r="H244" s="16"/>
    </row>
    <row r="245" spans="2:8">
      <c r="B245" s="5"/>
      <c r="H245" s="16"/>
    </row>
    <row r="246" spans="2:8">
      <c r="B246" s="5"/>
      <c r="H246" s="16"/>
    </row>
    <row r="247" spans="2:8">
      <c r="B247" s="5"/>
      <c r="H247" s="16"/>
    </row>
    <row r="248" spans="2:8">
      <c r="B248" s="5"/>
      <c r="H248" s="16"/>
    </row>
    <row r="249" spans="2:8">
      <c r="B249" s="5"/>
      <c r="H249" s="16"/>
    </row>
    <row r="250" spans="2:8">
      <c r="B250" s="5"/>
      <c r="H250" s="16"/>
    </row>
    <row r="251" spans="2:8">
      <c r="B251" s="5"/>
      <c r="H251" s="16"/>
    </row>
    <row r="252" spans="2:8">
      <c r="B252" s="5"/>
      <c r="H252" s="16"/>
    </row>
    <row r="253" spans="2:8">
      <c r="B253" s="5"/>
      <c r="H253" s="16"/>
    </row>
    <row r="254" spans="2:8">
      <c r="B254" s="5"/>
      <c r="H254" s="16"/>
    </row>
    <row r="255" spans="2:8">
      <c r="B255" s="5"/>
      <c r="H255" s="16"/>
    </row>
    <row r="256" spans="2:8">
      <c r="B256" s="5"/>
      <c r="H256" s="16"/>
    </row>
    <row r="257" spans="2:8">
      <c r="B257" s="5"/>
      <c r="H257" s="16"/>
    </row>
    <row r="258" spans="2:8">
      <c r="B258" s="5"/>
      <c r="H258" s="16"/>
    </row>
    <row r="259" spans="2:8">
      <c r="B259" s="5"/>
      <c r="H259" s="16"/>
    </row>
    <row r="260" spans="2:8">
      <c r="B260" s="5"/>
      <c r="H260" s="16"/>
    </row>
    <row r="261" spans="2:8">
      <c r="B261" s="5"/>
      <c r="H261" s="16"/>
    </row>
    <row r="262" spans="2:8">
      <c r="B262" s="5"/>
      <c r="H262" s="16"/>
    </row>
    <row r="263" spans="2:8">
      <c r="B263" s="5"/>
      <c r="H263" s="16"/>
    </row>
    <row r="264" spans="2:8">
      <c r="B264" s="5"/>
      <c r="H264" s="16"/>
    </row>
    <row r="265" spans="2:8">
      <c r="B265" s="5"/>
      <c r="H265" s="16"/>
    </row>
    <row r="266" spans="2:8">
      <c r="B266" s="5"/>
      <c r="H266" s="16"/>
    </row>
    <row r="267" spans="2:8">
      <c r="B267" s="5"/>
      <c r="H267" s="16"/>
    </row>
    <row r="268" spans="2:8">
      <c r="B268" s="5"/>
      <c r="H268" s="16"/>
    </row>
    <row r="269" spans="2:8">
      <c r="B269" s="5"/>
      <c r="H269" s="16"/>
    </row>
    <row r="270" spans="2:8">
      <c r="B270" s="5"/>
      <c r="H270" s="16"/>
    </row>
    <row r="271" spans="2:8">
      <c r="B271" s="5"/>
      <c r="H271" s="16"/>
    </row>
    <row r="272" spans="2:8">
      <c r="B272" s="5"/>
      <c r="H272" s="16"/>
    </row>
    <row r="273" spans="2:8">
      <c r="B273" s="5"/>
      <c r="H273" s="16"/>
    </row>
    <row r="274" spans="2:8">
      <c r="B274" s="5"/>
      <c r="H274" s="16"/>
    </row>
    <row r="275" spans="2:8">
      <c r="B275" s="5"/>
      <c r="H275" s="16"/>
    </row>
    <row r="276" spans="2:8">
      <c r="B276" s="5"/>
      <c r="H276" s="16"/>
    </row>
    <row r="277" spans="2:8">
      <c r="B277" s="5"/>
      <c r="H277" s="16"/>
    </row>
    <row r="278" spans="2:8">
      <c r="B278" s="5"/>
      <c r="H278" s="16"/>
    </row>
    <row r="279" spans="2:8">
      <c r="B279" s="5"/>
      <c r="H279" s="16"/>
    </row>
    <row r="280" spans="2:8">
      <c r="B280" s="5"/>
      <c r="H280" s="16"/>
    </row>
    <row r="281" spans="2:8">
      <c r="B281" s="5"/>
      <c r="H281" s="16"/>
    </row>
    <row r="282" spans="2:8">
      <c r="B282" s="5"/>
      <c r="H282" s="16"/>
    </row>
    <row r="283" spans="2:8">
      <c r="B283" s="5"/>
      <c r="H283" s="16"/>
    </row>
    <row r="284" spans="2:8">
      <c r="B284" s="5"/>
      <c r="H284" s="16"/>
    </row>
    <row r="285" spans="2:8">
      <c r="B285" s="5"/>
      <c r="H285" s="16"/>
    </row>
    <row r="286" spans="2:8">
      <c r="B286" s="5"/>
      <c r="H286" s="16"/>
    </row>
    <row r="287" spans="2:8">
      <c r="B287" s="5"/>
      <c r="H287" s="16"/>
    </row>
    <row r="288" spans="2:8">
      <c r="B288" s="5"/>
      <c r="H288" s="16"/>
    </row>
    <row r="289" spans="2:8">
      <c r="B289" s="5"/>
      <c r="H289" s="16"/>
    </row>
    <row r="290" spans="2:8">
      <c r="B290" s="5"/>
      <c r="H290" s="16"/>
    </row>
    <row r="291" spans="2:8">
      <c r="B291" s="5"/>
      <c r="H291" s="16"/>
    </row>
    <row r="292" spans="2:8">
      <c r="B292" s="5"/>
      <c r="H292" s="16"/>
    </row>
    <row r="293" spans="2:8">
      <c r="B293" s="5"/>
      <c r="H293" s="16"/>
    </row>
    <row r="294" spans="2:8">
      <c r="B294" s="5"/>
      <c r="H294" s="16"/>
    </row>
    <row r="295" spans="2:8">
      <c r="B295" s="5"/>
      <c r="H295" s="16"/>
    </row>
    <row r="296" spans="2:8">
      <c r="B296" s="5"/>
      <c r="H296" s="16"/>
    </row>
    <row r="297" spans="2:8">
      <c r="B297" s="5"/>
      <c r="H297" s="16"/>
    </row>
    <row r="298" spans="2:8">
      <c r="B298" s="5"/>
      <c r="H298" s="16"/>
    </row>
    <row r="299" spans="2:8">
      <c r="B299" s="5"/>
      <c r="H299" s="16"/>
    </row>
    <row r="300" spans="2:8">
      <c r="B300" s="5"/>
      <c r="H300" s="16"/>
    </row>
    <row r="301" spans="2:8">
      <c r="B301" s="5"/>
      <c r="H301" s="16"/>
    </row>
    <row r="302" spans="2:8">
      <c r="B302" s="5"/>
      <c r="H302" s="16"/>
    </row>
    <row r="303" spans="2:8">
      <c r="B303" s="5"/>
      <c r="H303" s="16"/>
    </row>
    <row r="304" spans="2:8">
      <c r="B304" s="5"/>
      <c r="H304" s="16"/>
    </row>
    <row r="305" spans="2:8">
      <c r="B305" s="5"/>
      <c r="H305" s="16"/>
    </row>
    <row r="306" spans="2:8">
      <c r="B306" s="5"/>
      <c r="H306" s="16"/>
    </row>
    <row r="307" spans="2:8">
      <c r="B307" s="5"/>
      <c r="H307" s="16"/>
    </row>
    <row r="308" spans="2:8">
      <c r="B308" s="5"/>
      <c r="H308" s="16"/>
    </row>
    <row r="309" spans="2:8">
      <c r="B309" s="5"/>
      <c r="H309" s="16"/>
    </row>
    <row r="310" spans="2:8">
      <c r="B310" s="5"/>
      <c r="H310" s="16"/>
    </row>
    <row r="311" spans="2:8">
      <c r="B311" s="5"/>
      <c r="H311" s="16"/>
    </row>
    <row r="312" spans="2:8">
      <c r="B312" s="5"/>
      <c r="H312" s="16"/>
    </row>
    <row r="313" spans="2:8">
      <c r="B313" s="5"/>
      <c r="H313" s="16"/>
    </row>
    <row r="314" spans="2:8">
      <c r="B314" s="5"/>
      <c r="H314" s="16"/>
    </row>
    <row r="315" spans="2:8">
      <c r="B315" s="5"/>
      <c r="H315" s="16"/>
    </row>
    <row r="316" spans="2:8">
      <c r="B316" s="5"/>
      <c r="H316" s="16"/>
    </row>
    <row r="317" spans="2:8">
      <c r="B317" s="5"/>
      <c r="H317" s="16"/>
    </row>
    <row r="318" spans="2:8">
      <c r="B318" s="5"/>
      <c r="H318" s="16"/>
    </row>
    <row r="319" spans="2:8">
      <c r="B319" s="5"/>
      <c r="H319" s="16"/>
    </row>
    <row r="320" spans="2:8">
      <c r="B320" s="5"/>
      <c r="H320" s="16"/>
    </row>
    <row r="321" spans="2:8">
      <c r="B321" s="5"/>
      <c r="H321" s="16"/>
    </row>
    <row r="322" spans="2:8">
      <c r="B322" s="5"/>
      <c r="H322" s="16"/>
    </row>
    <row r="323" spans="2:8">
      <c r="B323" s="5"/>
      <c r="H323" s="16"/>
    </row>
    <row r="324" spans="2:8">
      <c r="B324" s="5"/>
      <c r="H324" s="16"/>
    </row>
    <row r="325" spans="2:8">
      <c r="B325" s="5"/>
      <c r="H325" s="16"/>
    </row>
    <row r="326" spans="2:8">
      <c r="B326" s="5"/>
      <c r="H326" s="16"/>
    </row>
    <row r="327" spans="2:8">
      <c r="B327" s="5"/>
      <c r="H327" s="16"/>
    </row>
    <row r="328" spans="2:8">
      <c r="B328" s="5"/>
      <c r="H328" s="16"/>
    </row>
    <row r="329" spans="2:8">
      <c r="B329" s="5"/>
      <c r="H329" s="16"/>
    </row>
    <row r="330" spans="2:8">
      <c r="B330" s="5"/>
      <c r="H330" s="16"/>
    </row>
    <row r="331" spans="2:8">
      <c r="B331" s="5"/>
      <c r="H331" s="16"/>
    </row>
    <row r="332" spans="2:8">
      <c r="B332" s="5"/>
      <c r="H332" s="16"/>
    </row>
    <row r="333" spans="2:8">
      <c r="B333" s="5"/>
      <c r="H333" s="16"/>
    </row>
    <row r="334" spans="2:8">
      <c r="B334" s="5"/>
      <c r="H334" s="16"/>
    </row>
    <row r="335" spans="2:8">
      <c r="B335" s="5"/>
      <c r="H335" s="16"/>
    </row>
    <row r="336" spans="2:8">
      <c r="B336" s="5"/>
      <c r="H336" s="16"/>
    </row>
    <row r="337" spans="2:8">
      <c r="B337" s="5"/>
      <c r="H337" s="16"/>
    </row>
    <row r="338" spans="2:8">
      <c r="B338" s="5"/>
      <c r="H338" s="16"/>
    </row>
    <row r="339" spans="2:8">
      <c r="B339" s="5"/>
      <c r="H339" s="16"/>
    </row>
    <row r="340" spans="2:8">
      <c r="B340" s="5"/>
      <c r="H340" s="16"/>
    </row>
    <row r="341" spans="2:8">
      <c r="B341" s="5"/>
      <c r="H341" s="16"/>
    </row>
    <row r="342" spans="2:8">
      <c r="B342" s="5"/>
      <c r="H342" s="16"/>
    </row>
    <row r="343" spans="2:8">
      <c r="B343" s="5"/>
      <c r="H343" s="16"/>
    </row>
    <row r="344" spans="2:8">
      <c r="B344" s="5"/>
      <c r="H344" s="16"/>
    </row>
    <row r="345" spans="2:8">
      <c r="B345" s="5"/>
      <c r="H345" s="16"/>
    </row>
    <row r="346" spans="2:8">
      <c r="B346" s="5"/>
      <c r="H346" s="16"/>
    </row>
    <row r="347" spans="2:8">
      <c r="B347" s="5"/>
      <c r="H347" s="16"/>
    </row>
    <row r="348" spans="2:8">
      <c r="B348" s="5"/>
      <c r="H348" s="16"/>
    </row>
    <row r="349" spans="2:8">
      <c r="B349" s="5"/>
      <c r="H349" s="16"/>
    </row>
    <row r="350" spans="2:8">
      <c r="B350" s="5"/>
      <c r="H350" s="16"/>
    </row>
    <row r="351" spans="2:8">
      <c r="B351" s="5"/>
      <c r="H351" s="16"/>
    </row>
    <row r="352" spans="2:8">
      <c r="B352" s="5"/>
      <c r="H352" s="16"/>
    </row>
    <row r="353" spans="2:8">
      <c r="B353" s="5"/>
      <c r="H353" s="16"/>
    </row>
    <row r="354" spans="2:8">
      <c r="B354" s="5"/>
      <c r="H354" s="16"/>
    </row>
    <row r="355" spans="2:8">
      <c r="B355" s="5"/>
      <c r="H355" s="16"/>
    </row>
    <row r="356" spans="2:8">
      <c r="B356" s="5"/>
      <c r="H356" s="16"/>
    </row>
    <row r="357" spans="2:8">
      <c r="B357" s="5"/>
      <c r="H357" s="16"/>
    </row>
    <row r="358" spans="2:8">
      <c r="B358" s="5"/>
      <c r="H358" s="16"/>
    </row>
    <row r="359" spans="2:8">
      <c r="B359" s="5"/>
      <c r="H359" s="16"/>
    </row>
    <row r="360" spans="2:8">
      <c r="B360" s="5"/>
      <c r="H360" s="16"/>
    </row>
    <row r="361" spans="2:8">
      <c r="B361" s="5"/>
      <c r="H361" s="16"/>
    </row>
    <row r="362" spans="2:8">
      <c r="B362" s="5"/>
      <c r="H362" s="16"/>
    </row>
    <row r="363" spans="2:8">
      <c r="B363" s="5"/>
      <c r="H363" s="16"/>
    </row>
    <row r="364" spans="2:8">
      <c r="B364" s="5"/>
      <c r="H364" s="16"/>
    </row>
    <row r="365" spans="2:8">
      <c r="B365" s="5"/>
      <c r="H365" s="16"/>
    </row>
    <row r="366" spans="2:8">
      <c r="B366" s="5"/>
      <c r="H366" s="16"/>
    </row>
    <row r="367" spans="2:8">
      <c r="B367" s="5"/>
      <c r="H367" s="16"/>
    </row>
    <row r="368" spans="2:8">
      <c r="B368" s="5"/>
      <c r="H368" s="16"/>
    </row>
    <row r="369" spans="2:8">
      <c r="B369" s="5"/>
      <c r="H369" s="16"/>
    </row>
    <row r="370" spans="2:8">
      <c r="B370" s="5"/>
      <c r="H370" s="16"/>
    </row>
    <row r="371" spans="2:8">
      <c r="B371" s="5"/>
      <c r="H371" s="16"/>
    </row>
    <row r="372" spans="2:8">
      <c r="B372" s="5"/>
      <c r="H372" s="16"/>
    </row>
    <row r="373" spans="2:8">
      <c r="B373" s="5"/>
      <c r="H373" s="16"/>
    </row>
    <row r="374" spans="2:8">
      <c r="B374" s="5"/>
      <c r="H374" s="16"/>
    </row>
    <row r="375" spans="2:8">
      <c r="B375" s="5"/>
      <c r="H375" s="16"/>
    </row>
    <row r="376" spans="2:8">
      <c r="B376" s="5"/>
      <c r="H376" s="16"/>
    </row>
    <row r="377" spans="2:8">
      <c r="B377" s="5"/>
      <c r="H377" s="16"/>
    </row>
    <row r="378" spans="2:8">
      <c r="B378" s="5"/>
      <c r="H378" s="16"/>
    </row>
    <row r="379" spans="2:8">
      <c r="B379" s="5"/>
      <c r="H379" s="16"/>
    </row>
    <row r="380" spans="2:8">
      <c r="B380" s="5"/>
      <c r="H380" s="16"/>
    </row>
    <row r="381" spans="2:8">
      <c r="B381" s="5"/>
      <c r="H381" s="16"/>
    </row>
    <row r="382" spans="2:8">
      <c r="B382" s="5"/>
      <c r="H382" s="16"/>
    </row>
    <row r="383" spans="2:8">
      <c r="B383" s="5"/>
      <c r="H383" s="16"/>
    </row>
    <row r="384" spans="2:8">
      <c r="B384" s="5"/>
      <c r="H384" s="16"/>
    </row>
    <row r="385" spans="2:8">
      <c r="B385" s="5"/>
      <c r="H385" s="16"/>
    </row>
    <row r="386" spans="2:8">
      <c r="B386" s="5"/>
      <c r="H386" s="16"/>
    </row>
    <row r="387" spans="2:8">
      <c r="B387" s="5"/>
      <c r="H387" s="16"/>
    </row>
    <row r="388" spans="2:8">
      <c r="B388" s="5"/>
      <c r="H388" s="16"/>
    </row>
    <row r="389" spans="2:8">
      <c r="B389" s="5"/>
      <c r="H389" s="16"/>
    </row>
    <row r="390" spans="2:8">
      <c r="B390" s="5"/>
      <c r="H390" s="16"/>
    </row>
    <row r="391" spans="2:8">
      <c r="B391" s="5"/>
      <c r="H391" s="16"/>
    </row>
    <row r="392" spans="2:8">
      <c r="B392" s="5"/>
      <c r="H392" s="16"/>
    </row>
    <row r="393" spans="2:8">
      <c r="B393" s="5"/>
      <c r="H393" s="16"/>
    </row>
    <row r="394" spans="2:8">
      <c r="B394" s="5"/>
      <c r="H394" s="16"/>
    </row>
    <row r="395" spans="2:8">
      <c r="B395" s="5"/>
      <c r="H395" s="16"/>
    </row>
    <row r="396" spans="2:8">
      <c r="B396" s="5"/>
      <c r="H396" s="16"/>
    </row>
    <row r="397" spans="2:8">
      <c r="B397" s="5"/>
      <c r="H397" s="16"/>
    </row>
    <row r="398" spans="2:8">
      <c r="B398" s="5"/>
      <c r="H398" s="16"/>
    </row>
    <row r="399" spans="2:8">
      <c r="B399" s="5"/>
      <c r="H399" s="16"/>
    </row>
    <row r="400" spans="2:8">
      <c r="B400" s="5"/>
      <c r="H400" s="16"/>
    </row>
    <row r="401" spans="2:8">
      <c r="B401" s="5"/>
      <c r="H401" s="16"/>
    </row>
    <row r="402" spans="2:8">
      <c r="B402" s="5"/>
      <c r="H402" s="16"/>
    </row>
    <row r="403" spans="2:8">
      <c r="B403" s="5"/>
      <c r="H403" s="16"/>
    </row>
    <row r="404" spans="2:8">
      <c r="B404" s="5"/>
      <c r="H404" s="16"/>
    </row>
    <row r="405" spans="2:8">
      <c r="B405" s="5"/>
      <c r="H405" s="16"/>
    </row>
    <row r="406" spans="2:8">
      <c r="B406" s="5"/>
      <c r="H406" s="16"/>
    </row>
    <row r="407" spans="2:8">
      <c r="B407" s="5"/>
      <c r="H407" s="16"/>
    </row>
    <row r="408" spans="2:8">
      <c r="B408" s="5"/>
      <c r="H408" s="16"/>
    </row>
    <row r="409" spans="2:8">
      <c r="B409" s="5"/>
      <c r="H409" s="16"/>
    </row>
    <row r="410" spans="2:8">
      <c r="B410" s="5"/>
      <c r="H410" s="16"/>
    </row>
    <row r="411" spans="2:8">
      <c r="B411" s="5"/>
      <c r="H411" s="16"/>
    </row>
    <row r="412" spans="2:8">
      <c r="B412" s="5"/>
      <c r="H412" s="16"/>
    </row>
    <row r="413" spans="2:8">
      <c r="B413" s="5"/>
      <c r="H413" s="16"/>
    </row>
    <row r="414" spans="2:8">
      <c r="B414" s="5"/>
      <c r="H414" s="16"/>
    </row>
    <row r="415" spans="2:8">
      <c r="B415" s="5"/>
      <c r="H415" s="16"/>
    </row>
    <row r="416" spans="2:8">
      <c r="B416" s="5"/>
      <c r="H416" s="16"/>
    </row>
    <row r="417" spans="2:8">
      <c r="B417" s="5"/>
      <c r="H417" s="16"/>
    </row>
    <row r="418" spans="2:8">
      <c r="B418" s="5"/>
      <c r="H418" s="16"/>
    </row>
    <row r="419" spans="2:8">
      <c r="B419" s="5"/>
      <c r="H419" s="16"/>
    </row>
    <row r="420" spans="2:8">
      <c r="B420" s="5"/>
      <c r="H420" s="16"/>
    </row>
    <row r="421" spans="2:8">
      <c r="B421" s="5"/>
      <c r="H421" s="16"/>
    </row>
    <row r="422" spans="2:8">
      <c r="B422" s="5"/>
      <c r="H422" s="16"/>
    </row>
    <row r="423" spans="2:8">
      <c r="B423" s="5"/>
      <c r="H423" s="16"/>
    </row>
    <row r="424" spans="2:8">
      <c r="B424" s="5"/>
      <c r="H424" s="16"/>
    </row>
    <row r="425" spans="2:8">
      <c r="B425" s="5"/>
      <c r="H425" s="16"/>
    </row>
    <row r="426" spans="2:8">
      <c r="B426" s="5"/>
      <c r="H426" s="16"/>
    </row>
    <row r="427" spans="2:8">
      <c r="B427" s="5"/>
      <c r="H427" s="16"/>
    </row>
    <row r="428" spans="2:8">
      <c r="B428" s="5"/>
      <c r="H428" s="16"/>
    </row>
    <row r="429" spans="2:8">
      <c r="B429" s="5"/>
      <c r="H429" s="16"/>
    </row>
    <row r="430" spans="2:8">
      <c r="B430" s="5"/>
      <c r="H430" s="16"/>
    </row>
    <row r="431" spans="2:8">
      <c r="B431" s="5"/>
      <c r="H431" s="16"/>
    </row>
    <row r="432" spans="2:8">
      <c r="B432" s="5"/>
      <c r="H432" s="16"/>
    </row>
    <row r="433" spans="2:8">
      <c r="B433" s="5"/>
      <c r="H433" s="16"/>
    </row>
    <row r="434" spans="2:8">
      <c r="B434" s="5"/>
      <c r="H434" s="16"/>
    </row>
    <row r="435" spans="2:8">
      <c r="B435" s="5"/>
      <c r="H435" s="16"/>
    </row>
    <row r="436" spans="2:8">
      <c r="B436" s="5"/>
      <c r="H436" s="16"/>
    </row>
    <row r="437" spans="2:8">
      <c r="B437" s="5"/>
      <c r="H437" s="16"/>
    </row>
    <row r="438" spans="2:8">
      <c r="B438" s="5"/>
      <c r="H438" s="16"/>
    </row>
    <row r="439" spans="2:8">
      <c r="B439" s="5"/>
      <c r="H439" s="16"/>
    </row>
    <row r="440" spans="2:8">
      <c r="B440" s="5"/>
      <c r="H440" s="16"/>
    </row>
    <row r="441" spans="2:8">
      <c r="B441" s="5"/>
      <c r="H441" s="16"/>
    </row>
    <row r="442" spans="2:8">
      <c r="B442" s="5"/>
      <c r="H442" s="16"/>
    </row>
    <row r="443" spans="2:8">
      <c r="B443" s="5"/>
      <c r="H443" s="16"/>
    </row>
    <row r="444" spans="2:8">
      <c r="B444" s="5"/>
      <c r="H444" s="16"/>
    </row>
    <row r="445" spans="2:8">
      <c r="B445" s="5"/>
      <c r="H445" s="16"/>
    </row>
    <row r="446" spans="2:8">
      <c r="B446" s="5"/>
      <c r="H446" s="16"/>
    </row>
    <row r="447" spans="2:8">
      <c r="B447" s="5"/>
      <c r="H447" s="16"/>
    </row>
    <row r="448" spans="2:8">
      <c r="B448" s="5"/>
      <c r="H448" s="16"/>
    </row>
    <row r="449" spans="2:8">
      <c r="B449" s="5"/>
      <c r="H449" s="16"/>
    </row>
    <row r="450" spans="2:8">
      <c r="B450" s="5"/>
      <c r="H450" s="16"/>
    </row>
    <row r="451" spans="2:8">
      <c r="B451" s="5"/>
      <c r="H451" s="16"/>
    </row>
    <row r="452" spans="2:8">
      <c r="B452" s="5"/>
      <c r="H452" s="16"/>
    </row>
    <row r="453" spans="2:8">
      <c r="B453" s="5"/>
      <c r="H453" s="16"/>
    </row>
    <row r="454" spans="2:8">
      <c r="B454" s="5"/>
      <c r="H454" s="16"/>
    </row>
    <row r="455" spans="2:8">
      <c r="B455" s="5"/>
      <c r="H455" s="16"/>
    </row>
    <row r="456" spans="2:8">
      <c r="B456" s="5"/>
      <c r="H456" s="16"/>
    </row>
    <row r="457" spans="2:8">
      <c r="B457" s="5"/>
      <c r="H457" s="16"/>
    </row>
    <row r="458" spans="2:8">
      <c r="B458" s="5"/>
      <c r="H458" s="16"/>
    </row>
    <row r="459" spans="2:8">
      <c r="B459" s="5"/>
      <c r="H459" s="16"/>
    </row>
    <row r="460" spans="2:8">
      <c r="B460" s="5"/>
      <c r="H460" s="16"/>
    </row>
    <row r="461" spans="2:8">
      <c r="B461" s="5"/>
      <c r="H461" s="16"/>
    </row>
    <row r="462" spans="2:8">
      <c r="B462" s="5"/>
      <c r="H462" s="16"/>
    </row>
    <row r="463" spans="2:8">
      <c r="B463" s="5"/>
      <c r="H463" s="16"/>
    </row>
    <row r="464" spans="2:8">
      <c r="B464" s="5"/>
      <c r="H464" s="16"/>
    </row>
    <row r="465" spans="2:8">
      <c r="B465" s="5"/>
      <c r="H465" s="16"/>
    </row>
    <row r="466" spans="2:8">
      <c r="B466" s="5"/>
      <c r="H466" s="16"/>
    </row>
    <row r="467" spans="2:8">
      <c r="B467" s="5"/>
      <c r="H467" s="16"/>
    </row>
    <row r="468" spans="2:8">
      <c r="B468" s="5"/>
      <c r="H468" s="16"/>
    </row>
    <row r="469" spans="2:8">
      <c r="B469" s="5"/>
      <c r="H469" s="16"/>
    </row>
    <row r="470" spans="2:8">
      <c r="B470" s="5"/>
      <c r="H470" s="16"/>
    </row>
    <row r="471" spans="2:8">
      <c r="B471" s="5"/>
      <c r="H471" s="16"/>
    </row>
    <row r="472" spans="2:8">
      <c r="B472" s="5"/>
      <c r="H472" s="16"/>
    </row>
    <row r="473" spans="2:8">
      <c r="B473" s="5"/>
      <c r="H473" s="16"/>
    </row>
    <row r="474" spans="2:8">
      <c r="B474" s="5"/>
      <c r="H474" s="16"/>
    </row>
    <row r="475" spans="2:8">
      <c r="B475" s="5"/>
      <c r="H475" s="16"/>
    </row>
    <row r="476" spans="2:8">
      <c r="B476" s="5"/>
      <c r="H476" s="16"/>
    </row>
    <row r="477" spans="2:8">
      <c r="B477" s="5"/>
      <c r="H477" s="16"/>
    </row>
    <row r="478" spans="2:8">
      <c r="B478" s="5"/>
      <c r="H478" s="16"/>
    </row>
    <row r="479" spans="2:8">
      <c r="B479" s="5"/>
      <c r="H479" s="16"/>
    </row>
    <row r="480" spans="2:8">
      <c r="B480" s="5"/>
      <c r="H480" s="16"/>
    </row>
    <row r="481" spans="2:8">
      <c r="B481" s="5"/>
      <c r="H481" s="16"/>
    </row>
    <row r="482" spans="2:8">
      <c r="B482" s="5"/>
      <c r="H482" s="16"/>
    </row>
    <row r="483" spans="2:8">
      <c r="B483" s="5"/>
      <c r="H483" s="16"/>
    </row>
    <row r="484" spans="2:8">
      <c r="B484" s="5"/>
      <c r="H484" s="16"/>
    </row>
    <row r="485" spans="2:8">
      <c r="B485" s="5"/>
      <c r="H485" s="16"/>
    </row>
    <row r="486" spans="2:8">
      <c r="B486" s="5"/>
      <c r="H486" s="16"/>
    </row>
    <row r="487" spans="2:8">
      <c r="B487" s="5"/>
      <c r="H487" s="16"/>
    </row>
    <row r="488" spans="2:8">
      <c r="B488" s="5"/>
      <c r="H488" s="16"/>
    </row>
    <row r="489" spans="2:8">
      <c r="B489" s="5"/>
      <c r="H489" s="16"/>
    </row>
    <row r="490" spans="2:8">
      <c r="B490" s="5"/>
      <c r="H490" s="16"/>
    </row>
    <row r="491" spans="2:8">
      <c r="B491" s="5"/>
      <c r="H491" s="16"/>
    </row>
    <row r="492" spans="2:8">
      <c r="B492" s="5"/>
      <c r="H492" s="16"/>
    </row>
    <row r="493" spans="2:8">
      <c r="B493" s="5"/>
      <c r="H493" s="16"/>
    </row>
    <row r="494" spans="2:8">
      <c r="B494" s="5"/>
      <c r="H494" s="16"/>
    </row>
    <row r="495" spans="2:8">
      <c r="B495" s="5"/>
      <c r="H495" s="16"/>
    </row>
    <row r="496" spans="2:8">
      <c r="B496" s="5"/>
      <c r="H496" s="16"/>
    </row>
    <row r="497" spans="2:8">
      <c r="B497" s="5"/>
      <c r="H497" s="16"/>
    </row>
    <row r="498" spans="2:8">
      <c r="B498" s="5"/>
      <c r="H498" s="16"/>
    </row>
    <row r="499" spans="2:8">
      <c r="B499" s="5"/>
      <c r="H499" s="16"/>
    </row>
    <row r="500" spans="2:8">
      <c r="B500" s="5"/>
      <c r="H500" s="16"/>
    </row>
    <row r="501" spans="2:8">
      <c r="B501" s="5"/>
      <c r="H501" s="16"/>
    </row>
    <row r="502" spans="2:8">
      <c r="B502" s="5"/>
      <c r="H502" s="16"/>
    </row>
    <row r="503" spans="2:8">
      <c r="B503" s="5"/>
      <c r="H503" s="16"/>
    </row>
    <row r="504" spans="2:8">
      <c r="B504" s="5"/>
      <c r="H504" s="16"/>
    </row>
    <row r="505" spans="2:8">
      <c r="B505" s="5"/>
      <c r="H505" s="16"/>
    </row>
    <row r="506" spans="2:8">
      <c r="B506" s="5"/>
      <c r="H506" s="16"/>
    </row>
    <row r="507" spans="2:8">
      <c r="B507" s="5"/>
      <c r="H507" s="16"/>
    </row>
    <row r="508" spans="2:8">
      <c r="B508" s="5"/>
      <c r="H508" s="16"/>
    </row>
    <row r="509" spans="2:8">
      <c r="B509" s="5"/>
      <c r="H509" s="16"/>
    </row>
    <row r="510" spans="2:8">
      <c r="B510" s="5"/>
      <c r="H510" s="16"/>
    </row>
    <row r="511" spans="2:8">
      <c r="B511" s="5"/>
      <c r="H511" s="16"/>
    </row>
    <row r="512" spans="2:8">
      <c r="B512" s="5"/>
      <c r="H512" s="16"/>
    </row>
    <row r="513" spans="2:8">
      <c r="B513" s="5"/>
      <c r="H513" s="16"/>
    </row>
    <row r="514" spans="2:8">
      <c r="B514" s="5"/>
      <c r="H514" s="16"/>
    </row>
    <row r="515" spans="2:8">
      <c r="B515" s="5"/>
      <c r="H515" s="16"/>
    </row>
    <row r="516" spans="2:8">
      <c r="B516" s="5"/>
      <c r="H516" s="16"/>
    </row>
    <row r="517" spans="2:8">
      <c r="B517" s="5"/>
      <c r="H517" s="16"/>
    </row>
    <row r="518" spans="2:8">
      <c r="B518" s="5"/>
      <c r="H518" s="16"/>
    </row>
    <row r="519" spans="2:8">
      <c r="B519" s="5"/>
      <c r="H519" s="16"/>
    </row>
    <row r="520" spans="2:8">
      <c r="B520" s="5"/>
      <c r="H520" s="16"/>
    </row>
    <row r="521" spans="2:8">
      <c r="B521" s="5"/>
      <c r="H521" s="16"/>
    </row>
    <row r="522" spans="2:8">
      <c r="B522" s="5"/>
      <c r="H522" s="16"/>
    </row>
    <row r="523" spans="2:8">
      <c r="B523" s="5"/>
      <c r="H523" s="16"/>
    </row>
    <row r="524" spans="2:8">
      <c r="B524" s="5"/>
      <c r="H524" s="16"/>
    </row>
    <row r="525" spans="2:8">
      <c r="B525" s="5"/>
      <c r="H525" s="16"/>
    </row>
    <row r="526" spans="2:8">
      <c r="B526" s="5"/>
      <c r="H526" s="16"/>
    </row>
    <row r="527" spans="2:8">
      <c r="B527" s="5"/>
      <c r="H527" s="16"/>
    </row>
    <row r="528" spans="2:8">
      <c r="B528" s="5"/>
      <c r="H528" s="16"/>
    </row>
    <row r="529" spans="2:8">
      <c r="B529" s="5"/>
      <c r="H529" s="16"/>
    </row>
    <row r="530" spans="2:8">
      <c r="B530" s="5"/>
      <c r="H530" s="16"/>
    </row>
    <row r="531" spans="2:8">
      <c r="B531" s="5"/>
      <c r="H531" s="16"/>
    </row>
    <row r="532" spans="2:8">
      <c r="B532" s="5"/>
      <c r="H532" s="16"/>
    </row>
    <row r="533" spans="2:8">
      <c r="B533" s="5"/>
      <c r="H533" s="16"/>
    </row>
    <row r="534" spans="2:8">
      <c r="B534" s="5"/>
      <c r="H534" s="16"/>
    </row>
    <row r="535" spans="2:8">
      <c r="B535" s="5"/>
      <c r="H535" s="16"/>
    </row>
    <row r="536" spans="2:8">
      <c r="B536" s="5"/>
      <c r="H536" s="16"/>
    </row>
    <row r="537" spans="2:8">
      <c r="B537" s="5"/>
      <c r="H537" s="16"/>
    </row>
    <row r="538" spans="2:8">
      <c r="B538" s="5"/>
      <c r="H538" s="16"/>
    </row>
    <row r="539" spans="2:8">
      <c r="B539" s="5"/>
      <c r="H539" s="16"/>
    </row>
    <row r="540" spans="2:8">
      <c r="B540" s="5"/>
      <c r="H540" s="16"/>
    </row>
    <row r="541" spans="2:8">
      <c r="B541" s="5"/>
      <c r="H541" s="16"/>
    </row>
    <row r="542" spans="2:8">
      <c r="B542" s="5"/>
      <c r="H542" s="16"/>
    </row>
    <row r="543" spans="2:8">
      <c r="B543" s="5"/>
      <c r="H543" s="16"/>
    </row>
    <row r="544" spans="2:8">
      <c r="B544" s="5"/>
      <c r="H544" s="16"/>
    </row>
    <row r="545" spans="2:8">
      <c r="B545" s="5"/>
      <c r="H545" s="16"/>
    </row>
    <row r="546" spans="2:8">
      <c r="B546" s="5"/>
      <c r="H546" s="16"/>
    </row>
    <row r="547" spans="2:8">
      <c r="B547" s="5"/>
      <c r="H547" s="16"/>
    </row>
    <row r="548" spans="2:8">
      <c r="B548" s="5"/>
      <c r="H548" s="16"/>
    </row>
    <row r="549" spans="2:8">
      <c r="B549" s="5"/>
      <c r="H549" s="16"/>
    </row>
    <row r="550" spans="2:8">
      <c r="B550" s="5"/>
      <c r="H550" s="16"/>
    </row>
    <row r="551" spans="2:8">
      <c r="B551" s="5"/>
      <c r="H551" s="16"/>
    </row>
    <row r="552" spans="2:8">
      <c r="B552" s="5"/>
      <c r="H552" s="16"/>
    </row>
    <row r="553" spans="2:8">
      <c r="B553" s="5"/>
      <c r="H553" s="16"/>
    </row>
    <row r="554" spans="2:8">
      <c r="B554" s="5"/>
      <c r="H554" s="16"/>
    </row>
    <row r="555" spans="2:8">
      <c r="B555" s="5"/>
      <c r="H555" s="16"/>
    </row>
    <row r="556" spans="2:8">
      <c r="B556" s="5"/>
      <c r="H556" s="16"/>
    </row>
    <row r="557" spans="2:8">
      <c r="B557" s="5"/>
      <c r="H557" s="16"/>
    </row>
    <row r="558" spans="2:8">
      <c r="B558" s="5"/>
      <c r="H558" s="16"/>
    </row>
    <row r="559" spans="2:8">
      <c r="B559" s="5"/>
      <c r="H559" s="16"/>
    </row>
    <row r="560" spans="2:8">
      <c r="B560" s="5"/>
      <c r="H560" s="16"/>
    </row>
    <row r="561" spans="2:8">
      <c r="B561" s="5"/>
      <c r="H561" s="16"/>
    </row>
    <row r="562" spans="2:8">
      <c r="B562" s="5"/>
      <c r="H562" s="16"/>
    </row>
    <row r="563" spans="2:8">
      <c r="B563" s="5"/>
      <c r="H563" s="16"/>
    </row>
    <row r="564" spans="2:8">
      <c r="B564" s="5"/>
      <c r="H564" s="16"/>
    </row>
    <row r="565" spans="2:8">
      <c r="B565" s="5"/>
      <c r="H565" s="16"/>
    </row>
    <row r="566" spans="2:8">
      <c r="B566" s="5"/>
      <c r="H566" s="16"/>
    </row>
    <row r="567" spans="2:8">
      <c r="B567" s="5"/>
      <c r="H567" s="16"/>
    </row>
    <row r="568" spans="2:8">
      <c r="B568" s="5"/>
      <c r="H568" s="16"/>
    </row>
    <row r="569" spans="2:8">
      <c r="B569" s="5"/>
      <c r="H569" s="16"/>
    </row>
    <row r="570" spans="2:8">
      <c r="B570" s="5"/>
      <c r="H570" s="16"/>
    </row>
    <row r="571" spans="2:8">
      <c r="B571" s="5"/>
      <c r="H571" s="16"/>
    </row>
    <row r="572" spans="2:8">
      <c r="B572" s="5"/>
      <c r="H572" s="16"/>
    </row>
    <row r="573" spans="2:8">
      <c r="B573" s="5"/>
      <c r="H573" s="16"/>
    </row>
    <row r="574" spans="2:8">
      <c r="B574" s="5"/>
      <c r="H574" s="16"/>
    </row>
    <row r="575" spans="2:8">
      <c r="B575" s="5"/>
      <c r="H575" s="16"/>
    </row>
    <row r="576" spans="2:8">
      <c r="B576" s="5"/>
      <c r="H576" s="16"/>
    </row>
    <row r="577" spans="2:8">
      <c r="B577" s="5"/>
      <c r="H577" s="16"/>
    </row>
    <row r="578" spans="2:8">
      <c r="B578" s="5"/>
      <c r="H578" s="16"/>
    </row>
    <row r="579" spans="2:8">
      <c r="B579" s="5"/>
      <c r="H579" s="16"/>
    </row>
    <row r="580" spans="2:8">
      <c r="B580" s="5"/>
      <c r="H580" s="16"/>
    </row>
    <row r="581" spans="2:8">
      <c r="B581" s="5"/>
      <c r="H581" s="16"/>
    </row>
    <row r="582" spans="2:8">
      <c r="B582" s="5"/>
      <c r="H582" s="16"/>
    </row>
    <row r="583" spans="2:8">
      <c r="B583" s="5"/>
      <c r="H583" s="16"/>
    </row>
    <row r="584" spans="2:8">
      <c r="B584" s="5"/>
      <c r="H584" s="16"/>
    </row>
    <row r="585" spans="2:8">
      <c r="B585" s="5"/>
      <c r="H585" s="16"/>
    </row>
    <row r="586" spans="2:8">
      <c r="B586" s="5"/>
      <c r="H586" s="16"/>
    </row>
    <row r="587" spans="2:8">
      <c r="B587" s="5"/>
      <c r="H587" s="16"/>
    </row>
    <row r="588" spans="2:8">
      <c r="B588" s="5"/>
      <c r="H588" s="16"/>
    </row>
    <row r="589" spans="2:8">
      <c r="B589" s="5"/>
      <c r="H589" s="16"/>
    </row>
    <row r="590" spans="2:8">
      <c r="B590" s="5"/>
      <c r="H590" s="16"/>
    </row>
    <row r="591" spans="2:8">
      <c r="B591" s="5"/>
      <c r="H591" s="16"/>
    </row>
    <row r="592" spans="2:8">
      <c r="B592" s="5"/>
      <c r="H592" s="16"/>
    </row>
    <row r="593" spans="2:8">
      <c r="B593" s="5"/>
      <c r="H593" s="16"/>
    </row>
    <row r="594" spans="2:8">
      <c r="B594" s="5"/>
      <c r="H594" s="16"/>
    </row>
    <row r="595" spans="2:8">
      <c r="B595" s="5"/>
      <c r="H595" s="16"/>
    </row>
    <row r="596" spans="2:8">
      <c r="B596" s="5"/>
      <c r="H596" s="16"/>
    </row>
    <row r="597" spans="2:8">
      <c r="B597" s="5"/>
      <c r="H597" s="16"/>
    </row>
    <row r="598" spans="2:8">
      <c r="B598" s="5"/>
      <c r="H598" s="16"/>
    </row>
    <row r="599" spans="2:8">
      <c r="B599" s="5"/>
      <c r="H599" s="16"/>
    </row>
    <row r="600" spans="2:8">
      <c r="B600" s="5"/>
      <c r="H600" s="16"/>
    </row>
    <row r="601" spans="2:8">
      <c r="B601" s="5"/>
      <c r="H601" s="16"/>
    </row>
    <row r="602" spans="2:8">
      <c r="B602" s="5"/>
      <c r="H602" s="16"/>
    </row>
    <row r="603" spans="2:8">
      <c r="B603" s="5"/>
      <c r="H603" s="16"/>
    </row>
    <row r="604" spans="2:8">
      <c r="B604" s="5"/>
      <c r="H604" s="16"/>
    </row>
    <row r="605" spans="2:8">
      <c r="B605" s="5"/>
      <c r="H605" s="16"/>
    </row>
    <row r="606" spans="2:8">
      <c r="B606" s="5"/>
      <c r="H606" s="16"/>
    </row>
    <row r="607" spans="2:8">
      <c r="B607" s="5"/>
      <c r="H607" s="16"/>
    </row>
    <row r="608" spans="2:8">
      <c r="B608" s="5"/>
      <c r="H608" s="16"/>
    </row>
    <row r="609" spans="2:8">
      <c r="B609" s="5"/>
      <c r="H609" s="16"/>
    </row>
    <row r="610" spans="2:8">
      <c r="B610" s="5"/>
      <c r="H610" s="16"/>
    </row>
    <row r="611" spans="2:8">
      <c r="B611" s="5"/>
      <c r="H611" s="16"/>
    </row>
    <row r="612" spans="2:8">
      <c r="B612" s="5"/>
      <c r="H612" s="16"/>
    </row>
    <row r="613" spans="2:8">
      <c r="B613" s="5"/>
      <c r="H613" s="16"/>
    </row>
    <row r="614" spans="2:8">
      <c r="B614" s="5"/>
      <c r="H614" s="16"/>
    </row>
    <row r="615" spans="2:8">
      <c r="B615" s="5"/>
      <c r="H615" s="16"/>
    </row>
    <row r="616" spans="2:8">
      <c r="B616" s="5"/>
      <c r="H616" s="16"/>
    </row>
    <row r="617" spans="2:8">
      <c r="B617" s="5"/>
      <c r="H617" s="16"/>
    </row>
    <row r="618" spans="2:8">
      <c r="B618" s="5"/>
      <c r="H618" s="16"/>
    </row>
    <row r="619" spans="2:8">
      <c r="B619" s="5"/>
      <c r="H619" s="16"/>
    </row>
    <row r="620" spans="2:8">
      <c r="B620" s="5"/>
      <c r="H620" s="16"/>
    </row>
    <row r="621" spans="2:8">
      <c r="B621" s="5"/>
      <c r="H621" s="16"/>
    </row>
    <row r="622" spans="2:8">
      <c r="B622" s="5"/>
      <c r="H622" s="16"/>
    </row>
    <row r="623" spans="2:8">
      <c r="B623" s="5"/>
      <c r="H623" s="16"/>
    </row>
    <row r="624" spans="2:8">
      <c r="B624" s="5"/>
      <c r="H624" s="16"/>
    </row>
    <row r="625" spans="2:8">
      <c r="B625" s="5"/>
      <c r="H625" s="16"/>
    </row>
    <row r="626" spans="2:8">
      <c r="B626" s="5"/>
      <c r="H626" s="16"/>
    </row>
    <row r="627" spans="2:8">
      <c r="B627" s="5"/>
      <c r="H627" s="16"/>
    </row>
    <row r="628" spans="2:8">
      <c r="B628" s="5"/>
      <c r="H628" s="16"/>
    </row>
    <row r="629" spans="2:8">
      <c r="B629" s="5"/>
      <c r="H629" s="16"/>
    </row>
    <row r="630" spans="2:8">
      <c r="B630" s="5"/>
      <c r="H630" s="16"/>
    </row>
    <row r="631" spans="2:8">
      <c r="B631" s="5"/>
      <c r="H631" s="16"/>
    </row>
    <row r="632" spans="2:8">
      <c r="B632" s="5"/>
      <c r="H632" s="16"/>
    </row>
    <row r="633" spans="2:8">
      <c r="B633" s="5"/>
      <c r="H633" s="16"/>
    </row>
    <row r="634" spans="2:8">
      <c r="B634" s="5"/>
      <c r="H634" s="16"/>
    </row>
    <row r="635" spans="2:8">
      <c r="B635" s="5"/>
      <c r="H635" s="16"/>
    </row>
    <row r="636" spans="2:8">
      <c r="B636" s="5"/>
      <c r="H636" s="16"/>
    </row>
    <row r="637" spans="2:8">
      <c r="B637" s="5"/>
      <c r="H637" s="16"/>
    </row>
    <row r="638" spans="2:8">
      <c r="B638" s="5"/>
      <c r="H638" s="16"/>
    </row>
    <row r="639" spans="2:8">
      <c r="B639" s="5"/>
      <c r="H639" s="16"/>
    </row>
    <row r="640" spans="2:8">
      <c r="B640" s="5"/>
      <c r="H640" s="16"/>
    </row>
    <row r="641" spans="2:8">
      <c r="B641" s="5"/>
      <c r="H641" s="16"/>
    </row>
    <row r="642" spans="2:8">
      <c r="B642" s="5"/>
      <c r="H642" s="16"/>
    </row>
    <row r="643" spans="2:8">
      <c r="B643" s="5"/>
      <c r="H643" s="16"/>
    </row>
    <row r="644" spans="2:8">
      <c r="B644" s="5"/>
      <c r="H644" s="16"/>
    </row>
    <row r="645" spans="2:8">
      <c r="B645" s="5"/>
      <c r="H645" s="16"/>
    </row>
    <row r="646" spans="2:8">
      <c r="B646" s="5"/>
      <c r="H646" s="16"/>
    </row>
    <row r="647" spans="2:8">
      <c r="B647" s="5"/>
      <c r="H647" s="16"/>
    </row>
    <row r="648" spans="2:8">
      <c r="B648" s="5"/>
      <c r="H648" s="16"/>
    </row>
    <row r="649" spans="2:8">
      <c r="B649" s="5"/>
      <c r="H649" s="16"/>
    </row>
    <row r="650" spans="2:8">
      <c r="B650" s="5"/>
      <c r="H650" s="16"/>
    </row>
    <row r="651" spans="2:8">
      <c r="B651" s="5"/>
      <c r="H651" s="16"/>
    </row>
    <row r="652" spans="2:8">
      <c r="B652" s="5"/>
      <c r="H652" s="16"/>
    </row>
    <row r="653" spans="2:8">
      <c r="B653" s="5"/>
      <c r="H653" s="16"/>
    </row>
    <row r="654" spans="2:8">
      <c r="B654" s="5"/>
      <c r="H654" s="16"/>
    </row>
    <row r="655" spans="2:8">
      <c r="B655" s="5"/>
      <c r="H655" s="16"/>
    </row>
    <row r="656" spans="2:8">
      <c r="B656" s="5"/>
      <c r="H656" s="16"/>
    </row>
    <row r="657" spans="2:8">
      <c r="B657" s="5"/>
      <c r="H657" s="16"/>
    </row>
    <row r="658" spans="2:8">
      <c r="B658" s="5"/>
      <c r="H658" s="16"/>
    </row>
    <row r="659" spans="2:8">
      <c r="B659" s="5"/>
      <c r="H659" s="16"/>
    </row>
    <row r="660" spans="2:8">
      <c r="B660" s="5"/>
      <c r="H660" s="16"/>
    </row>
    <row r="661" spans="2:8">
      <c r="B661" s="5"/>
      <c r="H661" s="16"/>
    </row>
    <row r="662" spans="2:8">
      <c r="B662" s="5"/>
      <c r="H662" s="16"/>
    </row>
    <row r="663" spans="2:8">
      <c r="B663" s="5"/>
      <c r="H663" s="16"/>
    </row>
    <row r="664" spans="2:8">
      <c r="B664" s="5"/>
      <c r="H664" s="16"/>
    </row>
    <row r="665" spans="2:8">
      <c r="B665" s="5"/>
      <c r="H665" s="16"/>
    </row>
    <row r="666" spans="2:8">
      <c r="B666" s="5"/>
      <c r="H666" s="16"/>
    </row>
    <row r="667" spans="2:8">
      <c r="B667" s="5"/>
      <c r="H667" s="16"/>
    </row>
    <row r="668" spans="2:8">
      <c r="B668" s="5"/>
      <c r="H668" s="16"/>
    </row>
    <row r="669" spans="2:8">
      <c r="B669" s="5"/>
      <c r="H669" s="16"/>
    </row>
    <row r="670" spans="2:8">
      <c r="B670" s="5"/>
      <c r="H670" s="16"/>
    </row>
    <row r="671" spans="2:8">
      <c r="B671" s="5"/>
      <c r="H671" s="16"/>
    </row>
    <row r="672" spans="2:8">
      <c r="B672" s="5"/>
      <c r="H672" s="16"/>
    </row>
    <row r="673" spans="2:8">
      <c r="B673" s="5"/>
      <c r="H673" s="16"/>
    </row>
    <row r="674" spans="2:8">
      <c r="B674" s="5"/>
      <c r="H674" s="16"/>
    </row>
    <row r="675" spans="2:8">
      <c r="B675" s="5"/>
      <c r="H675" s="16"/>
    </row>
    <row r="676" spans="2:8">
      <c r="B676" s="5"/>
      <c r="H676" s="16"/>
    </row>
    <row r="677" spans="2:8">
      <c r="B677" s="5"/>
      <c r="H677" s="16"/>
    </row>
    <row r="678" spans="2:8">
      <c r="B678" s="5"/>
      <c r="H678" s="16"/>
    </row>
    <row r="679" spans="2:8">
      <c r="B679" s="5"/>
      <c r="H679" s="16"/>
    </row>
    <row r="680" spans="2:8">
      <c r="B680" s="5"/>
      <c r="H680" s="16"/>
    </row>
    <row r="681" spans="2:8">
      <c r="B681" s="5"/>
      <c r="H681" s="16"/>
    </row>
    <row r="682" spans="2:8">
      <c r="B682" s="5"/>
      <c r="H682" s="16"/>
    </row>
    <row r="683" spans="2:8">
      <c r="B683" s="5"/>
      <c r="H683" s="16"/>
    </row>
    <row r="684" spans="2:8">
      <c r="B684" s="5"/>
      <c r="H684" s="16"/>
    </row>
    <row r="685" spans="2:8">
      <c r="B685" s="5"/>
      <c r="H685" s="16"/>
    </row>
    <row r="686" spans="2:8">
      <c r="B686" s="5"/>
      <c r="H686" s="16"/>
    </row>
    <row r="687" spans="2:8">
      <c r="B687" s="5"/>
      <c r="H687" s="16"/>
    </row>
    <row r="688" spans="2:8">
      <c r="B688" s="5"/>
      <c r="H688" s="16"/>
    </row>
    <row r="689" spans="2:8">
      <c r="B689" s="5"/>
      <c r="H689" s="16"/>
    </row>
    <row r="690" spans="2:8">
      <c r="B690" s="5"/>
      <c r="H690" s="16"/>
    </row>
    <row r="691" spans="2:8">
      <c r="B691" s="5"/>
      <c r="H691" s="16"/>
    </row>
    <row r="692" spans="2:8">
      <c r="B692" s="5"/>
      <c r="H692" s="16"/>
    </row>
    <row r="693" spans="2:8">
      <c r="B693" s="5"/>
      <c r="H693" s="16"/>
    </row>
    <row r="694" spans="2:8">
      <c r="B694" s="5"/>
      <c r="H694" s="16"/>
    </row>
    <row r="695" spans="2:8">
      <c r="B695" s="5"/>
      <c r="H695" s="16"/>
    </row>
    <row r="696" spans="2:8">
      <c r="B696" s="5"/>
      <c r="H696" s="16"/>
    </row>
    <row r="697" spans="2:8">
      <c r="B697" s="5"/>
      <c r="H697" s="16"/>
    </row>
    <row r="698" spans="2:8">
      <c r="B698" s="5"/>
      <c r="H698" s="16"/>
    </row>
    <row r="699" spans="2:8">
      <c r="B699" s="5"/>
      <c r="H699" s="16"/>
    </row>
    <row r="700" spans="2:8">
      <c r="B700" s="5"/>
      <c r="H700" s="16"/>
    </row>
    <row r="701" spans="2:8">
      <c r="B701" s="5"/>
      <c r="H701" s="16"/>
    </row>
    <row r="702" spans="2:8">
      <c r="B702" s="5"/>
      <c r="H702" s="16"/>
    </row>
    <row r="703" spans="2:8">
      <c r="B703" s="5"/>
      <c r="H703" s="16"/>
    </row>
    <row r="704" spans="2:8">
      <c r="B704" s="5"/>
      <c r="H704" s="16"/>
    </row>
    <row r="705" spans="2:8">
      <c r="B705" s="5"/>
      <c r="H705" s="16"/>
    </row>
    <row r="706" spans="2:8">
      <c r="B706" s="5"/>
      <c r="H706" s="16"/>
    </row>
    <row r="707" spans="2:8">
      <c r="B707" s="5"/>
      <c r="H707" s="16"/>
    </row>
    <row r="708" spans="2:8">
      <c r="B708" s="5"/>
      <c r="H708" s="16"/>
    </row>
    <row r="709" spans="2:8">
      <c r="B709" s="5"/>
      <c r="H709" s="16"/>
    </row>
    <row r="710" spans="2:8">
      <c r="B710" s="5"/>
      <c r="H710" s="16"/>
    </row>
    <row r="711" spans="2:8">
      <c r="B711" s="5"/>
      <c r="H711" s="16"/>
    </row>
    <row r="712" spans="2:8">
      <c r="B712" s="5"/>
      <c r="H712" s="16"/>
    </row>
    <row r="713" spans="2:8">
      <c r="B713" s="5"/>
      <c r="H713" s="16"/>
    </row>
    <row r="714" spans="2:8">
      <c r="B714" s="5"/>
      <c r="H714" s="16"/>
    </row>
    <row r="715" spans="2:8">
      <c r="B715" s="5"/>
      <c r="H715" s="16"/>
    </row>
    <row r="716" spans="2:8">
      <c r="B716" s="5"/>
      <c r="H716" s="16"/>
    </row>
    <row r="717" spans="2:8">
      <c r="B717" s="5"/>
      <c r="H717" s="16"/>
    </row>
    <row r="718" spans="2:8">
      <c r="B718" s="5"/>
      <c r="H718" s="16"/>
    </row>
    <row r="719" spans="2:8">
      <c r="B719" s="5"/>
      <c r="H719" s="16"/>
    </row>
    <row r="720" spans="2:8">
      <c r="B720" s="5"/>
      <c r="H720" s="16"/>
    </row>
    <row r="721" spans="2:8">
      <c r="B721" s="5"/>
      <c r="H721" s="16"/>
    </row>
    <row r="722" spans="2:8">
      <c r="B722" s="5"/>
      <c r="H722" s="16"/>
    </row>
    <row r="723" spans="2:8">
      <c r="B723" s="5"/>
      <c r="H723" s="16"/>
    </row>
    <row r="724" spans="2:8">
      <c r="B724" s="5"/>
      <c r="H724" s="16"/>
    </row>
    <row r="725" spans="2:8">
      <c r="B725" s="5"/>
      <c r="H725" s="16"/>
    </row>
    <row r="726" spans="2:8">
      <c r="B726" s="5"/>
      <c r="H726" s="16"/>
    </row>
    <row r="727" spans="2:8">
      <c r="B727" s="5"/>
      <c r="H727" s="16"/>
    </row>
    <row r="728" spans="2:8">
      <c r="B728" s="5"/>
      <c r="H728" s="16"/>
    </row>
    <row r="729" spans="2:8">
      <c r="B729" s="5"/>
      <c r="H729" s="16"/>
    </row>
    <row r="730" spans="2:8">
      <c r="B730" s="5"/>
      <c r="H730" s="16"/>
    </row>
    <row r="731" spans="2:8">
      <c r="B731" s="5"/>
      <c r="H731" s="16"/>
    </row>
    <row r="732" spans="2:8">
      <c r="B732" s="5"/>
      <c r="H732" s="16"/>
    </row>
    <row r="733" spans="2:8">
      <c r="B733" s="5"/>
      <c r="H733" s="16"/>
    </row>
    <row r="734" spans="2:8">
      <c r="B734" s="5"/>
      <c r="H734" s="16"/>
    </row>
    <row r="735" spans="2:8">
      <c r="B735" s="5"/>
      <c r="H735" s="16"/>
    </row>
    <row r="736" spans="2:8">
      <c r="B736" s="5"/>
      <c r="H736" s="16"/>
    </row>
    <row r="737" spans="2:8">
      <c r="B737" s="5"/>
      <c r="H737" s="16"/>
    </row>
    <row r="738" spans="2:8">
      <c r="B738" s="5"/>
      <c r="H738" s="16"/>
    </row>
    <row r="739" spans="2:8">
      <c r="B739" s="5"/>
      <c r="H739" s="16"/>
    </row>
    <row r="740" spans="2:8">
      <c r="B740" s="5"/>
      <c r="H740" s="16"/>
    </row>
    <row r="741" spans="2:8">
      <c r="B741" s="5"/>
      <c r="H741" s="16"/>
    </row>
    <row r="742" spans="2:8">
      <c r="B742" s="5"/>
      <c r="H742" s="16"/>
    </row>
    <row r="743" spans="2:8">
      <c r="B743" s="5"/>
      <c r="H743" s="16"/>
    </row>
    <row r="744" spans="2:8">
      <c r="B744" s="5"/>
      <c r="H744" s="16"/>
    </row>
    <row r="745" spans="2:8">
      <c r="B745" s="5"/>
      <c r="H745" s="16"/>
    </row>
    <row r="746" spans="2:8">
      <c r="B746" s="5"/>
      <c r="H746" s="16"/>
    </row>
    <row r="747" spans="2:8">
      <c r="B747" s="5"/>
      <c r="H747" s="16"/>
    </row>
    <row r="748" spans="2:8">
      <c r="B748" s="5"/>
      <c r="H748" s="16"/>
    </row>
    <row r="749" spans="2:8">
      <c r="B749" s="5"/>
      <c r="H749" s="16"/>
    </row>
    <row r="750" spans="2:8">
      <c r="B750" s="5"/>
      <c r="H750" s="16"/>
    </row>
    <row r="751" spans="2:8">
      <c r="B751" s="5"/>
      <c r="H751" s="16"/>
    </row>
    <row r="752" spans="2:8">
      <c r="B752" s="5"/>
      <c r="H752" s="16"/>
    </row>
    <row r="753" spans="2:8">
      <c r="B753" s="5"/>
      <c r="H753" s="16"/>
    </row>
    <row r="754" spans="2:8">
      <c r="B754" s="5"/>
      <c r="H754" s="16"/>
    </row>
    <row r="755" spans="2:8">
      <c r="B755" s="5"/>
      <c r="H755" s="16"/>
    </row>
    <row r="756" spans="2:8">
      <c r="B756" s="5"/>
      <c r="H756" s="16"/>
    </row>
    <row r="757" spans="2:8">
      <c r="B757" s="5"/>
      <c r="H757" s="16"/>
    </row>
    <row r="758" spans="2:8">
      <c r="B758" s="5"/>
      <c r="H758" s="16"/>
    </row>
    <row r="759" spans="2:8">
      <c r="B759" s="5"/>
      <c r="H759" s="16"/>
    </row>
    <row r="760" spans="2:8">
      <c r="B760" s="5"/>
      <c r="H760" s="16"/>
    </row>
    <row r="761" spans="2:8">
      <c r="B761" s="5"/>
      <c r="H761" s="16"/>
    </row>
    <row r="762" spans="2:8">
      <c r="B762" s="5"/>
      <c r="H762" s="16"/>
    </row>
    <row r="763" spans="2:8">
      <c r="B763" s="5"/>
      <c r="H763" s="16"/>
    </row>
    <row r="764" spans="2:8">
      <c r="B764" s="5"/>
      <c r="H764" s="16"/>
    </row>
    <row r="765" spans="2:8">
      <c r="B765" s="5"/>
      <c r="H765" s="16"/>
    </row>
    <row r="766" spans="2:8">
      <c r="B766" s="5"/>
      <c r="H766" s="16"/>
    </row>
    <row r="767" spans="2:8">
      <c r="B767" s="5"/>
      <c r="H767" s="16"/>
    </row>
    <row r="768" spans="2:8">
      <c r="B768" s="5"/>
      <c r="H768" s="16"/>
    </row>
    <row r="769" spans="2:8">
      <c r="B769" s="5"/>
      <c r="H769" s="16"/>
    </row>
    <row r="770" spans="2:8">
      <c r="B770" s="5"/>
      <c r="H770" s="16"/>
    </row>
    <row r="771" spans="2:8">
      <c r="B771" s="5"/>
      <c r="H771" s="16"/>
    </row>
    <row r="772" spans="2:8">
      <c r="B772" s="5"/>
      <c r="H772" s="16"/>
    </row>
    <row r="773" spans="2:8">
      <c r="B773" s="5"/>
      <c r="H773" s="16"/>
    </row>
    <row r="774" spans="2:8">
      <c r="B774" s="5"/>
      <c r="H774" s="16"/>
    </row>
    <row r="775" spans="2:8">
      <c r="B775" s="5"/>
      <c r="H775" s="16"/>
    </row>
    <row r="776" spans="2:8">
      <c r="B776" s="5"/>
      <c r="H776" s="16"/>
    </row>
    <row r="777" spans="2:8">
      <c r="B777" s="5"/>
      <c r="H777" s="16"/>
    </row>
    <row r="778" spans="2:8">
      <c r="B778" s="5"/>
      <c r="H778" s="16"/>
    </row>
    <row r="779" spans="2:8">
      <c r="B779" s="5"/>
      <c r="H779" s="16"/>
    </row>
    <row r="780" spans="2:8">
      <c r="B780" s="5"/>
      <c r="H780" s="16"/>
    </row>
    <row r="781" spans="2:8">
      <c r="B781" s="5"/>
      <c r="H781" s="16"/>
    </row>
    <row r="782" spans="2:8">
      <c r="B782" s="5"/>
      <c r="H782" s="16"/>
    </row>
    <row r="783" spans="2:8">
      <c r="B783" s="5"/>
      <c r="H783" s="16"/>
    </row>
    <row r="784" spans="2:8">
      <c r="B784" s="5"/>
      <c r="H784" s="16"/>
    </row>
    <row r="785" spans="2:8">
      <c r="B785" s="5"/>
      <c r="H785" s="16"/>
    </row>
    <row r="786" spans="2:8">
      <c r="B786" s="5"/>
      <c r="H786" s="16"/>
    </row>
    <row r="787" spans="2:8">
      <c r="B787" s="5"/>
      <c r="H787" s="16"/>
    </row>
    <row r="788" spans="2:8">
      <c r="B788" s="5"/>
      <c r="H788" s="16"/>
    </row>
    <row r="789" spans="2:8">
      <c r="B789" s="5"/>
      <c r="H789" s="16"/>
    </row>
    <row r="790" spans="2:8">
      <c r="B790" s="5"/>
      <c r="H790" s="16"/>
    </row>
    <row r="791" spans="2:8">
      <c r="B791" s="5"/>
      <c r="H791" s="16"/>
    </row>
    <row r="792" spans="2:8">
      <c r="B792" s="5"/>
      <c r="H792" s="16"/>
    </row>
    <row r="793" spans="2:8">
      <c r="B793" s="5"/>
      <c r="H793" s="16"/>
    </row>
    <row r="794" spans="2:8">
      <c r="B794" s="5"/>
      <c r="H794" s="16"/>
    </row>
    <row r="795" spans="2:8">
      <c r="B795" s="5"/>
      <c r="H795" s="16"/>
    </row>
    <row r="796" spans="2:8">
      <c r="B796" s="5"/>
      <c r="H796" s="16"/>
    </row>
    <row r="797" spans="2:8">
      <c r="B797" s="5"/>
      <c r="H797" s="16"/>
    </row>
    <row r="798" spans="2:8">
      <c r="B798" s="5"/>
      <c r="H798" s="16"/>
    </row>
    <row r="799" spans="2:8">
      <c r="B799" s="5"/>
      <c r="H799" s="16"/>
    </row>
    <row r="800" spans="2:8">
      <c r="B800" s="5"/>
      <c r="H800" s="16"/>
    </row>
    <row r="801" spans="2:8">
      <c r="B801" s="5"/>
      <c r="H801" s="16"/>
    </row>
    <row r="802" spans="2:8">
      <c r="B802" s="5"/>
      <c r="H802" s="16"/>
    </row>
    <row r="803" spans="2:8">
      <c r="B803" s="5"/>
      <c r="H803" s="16"/>
    </row>
    <row r="804" spans="2:8">
      <c r="B804" s="5"/>
      <c r="H804" s="16"/>
    </row>
    <row r="805" spans="2:8">
      <c r="B805" s="5"/>
      <c r="H805" s="16"/>
    </row>
    <row r="806" spans="2:8">
      <c r="B806" s="5"/>
      <c r="H806" s="16"/>
    </row>
    <row r="807" spans="2:8">
      <c r="B807" s="5"/>
      <c r="H807" s="16"/>
    </row>
    <row r="808" spans="2:8">
      <c r="B808" s="5"/>
      <c r="H808" s="16"/>
    </row>
    <row r="809" spans="2:8">
      <c r="B809" s="5"/>
      <c r="H809" s="16"/>
    </row>
    <row r="810" spans="2:8">
      <c r="B810" s="5"/>
      <c r="H810" s="16"/>
    </row>
    <row r="811" spans="2:8">
      <c r="B811" s="5"/>
      <c r="H811" s="16"/>
    </row>
    <row r="812" spans="2:8">
      <c r="B812" s="5"/>
      <c r="H812" s="16"/>
    </row>
    <row r="813" spans="2:8">
      <c r="B813" s="5"/>
      <c r="H813" s="16"/>
    </row>
    <row r="814" spans="2:8">
      <c r="B814" s="5"/>
      <c r="H814" s="16"/>
    </row>
    <row r="815" spans="2:8">
      <c r="B815" s="5"/>
      <c r="H815" s="16"/>
    </row>
    <row r="816" spans="2:8">
      <c r="B816" s="5"/>
      <c r="H816" s="16"/>
    </row>
    <row r="817" spans="2:8">
      <c r="B817" s="5"/>
      <c r="H817" s="16"/>
    </row>
    <row r="818" spans="2:8">
      <c r="B818" s="5"/>
      <c r="H818" s="16"/>
    </row>
    <row r="819" spans="2:8">
      <c r="B819" s="5"/>
      <c r="H819" s="16"/>
    </row>
    <row r="820" spans="2:8">
      <c r="B820" s="5"/>
      <c r="H820" s="16"/>
    </row>
    <row r="821" spans="2:8">
      <c r="B821" s="5"/>
      <c r="H821" s="16"/>
    </row>
    <row r="822" spans="2:8">
      <c r="B822" s="5"/>
      <c r="H822" s="16"/>
    </row>
    <row r="823" spans="2:8">
      <c r="B823" s="5"/>
      <c r="H823" s="16"/>
    </row>
    <row r="824" spans="2:8">
      <c r="B824" s="5"/>
      <c r="H824" s="16"/>
    </row>
    <row r="825" spans="2:8">
      <c r="B825" s="5"/>
      <c r="H825" s="16"/>
    </row>
    <row r="826" spans="2:8">
      <c r="B826" s="5"/>
      <c r="H826" s="16"/>
    </row>
    <row r="827" spans="2:8">
      <c r="B827" s="5"/>
      <c r="H827" s="16"/>
    </row>
    <row r="828" spans="2:8">
      <c r="B828" s="5"/>
      <c r="H828" s="16"/>
    </row>
    <row r="829" spans="2:8">
      <c r="B829" s="5"/>
      <c r="H829" s="16"/>
    </row>
    <row r="830" spans="2:8">
      <c r="B830" s="5"/>
      <c r="H830" s="16"/>
    </row>
    <row r="831" spans="2:8">
      <c r="B831" s="5"/>
      <c r="H831" s="16"/>
    </row>
    <row r="832" spans="2:8">
      <c r="B832" s="5"/>
      <c r="H832" s="16"/>
    </row>
    <row r="833" spans="2:8">
      <c r="B833" s="5"/>
      <c r="H833" s="16"/>
    </row>
    <row r="834" spans="2:8">
      <c r="B834" s="5"/>
      <c r="H834" s="16"/>
    </row>
    <row r="835" spans="2:8">
      <c r="B835" s="5"/>
      <c r="H835" s="16"/>
    </row>
    <row r="836" spans="2:8">
      <c r="B836" s="5"/>
      <c r="H836" s="16"/>
    </row>
    <row r="837" spans="2:8">
      <c r="B837" s="5"/>
      <c r="H837" s="16"/>
    </row>
    <row r="838" spans="2:8">
      <c r="B838" s="5"/>
      <c r="H838" s="16"/>
    </row>
    <row r="839" spans="2:8">
      <c r="B839" s="5"/>
      <c r="H839" s="16"/>
    </row>
    <row r="840" spans="2:8">
      <c r="B840" s="5"/>
      <c r="H840" s="16"/>
    </row>
    <row r="841" spans="2:8">
      <c r="B841" s="5"/>
      <c r="H841" s="16"/>
    </row>
    <row r="842" spans="2:8">
      <c r="B842" s="5"/>
      <c r="H842" s="16"/>
    </row>
    <row r="843" spans="2:8">
      <c r="B843" s="5"/>
      <c r="H843" s="16"/>
    </row>
    <row r="844" spans="2:8">
      <c r="B844" s="5"/>
      <c r="H844" s="16"/>
    </row>
    <row r="845" spans="2:8">
      <c r="B845" s="5"/>
      <c r="H845" s="16"/>
    </row>
    <row r="846" spans="2:8">
      <c r="B846" s="5"/>
      <c r="H846" s="16"/>
    </row>
    <row r="847" spans="2:8">
      <c r="B847" s="5"/>
      <c r="H847" s="16"/>
    </row>
    <row r="848" spans="2:8">
      <c r="B848" s="5"/>
      <c r="H848" s="16"/>
    </row>
    <row r="849" spans="2:8">
      <c r="B849" s="5"/>
      <c r="H849" s="16"/>
    </row>
    <row r="850" spans="2:8">
      <c r="B850" s="5"/>
      <c r="H850" s="16"/>
    </row>
    <row r="851" spans="2:8">
      <c r="B851" s="5"/>
      <c r="H851" s="16"/>
    </row>
    <row r="852" spans="2:8">
      <c r="B852" s="5"/>
      <c r="H852" s="16"/>
    </row>
    <row r="853" spans="2:8">
      <c r="B853" s="5"/>
      <c r="H853" s="16"/>
    </row>
    <row r="854" spans="2:8">
      <c r="B854" s="5"/>
      <c r="H854" s="16"/>
    </row>
    <row r="855" spans="2:8">
      <c r="B855" s="5"/>
      <c r="H855" s="16"/>
    </row>
    <row r="856" spans="2:8">
      <c r="B856" s="5"/>
      <c r="H856" s="16"/>
    </row>
    <row r="857" spans="2:8">
      <c r="B857" s="5"/>
      <c r="H857" s="16"/>
    </row>
    <row r="858" spans="2:8">
      <c r="B858" s="5"/>
      <c r="H858" s="16"/>
    </row>
    <row r="859" spans="2:8">
      <c r="B859" s="5"/>
      <c r="H859" s="16"/>
    </row>
    <row r="860" spans="2:8">
      <c r="B860" s="5"/>
      <c r="H860" s="16"/>
    </row>
    <row r="861" spans="2:8">
      <c r="B861" s="5"/>
      <c r="H861" s="16"/>
    </row>
    <row r="862" spans="2:8">
      <c r="B862" s="5"/>
      <c r="H862" s="16"/>
    </row>
    <row r="863" spans="2:8">
      <c r="B863" s="5"/>
      <c r="H863" s="16"/>
    </row>
    <row r="864" spans="2:8">
      <c r="B864" s="5"/>
      <c r="H864" s="16"/>
    </row>
    <row r="865" spans="2:8">
      <c r="B865" s="5"/>
      <c r="H865" s="16"/>
    </row>
    <row r="866" spans="2:8">
      <c r="B866" s="5"/>
      <c r="H866" s="16"/>
    </row>
    <row r="867" spans="2:8">
      <c r="B867" s="5"/>
      <c r="H867" s="16"/>
    </row>
    <row r="868" spans="2:8">
      <c r="B868" s="5"/>
      <c r="H868" s="16"/>
    </row>
    <row r="869" spans="2:8">
      <c r="B869" s="5"/>
      <c r="H869" s="16"/>
    </row>
    <row r="870" spans="2:8">
      <c r="B870" s="5"/>
      <c r="H870" s="16"/>
    </row>
    <row r="871" spans="2:8">
      <c r="B871" s="5"/>
      <c r="H871" s="16"/>
    </row>
    <row r="872" spans="2:8">
      <c r="B872" s="5"/>
      <c r="H872" s="16"/>
    </row>
    <row r="873" spans="2:8">
      <c r="B873" s="5"/>
      <c r="H873" s="16"/>
    </row>
    <row r="874" spans="2:8">
      <c r="B874" s="5"/>
      <c r="H874" s="16"/>
    </row>
    <row r="875" spans="2:8">
      <c r="B875" s="5"/>
      <c r="H875" s="16"/>
    </row>
    <row r="876" spans="2:8">
      <c r="B876" s="5"/>
      <c r="H876" s="16"/>
    </row>
    <row r="877" spans="2:8">
      <c r="B877" s="5"/>
      <c r="H877" s="16"/>
    </row>
    <row r="878" spans="2:8">
      <c r="B878" s="5"/>
      <c r="H878" s="16"/>
    </row>
    <row r="879" spans="2:8">
      <c r="B879" s="5"/>
      <c r="H879" s="16"/>
    </row>
    <row r="880" spans="2:8">
      <c r="B880" s="5"/>
      <c r="H880" s="16"/>
    </row>
    <row r="881" spans="2:8">
      <c r="B881" s="5"/>
      <c r="H881" s="16"/>
    </row>
    <row r="882" spans="2:8">
      <c r="B882" s="5"/>
      <c r="H882" s="16"/>
    </row>
    <row r="883" spans="2:8">
      <c r="B883" s="5"/>
      <c r="H883" s="16"/>
    </row>
    <row r="884" spans="2:8">
      <c r="B884" s="5"/>
      <c r="H884" s="16"/>
    </row>
    <row r="885" spans="2:8">
      <c r="B885" s="5"/>
      <c r="H885" s="16"/>
    </row>
    <row r="886" spans="2:8">
      <c r="B886" s="5"/>
      <c r="H886" s="16"/>
    </row>
    <row r="887" spans="2:8">
      <c r="B887" s="5"/>
      <c r="H887" s="16"/>
    </row>
    <row r="888" spans="2:8">
      <c r="B888" s="5"/>
      <c r="H888" s="16"/>
    </row>
    <row r="889" spans="2:8">
      <c r="B889" s="5"/>
      <c r="H889" s="16"/>
    </row>
    <row r="890" spans="2:8">
      <c r="B890" s="5"/>
      <c r="H890" s="16"/>
    </row>
    <row r="891" spans="2:8">
      <c r="B891" s="5"/>
      <c r="H891" s="16"/>
    </row>
    <row r="892" spans="2:8">
      <c r="B892" s="5"/>
      <c r="H892" s="16"/>
    </row>
  </sheetData>
  <mergeCells count="27">
    <mergeCell ref="C43:F43"/>
    <mergeCell ref="G43:H43"/>
    <mergeCell ref="A4:H4"/>
    <mergeCell ref="A10:F10"/>
    <mergeCell ref="A17:F17"/>
    <mergeCell ref="A23:F23"/>
    <mergeCell ref="A29:F29"/>
    <mergeCell ref="A35:F35"/>
    <mergeCell ref="A38:F38"/>
    <mergeCell ref="C41:F41"/>
    <mergeCell ref="G41:H41"/>
    <mergeCell ref="C42:F42"/>
    <mergeCell ref="G42:H42"/>
    <mergeCell ref="C44:F44"/>
    <mergeCell ref="G44:H44"/>
    <mergeCell ref="C45:F45"/>
    <mergeCell ref="G45:H45"/>
    <mergeCell ref="C46:F46"/>
    <mergeCell ref="G46:H46"/>
    <mergeCell ref="C50:F50"/>
    <mergeCell ref="G50:H50"/>
    <mergeCell ref="C47:F47"/>
    <mergeCell ref="G47:H47"/>
    <mergeCell ref="C48:F48"/>
    <mergeCell ref="G48:H48"/>
    <mergeCell ref="C49:F49"/>
    <mergeCell ref="G49:H49"/>
  </mergeCells>
  <phoneticPr fontId="24" type="noConversion"/>
  <dataValidations count="1">
    <dataValidation type="list" allowBlank="1" showInputMessage="1" showErrorMessage="1" sqref="B42:B48" xr:uid="{00000000-0002-0000-0500-000000000000}">
      <formula1>$L$41:$L$45</formula1>
    </dataValidation>
  </dataValidation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L891"/>
  <sheetViews>
    <sheetView showZeros="0" topLeftCell="A5" zoomScale="65" zoomScaleNormal="65" workbookViewId="0">
      <selection activeCell="O11" sqref="O11"/>
    </sheetView>
  </sheetViews>
  <sheetFormatPr defaultColWidth="10.875" defaultRowHeight="18.95"/>
  <cols>
    <col min="1" max="1" width="35.625" customWidth="1"/>
    <col min="2" max="2" width="14.625" style="16" customWidth="1"/>
    <col min="3" max="7" width="15.875" style="5" customWidth="1"/>
    <col min="8" max="8" width="15.875" style="17" customWidth="1"/>
    <col min="9" max="9" width="10.875" style="5"/>
    <col min="10" max="12" width="0" style="5" hidden="1" customWidth="1"/>
    <col min="13" max="16384" width="10.875" style="5"/>
  </cols>
  <sheetData>
    <row r="1" spans="1:10" customFormat="1" ht="15.95">
      <c r="A1" s="41"/>
      <c r="B1" s="42"/>
      <c r="C1" s="43"/>
      <c r="D1" s="43"/>
      <c r="E1" s="45" t="s">
        <v>25</v>
      </c>
      <c r="F1" s="43"/>
      <c r="G1" s="45" t="s">
        <v>26</v>
      </c>
      <c r="H1" s="44"/>
    </row>
    <row r="2" spans="1:10" ht="18.75">
      <c r="A2" s="30"/>
      <c r="B2" s="19" t="s">
        <v>29</v>
      </c>
      <c r="C2" s="18" t="s">
        <v>30</v>
      </c>
      <c r="D2" s="18" t="s">
        <v>31</v>
      </c>
      <c r="E2" s="18" t="s">
        <v>32</v>
      </c>
      <c r="F2" s="18" t="s">
        <v>33</v>
      </c>
      <c r="G2" s="18" t="s">
        <v>27</v>
      </c>
      <c r="H2" s="18" t="s">
        <v>28</v>
      </c>
    </row>
    <row r="3" spans="1:10" ht="21" customHeight="1">
      <c r="A3" s="31" t="s">
        <v>7</v>
      </c>
      <c r="B3" s="6">
        <f>'Week 5'!H3+1</f>
        <v>45928</v>
      </c>
      <c r="C3" s="6">
        <f t="shared" ref="C3:H3" si="0">B3+1</f>
        <v>45929</v>
      </c>
      <c r="D3" s="6">
        <f t="shared" si="0"/>
        <v>45930</v>
      </c>
      <c r="E3" s="6">
        <f t="shared" si="0"/>
        <v>45931</v>
      </c>
      <c r="F3" s="6">
        <f t="shared" si="0"/>
        <v>45932</v>
      </c>
      <c r="G3" s="6">
        <f t="shared" si="0"/>
        <v>45933</v>
      </c>
      <c r="H3" s="6">
        <f t="shared" si="0"/>
        <v>45934</v>
      </c>
    </row>
    <row r="4" spans="1:10" s="7" customFormat="1">
      <c r="A4" s="181" t="s">
        <v>34</v>
      </c>
      <c r="B4" s="181"/>
      <c r="C4" s="181"/>
      <c r="D4" s="181"/>
      <c r="E4" s="181"/>
      <c r="F4" s="181"/>
      <c r="G4" s="181"/>
      <c r="H4" s="181"/>
    </row>
    <row r="5" spans="1:10" s="7" customFormat="1" ht="26.1" customHeight="1">
      <c r="A5" s="32" t="s">
        <v>8</v>
      </c>
      <c r="B5" s="27"/>
      <c r="C5" s="27"/>
      <c r="D5" s="27"/>
      <c r="E5" s="27"/>
      <c r="F5" s="27"/>
      <c r="G5" s="27"/>
      <c r="H5" s="27"/>
    </row>
    <row r="6" spans="1:10" s="7" customFormat="1" ht="26.1" customHeight="1">
      <c r="A6" s="4" t="s">
        <v>23</v>
      </c>
      <c r="B6" s="62"/>
      <c r="C6" s="62"/>
      <c r="D6" s="62"/>
      <c r="E6" s="62"/>
      <c r="F6" s="62"/>
      <c r="G6" s="62"/>
      <c r="H6" s="62"/>
    </row>
    <row r="7" spans="1:10" s="7" customFormat="1" ht="21.95" customHeight="1">
      <c r="A7" s="32" t="s">
        <v>35</v>
      </c>
      <c r="B7" s="27"/>
      <c r="C7" s="28"/>
      <c r="D7" s="28"/>
      <c r="E7" s="28"/>
      <c r="F7" s="28"/>
      <c r="G7" s="28"/>
      <c r="H7" s="27"/>
    </row>
    <row r="8" spans="1:10" s="7" customFormat="1" ht="24.95" customHeight="1" thickBot="1">
      <c r="A8" s="83" t="s">
        <v>36</v>
      </c>
      <c r="B8" s="84">
        <f t="shared" ref="B8:H8" si="1">B5+B6+B7</f>
        <v>0</v>
      </c>
      <c r="C8" s="84">
        <f t="shared" si="1"/>
        <v>0</v>
      </c>
      <c r="D8" s="84">
        <f t="shared" si="1"/>
        <v>0</v>
      </c>
      <c r="E8" s="84">
        <f t="shared" si="1"/>
        <v>0</v>
      </c>
      <c r="F8" s="84"/>
      <c r="G8" s="84"/>
      <c r="H8" s="84"/>
    </row>
    <row r="9" spans="1:10" s="7" customFormat="1" ht="24.95" customHeight="1" thickBot="1">
      <c r="A9" s="33"/>
      <c r="B9" s="29"/>
      <c r="C9" s="29"/>
      <c r="D9" s="29"/>
      <c r="E9" s="29"/>
      <c r="F9" s="29"/>
      <c r="G9" s="63" t="s">
        <v>37</v>
      </c>
      <c r="H9" s="64">
        <f>SUM(B8:H8)</f>
        <v>0</v>
      </c>
    </row>
    <row r="10" spans="1:10" s="7" customFormat="1" ht="21" thickTop="1" thickBot="1">
      <c r="A10" s="213" t="s">
        <v>94</v>
      </c>
      <c r="B10" s="214"/>
      <c r="C10" s="214"/>
      <c r="D10" s="214"/>
      <c r="E10" s="214"/>
      <c r="F10" s="214"/>
      <c r="G10" s="65" t="s">
        <v>39</v>
      </c>
      <c r="H10" s="66">
        <v>-0.08</v>
      </c>
      <c r="I10" s="5"/>
      <c r="J10" s="26"/>
    </row>
    <row r="11" spans="1:10" s="7" customFormat="1" ht="30" customHeight="1">
      <c r="A11" s="39" t="s">
        <v>8</v>
      </c>
      <c r="B11" s="9"/>
      <c r="C11" s="9"/>
      <c r="D11" s="67"/>
      <c r="E11" s="67"/>
      <c r="F11" s="9"/>
      <c r="G11" s="68"/>
      <c r="H11" s="69"/>
    </row>
    <row r="12" spans="1:10" s="7" customFormat="1" ht="30" customHeight="1">
      <c r="A12" s="70" t="s">
        <v>23</v>
      </c>
      <c r="B12" s="59"/>
      <c r="C12" s="58"/>
      <c r="D12" s="58"/>
      <c r="E12" s="58"/>
      <c r="F12" s="58"/>
      <c r="G12" s="58"/>
      <c r="H12" s="59"/>
    </row>
    <row r="13" spans="1:10" s="7" customFormat="1" ht="30" customHeight="1">
      <c r="A13" s="3" t="s">
        <v>35</v>
      </c>
      <c r="B13" s="8"/>
      <c r="C13" s="8"/>
      <c r="D13" s="8"/>
      <c r="E13" s="8"/>
      <c r="F13" s="8"/>
      <c r="G13" s="8"/>
      <c r="H13" s="8"/>
    </row>
    <row r="14" spans="1:10" s="7" customFormat="1" ht="27" customHeight="1" thickBot="1">
      <c r="A14" s="85" t="s">
        <v>36</v>
      </c>
      <c r="B14" s="87">
        <f t="shared" ref="B14:H14" si="2">SUM(B11:B13)</f>
        <v>0</v>
      </c>
      <c r="C14" s="87">
        <f t="shared" si="2"/>
        <v>0</v>
      </c>
      <c r="D14" s="87">
        <f t="shared" si="2"/>
        <v>0</v>
      </c>
      <c r="E14" s="87">
        <f t="shared" si="2"/>
        <v>0</v>
      </c>
      <c r="F14" s="87">
        <f t="shared" si="2"/>
        <v>0</v>
      </c>
      <c r="G14" s="87">
        <f t="shared" si="2"/>
        <v>0</v>
      </c>
      <c r="H14" s="87">
        <f t="shared" si="2"/>
        <v>0</v>
      </c>
    </row>
    <row r="15" spans="1:10" s="7" customFormat="1" ht="24.95" customHeight="1" thickBot="1">
      <c r="A15" s="86" t="s">
        <v>40</v>
      </c>
      <c r="B15" s="92" t="e">
        <f t="shared" ref="B15:H15" si="3">(B14-B8)/B8</f>
        <v>#DIV/0!</v>
      </c>
      <c r="C15" s="93" t="e">
        <f t="shared" si="3"/>
        <v>#DIV/0!</v>
      </c>
      <c r="D15" s="93" t="e">
        <f t="shared" si="3"/>
        <v>#DIV/0!</v>
      </c>
      <c r="E15" s="93" t="e">
        <f t="shared" si="3"/>
        <v>#DIV/0!</v>
      </c>
      <c r="F15" s="93" t="e">
        <f t="shared" si="3"/>
        <v>#DIV/0!</v>
      </c>
      <c r="G15" s="93" t="e">
        <f t="shared" si="3"/>
        <v>#DIV/0!</v>
      </c>
      <c r="H15" s="94" t="e">
        <f t="shared" si="3"/>
        <v>#DIV/0!</v>
      </c>
      <c r="I15" s="71"/>
    </row>
    <row r="16" spans="1:10" ht="30" customHeight="1" thickBot="1">
      <c r="A16" s="135"/>
      <c r="B16" s="88"/>
      <c r="C16" s="88"/>
      <c r="D16" s="88"/>
      <c r="E16" s="88"/>
      <c r="F16" s="89"/>
      <c r="G16" s="90" t="s">
        <v>37</v>
      </c>
      <c r="H16" s="91">
        <f>SUM(B14:H14)</f>
        <v>0</v>
      </c>
    </row>
    <row r="17" spans="1:8" s="7" customFormat="1" ht="21.95" thickTop="1" thickBot="1">
      <c r="A17" s="184" t="s">
        <v>41</v>
      </c>
      <c r="B17" s="185"/>
      <c r="C17" s="185"/>
      <c r="D17" s="185"/>
      <c r="E17" s="185"/>
      <c r="F17" s="185"/>
      <c r="G17" s="72" t="s">
        <v>42</v>
      </c>
      <c r="H17" s="66" t="e">
        <f>(H16-H9)/H9</f>
        <v>#DIV/0!</v>
      </c>
    </row>
    <row r="18" spans="1:8" s="7" customFormat="1" ht="30" customHeight="1">
      <c r="A18" s="35" t="s">
        <v>43</v>
      </c>
      <c r="B18" s="12"/>
      <c r="C18" s="12">
        <v>262</v>
      </c>
      <c r="D18" s="73"/>
      <c r="E18" s="73"/>
      <c r="F18" s="12"/>
      <c r="G18" s="24"/>
      <c r="H18" s="74"/>
    </row>
    <row r="19" spans="1:8" s="7" customFormat="1" ht="30" customHeight="1">
      <c r="A19" s="35" t="str">
        <f>'Average w3-5'!A31</f>
        <v>Non Meal Plan Meals</v>
      </c>
      <c r="B19" s="12"/>
      <c r="C19" s="12"/>
      <c r="D19" s="73"/>
      <c r="E19" s="73"/>
      <c r="F19" s="12"/>
      <c r="G19" s="24"/>
      <c r="H19" s="74"/>
    </row>
    <row r="20" spans="1:8" s="7" customFormat="1" ht="30" customHeight="1">
      <c r="A20" s="35" t="str">
        <f>'Average w3-5'!A32</f>
        <v xml:space="preserve">Meal numbers </v>
      </c>
      <c r="B20" s="95"/>
      <c r="C20" s="95"/>
      <c r="D20" s="67"/>
      <c r="E20" s="67"/>
      <c r="F20" s="95"/>
      <c r="G20" s="95"/>
      <c r="H20" s="75"/>
    </row>
    <row r="21" spans="1:8" s="7" customFormat="1" ht="24.95" customHeight="1" thickBot="1">
      <c r="A21" s="36" t="s">
        <v>45</v>
      </c>
      <c r="B21" s="77">
        <f>SUM(B18:B20)</f>
        <v>0</v>
      </c>
      <c r="C21" s="77">
        <f>SUM(C18:C20)</f>
        <v>262</v>
      </c>
      <c r="D21" s="96"/>
      <c r="E21" s="96"/>
      <c r="F21" s="77">
        <f>SUM(F18:F20)</f>
        <v>0</v>
      </c>
      <c r="G21" s="77">
        <f>SUM(G18:G20)</f>
        <v>0</v>
      </c>
      <c r="H21" s="77">
        <f>SUM(H18:H20)</f>
        <v>0</v>
      </c>
    </row>
    <row r="22" spans="1:8" s="7" customFormat="1" ht="24.95" customHeight="1" thickBot="1">
      <c r="A22" s="34" t="s">
        <v>40</v>
      </c>
      <c r="B22" s="92" t="e">
        <f>(B21-B5)/B5</f>
        <v>#DIV/0!</v>
      </c>
      <c r="C22" s="93" t="e">
        <f>(C21-C5)/C5</f>
        <v>#DIV/0!</v>
      </c>
      <c r="D22" s="99"/>
      <c r="E22" s="99"/>
      <c r="F22" s="93" t="e">
        <f>(F21-F5)/F5</f>
        <v>#DIV/0!</v>
      </c>
      <c r="G22" s="93" t="e">
        <f>(G21-G5)/G5</f>
        <v>#DIV/0!</v>
      </c>
      <c r="H22" s="94" t="e">
        <f>(H21-H5)/H5</f>
        <v>#DIV/0!</v>
      </c>
    </row>
    <row r="23" spans="1:8" s="7" customFormat="1">
      <c r="A23" s="186" t="s">
        <v>46</v>
      </c>
      <c r="B23" s="187"/>
      <c r="C23" s="187"/>
      <c r="D23" s="187"/>
      <c r="E23" s="187"/>
      <c r="F23" s="188" t="s">
        <v>47</v>
      </c>
      <c r="G23" s="97"/>
      <c r="H23" s="98"/>
    </row>
    <row r="24" spans="1:8" s="7" customFormat="1" ht="30" customHeight="1">
      <c r="A24" s="35" t="s">
        <v>43</v>
      </c>
      <c r="B24" s="11">
        <v>313</v>
      </c>
      <c r="C24" s="12">
        <v>658</v>
      </c>
      <c r="D24" s="12"/>
      <c r="E24" s="12"/>
      <c r="F24" s="12"/>
      <c r="G24" s="12"/>
      <c r="H24" s="11"/>
    </row>
    <row r="25" spans="1:8" s="7" customFormat="1" ht="30" customHeight="1">
      <c r="A25" s="35" t="str">
        <f>A19</f>
        <v>Non Meal Plan Meals</v>
      </c>
      <c r="B25" s="117"/>
      <c r="C25" s="117"/>
      <c r="D25" s="117"/>
      <c r="E25" s="117"/>
      <c r="F25" s="117"/>
      <c r="G25" s="117"/>
      <c r="H25" s="117"/>
    </row>
    <row r="26" spans="1:8" s="7" customFormat="1" ht="30" customHeight="1">
      <c r="A26" s="35" t="str">
        <f>A20</f>
        <v xml:space="preserve">Meal numbers </v>
      </c>
      <c r="B26" s="11"/>
      <c r="C26" s="11"/>
      <c r="D26" s="11"/>
      <c r="E26" s="11"/>
      <c r="F26" s="11"/>
      <c r="G26" s="11"/>
      <c r="H26" s="11"/>
    </row>
    <row r="27" spans="1:8" s="7" customFormat="1" ht="27.95" customHeight="1" thickBot="1">
      <c r="A27" s="36" t="s">
        <v>50</v>
      </c>
      <c r="B27" s="100">
        <f t="shared" ref="B27:H27" si="4">SUM(B24:B26)</f>
        <v>313</v>
      </c>
      <c r="C27" s="100">
        <f t="shared" si="4"/>
        <v>658</v>
      </c>
      <c r="D27" s="100">
        <f t="shared" si="4"/>
        <v>0</v>
      </c>
      <c r="E27" s="100">
        <f t="shared" si="4"/>
        <v>0</v>
      </c>
      <c r="F27" s="100">
        <f t="shared" si="4"/>
        <v>0</v>
      </c>
      <c r="G27" s="100">
        <f t="shared" si="4"/>
        <v>0</v>
      </c>
      <c r="H27" s="100">
        <f t="shared" si="4"/>
        <v>0</v>
      </c>
    </row>
    <row r="28" spans="1:8" s="7" customFormat="1" ht="24.95" customHeight="1" thickBot="1">
      <c r="A28" s="34" t="s">
        <v>40</v>
      </c>
      <c r="B28" s="92" t="e">
        <f t="shared" ref="B28:H28" si="5">(B27-B6)/B6</f>
        <v>#DIV/0!</v>
      </c>
      <c r="C28" s="93" t="e">
        <f t="shared" si="5"/>
        <v>#DIV/0!</v>
      </c>
      <c r="D28" s="93" t="e">
        <f t="shared" si="5"/>
        <v>#DIV/0!</v>
      </c>
      <c r="E28" s="93" t="e">
        <f t="shared" si="5"/>
        <v>#DIV/0!</v>
      </c>
      <c r="F28" s="93" t="e">
        <f t="shared" si="5"/>
        <v>#DIV/0!</v>
      </c>
      <c r="G28" s="93" t="e">
        <f t="shared" si="5"/>
        <v>#DIV/0!</v>
      </c>
      <c r="H28" s="94" t="e">
        <f t="shared" si="5"/>
        <v>#DIV/0!</v>
      </c>
    </row>
    <row r="29" spans="1:8" s="7" customFormat="1">
      <c r="A29" s="189" t="s">
        <v>51</v>
      </c>
      <c r="B29" s="190"/>
      <c r="C29" s="190"/>
      <c r="D29" s="190"/>
      <c r="E29" s="190"/>
      <c r="F29" s="191" t="s">
        <v>35</v>
      </c>
      <c r="G29" s="101"/>
      <c r="H29" s="102"/>
    </row>
    <row r="30" spans="1:8" s="7" customFormat="1" ht="30" customHeight="1">
      <c r="A30" s="35" t="s">
        <v>43</v>
      </c>
      <c r="B30" s="10">
        <v>283</v>
      </c>
      <c r="C30" s="9">
        <v>627</v>
      </c>
      <c r="D30" s="9"/>
      <c r="E30" s="9"/>
      <c r="F30" s="9"/>
      <c r="G30" s="9"/>
      <c r="H30" s="10"/>
    </row>
    <row r="31" spans="1:8" s="7" customFormat="1" ht="30" customHeight="1">
      <c r="A31" s="35" t="str">
        <f>A25</f>
        <v>Non Meal Plan Meals</v>
      </c>
      <c r="B31" s="60"/>
      <c r="C31" s="60"/>
      <c r="D31" s="60"/>
      <c r="E31" s="60"/>
      <c r="F31" s="60"/>
      <c r="G31" s="60"/>
      <c r="H31" s="60"/>
    </row>
    <row r="32" spans="1:8" s="7" customFormat="1" ht="30" customHeight="1">
      <c r="A32" s="35" t="str">
        <f>A26</f>
        <v xml:space="preserve">Meal numbers </v>
      </c>
      <c r="B32" s="10"/>
      <c r="C32" s="10"/>
      <c r="D32" s="10"/>
      <c r="E32" s="10"/>
      <c r="F32" s="10"/>
      <c r="G32" s="10"/>
      <c r="H32" s="10"/>
    </row>
    <row r="33" spans="1:12" s="7" customFormat="1" ht="30.95" customHeight="1" thickBot="1">
      <c r="A33" s="36" t="s">
        <v>53</v>
      </c>
      <c r="B33" s="103">
        <f>B30+B31+B32</f>
        <v>283</v>
      </c>
      <c r="C33" s="103">
        <f>C30+C31+C32</f>
        <v>627</v>
      </c>
      <c r="D33" s="103">
        <f>D30+D31+D32</f>
        <v>0</v>
      </c>
      <c r="E33" s="103">
        <f>E30+E31+E32</f>
        <v>0</v>
      </c>
      <c r="F33" s="103">
        <f>SUM(F30:F32)</f>
        <v>0</v>
      </c>
      <c r="G33" s="103">
        <f>SUM(G30:G32)</f>
        <v>0</v>
      </c>
      <c r="H33" s="103">
        <f>SUM(H30:H32)</f>
        <v>0</v>
      </c>
    </row>
    <row r="34" spans="1:12" s="7" customFormat="1" ht="24.95" customHeight="1" thickBot="1">
      <c r="A34" s="34" t="s">
        <v>40</v>
      </c>
      <c r="B34" s="92" t="e">
        <f t="shared" ref="B34:H34" si="6">(B33-B7)/B7</f>
        <v>#DIV/0!</v>
      </c>
      <c r="C34" s="93" t="e">
        <f t="shared" si="6"/>
        <v>#DIV/0!</v>
      </c>
      <c r="D34" s="93" t="e">
        <f t="shared" si="6"/>
        <v>#DIV/0!</v>
      </c>
      <c r="E34" s="93" t="e">
        <f t="shared" si="6"/>
        <v>#DIV/0!</v>
      </c>
      <c r="F34" s="93" t="e">
        <f t="shared" si="6"/>
        <v>#DIV/0!</v>
      </c>
      <c r="G34" s="93" t="e">
        <f t="shared" si="6"/>
        <v>#DIV/0!</v>
      </c>
      <c r="H34" s="94" t="e">
        <f t="shared" si="6"/>
        <v>#DIV/0!</v>
      </c>
    </row>
    <row r="35" spans="1:12" s="7" customFormat="1">
      <c r="A35" s="192" t="s">
        <v>54</v>
      </c>
      <c r="B35" s="193"/>
      <c r="C35" s="193"/>
      <c r="D35" s="193"/>
      <c r="E35" s="193"/>
      <c r="F35" s="194" t="s">
        <v>35</v>
      </c>
      <c r="G35" s="104"/>
      <c r="H35" s="105"/>
    </row>
    <row r="36" spans="1:12" s="7" customFormat="1" ht="30.95" customHeight="1" thickBot="1">
      <c r="A36" s="78" t="s">
        <v>55</v>
      </c>
      <c r="B36" s="77">
        <f t="shared" ref="B36:H36" si="7">B33+B27+B21</f>
        <v>596</v>
      </c>
      <c r="C36" s="77">
        <f t="shared" si="7"/>
        <v>1547</v>
      </c>
      <c r="D36" s="77">
        <f t="shared" si="7"/>
        <v>0</v>
      </c>
      <c r="E36" s="77">
        <f t="shared" si="7"/>
        <v>0</v>
      </c>
      <c r="F36" s="77">
        <f t="shared" si="7"/>
        <v>0</v>
      </c>
      <c r="G36" s="77">
        <f t="shared" si="7"/>
        <v>0</v>
      </c>
      <c r="H36" s="77">
        <f t="shared" si="7"/>
        <v>0</v>
      </c>
    </row>
    <row r="37" spans="1:12" s="7" customFormat="1" ht="24.95" customHeight="1" thickBot="1">
      <c r="A37" s="34" t="s">
        <v>40</v>
      </c>
      <c r="B37" s="92" t="e">
        <f t="shared" ref="B37:H37" si="8">(B36-B8)/B8</f>
        <v>#DIV/0!</v>
      </c>
      <c r="C37" s="93" t="e">
        <f t="shared" si="8"/>
        <v>#DIV/0!</v>
      </c>
      <c r="D37" s="93" t="e">
        <f t="shared" si="8"/>
        <v>#DIV/0!</v>
      </c>
      <c r="E37" s="93" t="e">
        <f t="shared" si="8"/>
        <v>#DIV/0!</v>
      </c>
      <c r="F37" s="93" t="e">
        <f t="shared" si="8"/>
        <v>#DIV/0!</v>
      </c>
      <c r="G37" s="93" t="e">
        <f t="shared" si="8"/>
        <v>#DIV/0!</v>
      </c>
      <c r="H37" s="94" t="e">
        <f t="shared" si="8"/>
        <v>#DIV/0!</v>
      </c>
    </row>
    <row r="38" spans="1:12" ht="30" customHeight="1" thickBot="1">
      <c r="A38" s="195"/>
      <c r="B38" s="196"/>
      <c r="C38" s="196"/>
      <c r="D38" s="196"/>
      <c r="E38" s="196"/>
      <c r="F38" s="196"/>
      <c r="G38" s="106" t="s">
        <v>37</v>
      </c>
      <c r="H38" s="107">
        <f>SUM(B36:H36)</f>
        <v>2143</v>
      </c>
    </row>
    <row r="39" spans="1:12" s="7" customFormat="1" ht="24" customHeight="1" thickTop="1">
      <c r="A39" s="37"/>
      <c r="B39" s="25"/>
      <c r="C39" s="25"/>
      <c r="D39" s="25"/>
      <c r="E39" s="25"/>
      <c r="F39" s="25"/>
      <c r="G39" s="79" t="s">
        <v>40</v>
      </c>
      <c r="H39" s="80" t="e">
        <f>(H38-H9)/H9</f>
        <v>#DIV/0!</v>
      </c>
    </row>
    <row r="40" spans="1:12" s="7" customFormat="1" ht="19.5" customHeight="1" thickBot="1">
      <c r="A40" s="37"/>
      <c r="B40" s="25"/>
      <c r="C40" s="25"/>
      <c r="D40" s="25"/>
      <c r="E40" s="25"/>
      <c r="F40" s="25"/>
      <c r="G40" s="81" t="s">
        <v>56</v>
      </c>
      <c r="H40" s="82" t="e">
        <f>(H38-H16)/H16</f>
        <v>#DIV/0!</v>
      </c>
    </row>
    <row r="41" spans="1:12" s="46" customFormat="1" ht="23.1" customHeight="1">
      <c r="A41" s="40"/>
      <c r="B41" s="47" t="s">
        <v>57</v>
      </c>
      <c r="C41" s="197" t="s">
        <v>58</v>
      </c>
      <c r="D41" s="197"/>
      <c r="E41" s="197"/>
      <c r="F41" s="197"/>
      <c r="G41" s="198">
        <v>2020</v>
      </c>
      <c r="H41" s="199"/>
    </row>
    <row r="42" spans="1:12" ht="30" customHeight="1">
      <c r="A42" s="1" t="s">
        <v>0</v>
      </c>
      <c r="B42" s="57" t="s">
        <v>59</v>
      </c>
      <c r="C42" s="180"/>
      <c r="D42" s="180"/>
      <c r="E42" s="180"/>
      <c r="F42" s="180"/>
      <c r="G42" s="178"/>
      <c r="H42" s="179"/>
      <c r="L42" s="7" t="s">
        <v>61</v>
      </c>
    </row>
    <row r="43" spans="1:12" ht="30" customHeight="1">
      <c r="A43" s="1" t="s">
        <v>1</v>
      </c>
      <c r="B43" s="57" t="s">
        <v>59</v>
      </c>
      <c r="C43" s="175" t="s">
        <v>95</v>
      </c>
      <c r="D43" s="175"/>
      <c r="E43" s="175"/>
      <c r="F43" s="175"/>
      <c r="G43" s="178"/>
      <c r="H43" s="179"/>
      <c r="L43" s="5" t="s">
        <v>62</v>
      </c>
    </row>
    <row r="44" spans="1:12" ht="30" customHeight="1">
      <c r="A44" s="1" t="s">
        <v>2</v>
      </c>
      <c r="B44" s="57" t="s">
        <v>59</v>
      </c>
      <c r="C44" s="175"/>
      <c r="D44" s="175"/>
      <c r="E44" s="175"/>
      <c r="F44" s="175"/>
      <c r="G44" s="176"/>
      <c r="H44" s="177"/>
      <c r="L44" s="5" t="s">
        <v>63</v>
      </c>
    </row>
    <row r="45" spans="1:12" ht="30" customHeight="1">
      <c r="A45" s="1" t="s">
        <v>3</v>
      </c>
      <c r="B45" s="57" t="s">
        <v>59</v>
      </c>
      <c r="C45" s="175"/>
      <c r="D45" s="175"/>
      <c r="E45" s="175"/>
      <c r="F45" s="175"/>
      <c r="G45" s="176"/>
      <c r="H45" s="177"/>
      <c r="L45" s="5" t="s">
        <v>64</v>
      </c>
    </row>
    <row r="46" spans="1:12" ht="30.95" customHeight="1">
      <c r="A46" s="1" t="s">
        <v>4</v>
      </c>
      <c r="B46" s="57" t="s">
        <v>59</v>
      </c>
      <c r="C46" s="175"/>
      <c r="D46" s="175"/>
      <c r="E46" s="175"/>
      <c r="F46" s="175"/>
      <c r="G46" s="176"/>
      <c r="H46" s="177"/>
    </row>
    <row r="47" spans="1:12" ht="30" customHeight="1">
      <c r="A47" s="1" t="s">
        <v>5</v>
      </c>
      <c r="B47" s="57" t="s">
        <v>59</v>
      </c>
      <c r="C47" s="175"/>
      <c r="D47" s="175"/>
      <c r="E47" s="175"/>
      <c r="F47" s="175"/>
      <c r="G47" s="176"/>
      <c r="H47" s="177"/>
    </row>
    <row r="48" spans="1:12" ht="30" customHeight="1">
      <c r="A48" s="1" t="s">
        <v>6</v>
      </c>
      <c r="B48" s="57" t="s">
        <v>59</v>
      </c>
      <c r="C48" s="175"/>
      <c r="D48" s="175"/>
      <c r="E48" s="175"/>
      <c r="F48" s="175"/>
      <c r="G48" s="178"/>
      <c r="H48" s="179"/>
    </row>
    <row r="49" spans="1:8" ht="15" customHeight="1">
      <c r="A49" s="1"/>
      <c r="B49" s="14"/>
      <c r="C49" s="175"/>
      <c r="D49" s="175"/>
      <c r="E49" s="175"/>
      <c r="F49" s="175"/>
      <c r="G49" s="176"/>
      <c r="H49" s="177"/>
    </row>
    <row r="50" spans="1:8">
      <c r="A50" s="30"/>
      <c r="B50" s="18" t="s">
        <v>27</v>
      </c>
      <c r="C50" s="18" t="s">
        <v>28</v>
      </c>
      <c r="D50" s="18" t="s">
        <v>65</v>
      </c>
      <c r="E50" s="18" t="s">
        <v>30</v>
      </c>
      <c r="F50" s="18" t="s">
        <v>66</v>
      </c>
      <c r="G50" s="18" t="s">
        <v>32</v>
      </c>
      <c r="H50" s="18" t="s">
        <v>33</v>
      </c>
    </row>
    <row r="51" spans="1:8">
      <c r="A51" s="38" t="s">
        <v>91</v>
      </c>
      <c r="B51" s="13"/>
      <c r="C51" s="13"/>
      <c r="D51" s="13"/>
      <c r="E51" s="13"/>
      <c r="F51" s="13"/>
      <c r="G51" s="13"/>
      <c r="H51" s="13"/>
    </row>
    <row r="52" spans="1:8" customFormat="1" ht="15.95">
      <c r="A52" s="48"/>
      <c r="B52" s="22"/>
      <c r="C52" s="21"/>
      <c r="D52" s="21"/>
      <c r="E52" s="21"/>
      <c r="F52" s="21"/>
      <c r="G52" s="23" t="s">
        <v>37</v>
      </c>
      <c r="H52" s="23">
        <f>SUM(B51:H51)</f>
        <v>0</v>
      </c>
    </row>
    <row r="53" spans="1:8">
      <c r="A53" s="30"/>
      <c r="B53" s="18" t="s">
        <v>27</v>
      </c>
      <c r="C53" s="18" t="s">
        <v>28</v>
      </c>
      <c r="D53" s="18" t="s">
        <v>65</v>
      </c>
      <c r="E53" s="18" t="s">
        <v>30</v>
      </c>
      <c r="F53" s="18" t="s">
        <v>66</v>
      </c>
      <c r="G53" s="18" t="s">
        <v>32</v>
      </c>
      <c r="H53" s="18" t="s">
        <v>33</v>
      </c>
    </row>
    <row r="54" spans="1:8">
      <c r="A54" s="38" t="s">
        <v>69</v>
      </c>
      <c r="B54" s="51"/>
      <c r="C54" s="111"/>
      <c r="D54" s="111"/>
      <c r="E54" s="111"/>
      <c r="F54" s="111"/>
      <c r="G54" s="20"/>
      <c r="H54" s="15"/>
    </row>
    <row r="55" spans="1:8" customFormat="1" ht="15.95">
      <c r="A55" s="49" t="s">
        <v>70</v>
      </c>
      <c r="B55" s="53"/>
      <c r="C55" s="53" t="s">
        <v>71</v>
      </c>
      <c r="D55" s="54"/>
      <c r="E55" s="54"/>
      <c r="F55" s="55"/>
      <c r="G55" s="50" t="s">
        <v>37</v>
      </c>
      <c r="H55" s="23"/>
    </row>
    <row r="56" spans="1:8">
      <c r="H56" s="16"/>
    </row>
    <row r="57" spans="1:8">
      <c r="H57" s="16"/>
    </row>
    <row r="58" spans="1:8">
      <c r="H58" s="16"/>
    </row>
    <row r="59" spans="1:8">
      <c r="H59" s="16"/>
    </row>
    <row r="60" spans="1:8">
      <c r="H60" s="16"/>
    </row>
    <row r="61" spans="1:8">
      <c r="H61" s="16"/>
    </row>
    <row r="62" spans="1:8">
      <c r="H62" s="16"/>
    </row>
    <row r="63" spans="1:8">
      <c r="B63" s="5"/>
      <c r="H63" s="16"/>
    </row>
    <row r="64" spans="1:8">
      <c r="B64" s="5"/>
      <c r="H64" s="16"/>
    </row>
    <row r="65" spans="2:8">
      <c r="B65" s="5"/>
      <c r="H65" s="16"/>
    </row>
    <row r="66" spans="2:8">
      <c r="B66" s="5"/>
      <c r="H66" s="16"/>
    </row>
    <row r="67" spans="2:8">
      <c r="B67" s="5"/>
      <c r="H67" s="16"/>
    </row>
    <row r="68" spans="2:8">
      <c r="B68" s="5"/>
      <c r="H68" s="16"/>
    </row>
    <row r="69" spans="2:8">
      <c r="B69" s="5"/>
      <c r="H69" s="16"/>
    </row>
    <row r="70" spans="2:8">
      <c r="B70" s="5"/>
      <c r="H70" s="16"/>
    </row>
    <row r="71" spans="2:8">
      <c r="B71" s="5"/>
      <c r="H71" s="16"/>
    </row>
    <row r="72" spans="2:8">
      <c r="B72" s="5"/>
      <c r="H72" s="16"/>
    </row>
    <row r="73" spans="2:8">
      <c r="B73" s="5"/>
      <c r="H73" s="16"/>
    </row>
    <row r="74" spans="2:8">
      <c r="B74" s="5"/>
      <c r="H74" s="16"/>
    </row>
    <row r="75" spans="2:8">
      <c r="B75" s="5"/>
      <c r="H75" s="16"/>
    </row>
    <row r="76" spans="2:8">
      <c r="B76" s="5"/>
      <c r="H76" s="16"/>
    </row>
    <row r="77" spans="2:8">
      <c r="B77" s="5"/>
      <c r="H77" s="16"/>
    </row>
    <row r="78" spans="2:8">
      <c r="B78" s="5"/>
      <c r="H78" s="16"/>
    </row>
    <row r="79" spans="2:8">
      <c r="B79" s="5"/>
      <c r="H79" s="16"/>
    </row>
    <row r="80" spans="2:8">
      <c r="B80" s="5"/>
      <c r="H80" s="16"/>
    </row>
    <row r="81" spans="2:8">
      <c r="B81" s="5"/>
      <c r="H81" s="16"/>
    </row>
    <row r="82" spans="2:8">
      <c r="B82" s="5"/>
      <c r="H82" s="16"/>
    </row>
    <row r="83" spans="2:8">
      <c r="B83" s="5"/>
      <c r="H83" s="16"/>
    </row>
    <row r="84" spans="2:8">
      <c r="B84" s="5"/>
      <c r="H84" s="16"/>
    </row>
    <row r="85" spans="2:8">
      <c r="B85" s="5"/>
      <c r="H85" s="16"/>
    </row>
    <row r="86" spans="2:8">
      <c r="B86" s="5"/>
      <c r="H86" s="16"/>
    </row>
    <row r="87" spans="2:8">
      <c r="B87" s="5"/>
      <c r="H87" s="16"/>
    </row>
    <row r="88" spans="2:8">
      <c r="B88" s="5"/>
      <c r="H88" s="16"/>
    </row>
    <row r="89" spans="2:8">
      <c r="B89" s="5"/>
      <c r="H89" s="16"/>
    </row>
    <row r="90" spans="2:8">
      <c r="B90" s="5"/>
      <c r="H90" s="16"/>
    </row>
    <row r="91" spans="2:8">
      <c r="B91" s="5"/>
      <c r="H91" s="16"/>
    </row>
    <row r="92" spans="2:8">
      <c r="B92" s="5"/>
      <c r="H92" s="16"/>
    </row>
    <row r="93" spans="2:8">
      <c r="B93" s="5"/>
      <c r="H93" s="16"/>
    </row>
    <row r="94" spans="2:8">
      <c r="B94" s="5"/>
      <c r="H94" s="16"/>
    </row>
    <row r="95" spans="2:8">
      <c r="B95" s="5"/>
      <c r="H95" s="16"/>
    </row>
    <row r="96" spans="2:8">
      <c r="B96" s="5"/>
      <c r="H96" s="16"/>
    </row>
    <row r="97" spans="2:8">
      <c r="B97" s="5"/>
      <c r="H97" s="16"/>
    </row>
    <row r="98" spans="2:8">
      <c r="B98" s="5"/>
      <c r="H98" s="16"/>
    </row>
    <row r="99" spans="2:8">
      <c r="B99" s="5"/>
      <c r="H99" s="16"/>
    </row>
    <row r="100" spans="2:8">
      <c r="B100" s="5"/>
      <c r="H100" s="16"/>
    </row>
    <row r="101" spans="2:8">
      <c r="B101" s="5"/>
      <c r="H101" s="16"/>
    </row>
    <row r="102" spans="2:8">
      <c r="B102" s="5"/>
      <c r="H102" s="16"/>
    </row>
    <row r="103" spans="2:8">
      <c r="B103" s="5"/>
      <c r="H103" s="16"/>
    </row>
    <row r="104" spans="2:8">
      <c r="B104" s="5"/>
      <c r="H104" s="16"/>
    </row>
    <row r="105" spans="2:8">
      <c r="B105" s="5"/>
      <c r="H105" s="16"/>
    </row>
    <row r="106" spans="2:8">
      <c r="B106" s="5"/>
      <c r="H106" s="16"/>
    </row>
    <row r="107" spans="2:8">
      <c r="B107" s="5"/>
      <c r="H107" s="16"/>
    </row>
    <row r="108" spans="2:8">
      <c r="B108" s="5"/>
      <c r="H108" s="16"/>
    </row>
    <row r="109" spans="2:8">
      <c r="B109" s="5"/>
      <c r="H109" s="16"/>
    </row>
    <row r="110" spans="2:8">
      <c r="B110" s="5"/>
      <c r="H110" s="16"/>
    </row>
    <row r="111" spans="2:8">
      <c r="B111" s="5"/>
      <c r="H111" s="16"/>
    </row>
    <row r="112" spans="2:8">
      <c r="B112" s="5"/>
      <c r="H112" s="16"/>
    </row>
    <row r="113" spans="2:8">
      <c r="B113" s="5"/>
      <c r="H113" s="16"/>
    </row>
    <row r="114" spans="2:8">
      <c r="B114" s="5"/>
      <c r="H114" s="16"/>
    </row>
    <row r="115" spans="2:8">
      <c r="B115" s="5"/>
      <c r="H115" s="16"/>
    </row>
    <row r="116" spans="2:8">
      <c r="B116" s="5"/>
      <c r="H116" s="16"/>
    </row>
    <row r="117" spans="2:8">
      <c r="B117" s="5"/>
      <c r="H117" s="16"/>
    </row>
    <row r="118" spans="2:8">
      <c r="B118" s="5"/>
      <c r="H118" s="16"/>
    </row>
    <row r="119" spans="2:8">
      <c r="B119" s="5"/>
      <c r="H119" s="16"/>
    </row>
    <row r="120" spans="2:8">
      <c r="B120" s="5"/>
      <c r="H120" s="16"/>
    </row>
    <row r="121" spans="2:8">
      <c r="B121" s="5"/>
      <c r="H121" s="16"/>
    </row>
    <row r="122" spans="2:8">
      <c r="B122" s="5"/>
      <c r="H122" s="16"/>
    </row>
    <row r="123" spans="2:8">
      <c r="B123" s="5"/>
      <c r="H123" s="16"/>
    </row>
    <row r="124" spans="2:8">
      <c r="B124" s="5"/>
      <c r="H124" s="16"/>
    </row>
    <row r="125" spans="2:8">
      <c r="B125" s="5"/>
      <c r="H125" s="16"/>
    </row>
    <row r="126" spans="2:8">
      <c r="B126" s="5"/>
      <c r="H126" s="16"/>
    </row>
    <row r="127" spans="2:8">
      <c r="B127" s="5"/>
      <c r="H127" s="16"/>
    </row>
    <row r="128" spans="2:8">
      <c r="B128" s="5"/>
      <c r="H128" s="16"/>
    </row>
    <row r="129" spans="2:8">
      <c r="B129" s="5"/>
      <c r="H129" s="16"/>
    </row>
    <row r="130" spans="2:8">
      <c r="B130" s="5"/>
      <c r="H130" s="16"/>
    </row>
    <row r="131" spans="2:8">
      <c r="B131" s="5"/>
      <c r="H131" s="16"/>
    </row>
    <row r="132" spans="2:8">
      <c r="B132" s="5"/>
      <c r="H132" s="16"/>
    </row>
    <row r="133" spans="2:8">
      <c r="B133" s="5"/>
      <c r="H133" s="16"/>
    </row>
    <row r="134" spans="2:8">
      <c r="B134" s="5"/>
      <c r="H134" s="16"/>
    </row>
    <row r="135" spans="2:8">
      <c r="B135" s="5"/>
      <c r="H135" s="16"/>
    </row>
    <row r="136" spans="2:8">
      <c r="B136" s="5"/>
      <c r="H136" s="16"/>
    </row>
    <row r="137" spans="2:8">
      <c r="B137" s="5"/>
      <c r="H137" s="16"/>
    </row>
    <row r="138" spans="2:8">
      <c r="B138" s="5"/>
      <c r="H138" s="16"/>
    </row>
    <row r="139" spans="2:8">
      <c r="B139" s="5"/>
      <c r="H139" s="16"/>
    </row>
    <row r="140" spans="2:8">
      <c r="B140" s="5"/>
      <c r="H140" s="16"/>
    </row>
    <row r="141" spans="2:8">
      <c r="B141" s="5"/>
      <c r="H141" s="16"/>
    </row>
    <row r="142" spans="2:8">
      <c r="B142" s="5"/>
      <c r="H142" s="16"/>
    </row>
    <row r="143" spans="2:8">
      <c r="B143" s="5"/>
      <c r="H143" s="16"/>
    </row>
    <row r="144" spans="2:8">
      <c r="B144" s="5"/>
      <c r="H144" s="16"/>
    </row>
    <row r="145" spans="2:8">
      <c r="B145" s="5"/>
      <c r="H145" s="16"/>
    </row>
    <row r="146" spans="2:8">
      <c r="B146" s="5"/>
      <c r="H146" s="16"/>
    </row>
    <row r="147" spans="2:8">
      <c r="B147" s="5"/>
      <c r="H147" s="16"/>
    </row>
    <row r="148" spans="2:8">
      <c r="B148" s="5"/>
      <c r="H148" s="16"/>
    </row>
    <row r="149" spans="2:8">
      <c r="B149" s="5"/>
      <c r="H149" s="16"/>
    </row>
    <row r="150" spans="2:8">
      <c r="B150" s="5"/>
      <c r="H150" s="16"/>
    </row>
    <row r="151" spans="2:8">
      <c r="B151" s="5"/>
      <c r="H151" s="16"/>
    </row>
    <row r="152" spans="2:8">
      <c r="B152" s="5"/>
      <c r="H152" s="16"/>
    </row>
    <row r="153" spans="2:8">
      <c r="B153" s="5"/>
      <c r="H153" s="16"/>
    </row>
    <row r="154" spans="2:8">
      <c r="B154" s="5"/>
      <c r="H154" s="16"/>
    </row>
    <row r="155" spans="2:8">
      <c r="B155" s="5"/>
      <c r="H155" s="16"/>
    </row>
    <row r="156" spans="2:8">
      <c r="B156" s="5"/>
      <c r="H156" s="16"/>
    </row>
    <row r="157" spans="2:8">
      <c r="B157" s="5"/>
      <c r="H157" s="16"/>
    </row>
    <row r="158" spans="2:8">
      <c r="B158" s="5"/>
      <c r="H158" s="16"/>
    </row>
    <row r="159" spans="2:8">
      <c r="B159" s="5"/>
      <c r="H159" s="16"/>
    </row>
    <row r="160" spans="2:8">
      <c r="B160" s="5"/>
      <c r="H160" s="16"/>
    </row>
    <row r="161" spans="2:8">
      <c r="B161" s="5"/>
      <c r="H161" s="16"/>
    </row>
    <row r="162" spans="2:8">
      <c r="B162" s="5"/>
      <c r="H162" s="16"/>
    </row>
    <row r="163" spans="2:8">
      <c r="B163" s="5"/>
      <c r="H163" s="16"/>
    </row>
    <row r="164" spans="2:8">
      <c r="B164" s="5"/>
      <c r="H164" s="16"/>
    </row>
    <row r="165" spans="2:8">
      <c r="B165" s="5"/>
      <c r="H165" s="16"/>
    </row>
    <row r="166" spans="2:8">
      <c r="B166" s="5"/>
      <c r="H166" s="16"/>
    </row>
    <row r="167" spans="2:8">
      <c r="B167" s="5"/>
      <c r="H167" s="16"/>
    </row>
    <row r="168" spans="2:8">
      <c r="B168" s="5"/>
      <c r="H168" s="16"/>
    </row>
    <row r="169" spans="2:8">
      <c r="B169" s="5"/>
      <c r="H169" s="16"/>
    </row>
    <row r="170" spans="2:8">
      <c r="B170" s="5"/>
      <c r="H170" s="16"/>
    </row>
    <row r="171" spans="2:8">
      <c r="B171" s="5"/>
      <c r="H171" s="16"/>
    </row>
    <row r="172" spans="2:8">
      <c r="B172" s="5"/>
      <c r="H172" s="16"/>
    </row>
    <row r="173" spans="2:8">
      <c r="B173" s="5"/>
      <c r="H173" s="16"/>
    </row>
    <row r="174" spans="2:8">
      <c r="B174" s="5"/>
      <c r="H174" s="16"/>
    </row>
    <row r="175" spans="2:8">
      <c r="B175" s="5"/>
      <c r="H175" s="16"/>
    </row>
    <row r="176" spans="2:8">
      <c r="B176" s="5"/>
      <c r="H176" s="16"/>
    </row>
    <row r="177" spans="2:8">
      <c r="B177" s="5"/>
      <c r="H177" s="16"/>
    </row>
    <row r="178" spans="2:8">
      <c r="B178" s="5"/>
      <c r="H178" s="16"/>
    </row>
    <row r="179" spans="2:8">
      <c r="B179" s="5"/>
      <c r="H179" s="16"/>
    </row>
    <row r="180" spans="2:8">
      <c r="B180" s="5"/>
      <c r="H180" s="16"/>
    </row>
    <row r="181" spans="2:8">
      <c r="B181" s="5"/>
      <c r="H181" s="16"/>
    </row>
    <row r="182" spans="2:8">
      <c r="B182" s="5"/>
      <c r="H182" s="16"/>
    </row>
    <row r="183" spans="2:8">
      <c r="B183" s="5"/>
      <c r="H183" s="16"/>
    </row>
    <row r="184" spans="2:8">
      <c r="B184" s="5"/>
      <c r="H184" s="16"/>
    </row>
    <row r="185" spans="2:8">
      <c r="B185" s="5"/>
      <c r="H185" s="16"/>
    </row>
    <row r="186" spans="2:8">
      <c r="B186" s="5"/>
      <c r="H186" s="16"/>
    </row>
    <row r="187" spans="2:8">
      <c r="B187" s="5"/>
      <c r="H187" s="16"/>
    </row>
    <row r="188" spans="2:8">
      <c r="B188" s="5"/>
      <c r="H188" s="16"/>
    </row>
    <row r="189" spans="2:8">
      <c r="B189" s="5"/>
      <c r="H189" s="16"/>
    </row>
    <row r="190" spans="2:8">
      <c r="B190" s="5"/>
      <c r="H190" s="16"/>
    </row>
    <row r="191" spans="2:8">
      <c r="B191" s="5"/>
      <c r="H191" s="16"/>
    </row>
    <row r="192" spans="2:8">
      <c r="B192" s="5"/>
      <c r="H192" s="16"/>
    </row>
    <row r="193" spans="2:8">
      <c r="B193" s="5"/>
      <c r="H193" s="16"/>
    </row>
    <row r="194" spans="2:8">
      <c r="B194" s="5"/>
      <c r="H194" s="16"/>
    </row>
    <row r="195" spans="2:8">
      <c r="B195" s="5"/>
      <c r="H195" s="16"/>
    </row>
    <row r="196" spans="2:8">
      <c r="B196" s="5"/>
      <c r="H196" s="16"/>
    </row>
    <row r="197" spans="2:8">
      <c r="B197" s="5"/>
      <c r="H197" s="16"/>
    </row>
    <row r="198" spans="2:8">
      <c r="B198" s="5"/>
      <c r="H198" s="16"/>
    </row>
    <row r="199" spans="2:8">
      <c r="B199" s="5"/>
      <c r="H199" s="16"/>
    </row>
    <row r="200" spans="2:8">
      <c r="B200" s="5"/>
      <c r="H200" s="16"/>
    </row>
    <row r="201" spans="2:8">
      <c r="B201" s="5"/>
      <c r="H201" s="16"/>
    </row>
    <row r="202" spans="2:8">
      <c r="B202" s="5"/>
      <c r="H202" s="16"/>
    </row>
    <row r="203" spans="2:8">
      <c r="B203" s="5"/>
      <c r="H203" s="16"/>
    </row>
    <row r="204" spans="2:8">
      <c r="B204" s="5"/>
      <c r="H204" s="16"/>
    </row>
    <row r="205" spans="2:8">
      <c r="B205" s="5"/>
      <c r="H205" s="16"/>
    </row>
    <row r="206" spans="2:8">
      <c r="B206" s="5"/>
      <c r="H206" s="16"/>
    </row>
    <row r="207" spans="2:8">
      <c r="B207" s="5"/>
      <c r="H207" s="16"/>
    </row>
    <row r="208" spans="2:8">
      <c r="B208" s="5"/>
      <c r="H208" s="16"/>
    </row>
    <row r="209" spans="2:8">
      <c r="B209" s="5"/>
      <c r="H209" s="16"/>
    </row>
    <row r="210" spans="2:8">
      <c r="B210" s="5"/>
      <c r="H210" s="16"/>
    </row>
    <row r="211" spans="2:8">
      <c r="B211" s="5"/>
      <c r="H211" s="16"/>
    </row>
    <row r="212" spans="2:8">
      <c r="B212" s="5"/>
      <c r="H212" s="16"/>
    </row>
    <row r="213" spans="2:8">
      <c r="B213" s="5"/>
      <c r="H213" s="16"/>
    </row>
    <row r="214" spans="2:8">
      <c r="B214" s="5"/>
      <c r="H214" s="16"/>
    </row>
    <row r="215" spans="2:8">
      <c r="B215" s="5"/>
      <c r="H215" s="16"/>
    </row>
    <row r="216" spans="2:8">
      <c r="B216" s="5"/>
      <c r="H216" s="16"/>
    </row>
    <row r="217" spans="2:8">
      <c r="B217" s="5"/>
      <c r="H217" s="16"/>
    </row>
    <row r="218" spans="2:8">
      <c r="B218" s="5"/>
      <c r="H218" s="16"/>
    </row>
    <row r="219" spans="2:8">
      <c r="B219" s="5"/>
      <c r="H219" s="16"/>
    </row>
    <row r="220" spans="2:8">
      <c r="B220" s="5"/>
      <c r="H220" s="16"/>
    </row>
    <row r="221" spans="2:8">
      <c r="B221" s="5"/>
      <c r="H221" s="16"/>
    </row>
    <row r="222" spans="2:8">
      <c r="B222" s="5"/>
      <c r="H222" s="16"/>
    </row>
    <row r="223" spans="2:8">
      <c r="B223" s="5"/>
      <c r="H223" s="16"/>
    </row>
    <row r="224" spans="2:8">
      <c r="B224" s="5"/>
      <c r="H224" s="16"/>
    </row>
    <row r="225" spans="2:8">
      <c r="B225" s="5"/>
      <c r="H225" s="16"/>
    </row>
    <row r="226" spans="2:8">
      <c r="B226" s="5"/>
      <c r="H226" s="16"/>
    </row>
    <row r="227" spans="2:8">
      <c r="B227" s="5"/>
      <c r="H227" s="16"/>
    </row>
    <row r="228" spans="2:8">
      <c r="B228" s="5"/>
      <c r="H228" s="16"/>
    </row>
    <row r="229" spans="2:8">
      <c r="B229" s="5"/>
      <c r="H229" s="16"/>
    </row>
    <row r="230" spans="2:8">
      <c r="B230" s="5"/>
      <c r="H230" s="16"/>
    </row>
    <row r="231" spans="2:8">
      <c r="B231" s="5"/>
      <c r="H231" s="16"/>
    </row>
    <row r="232" spans="2:8">
      <c r="B232" s="5"/>
      <c r="H232" s="16"/>
    </row>
    <row r="233" spans="2:8">
      <c r="B233" s="5"/>
      <c r="H233" s="16"/>
    </row>
    <row r="234" spans="2:8">
      <c r="B234" s="5"/>
      <c r="H234" s="16"/>
    </row>
    <row r="235" spans="2:8">
      <c r="B235" s="5"/>
      <c r="H235" s="16"/>
    </row>
    <row r="236" spans="2:8">
      <c r="B236" s="5"/>
      <c r="H236" s="16"/>
    </row>
    <row r="237" spans="2:8">
      <c r="B237" s="5"/>
      <c r="H237" s="16"/>
    </row>
    <row r="238" spans="2:8">
      <c r="B238" s="5"/>
      <c r="H238" s="16"/>
    </row>
    <row r="239" spans="2:8">
      <c r="B239" s="5"/>
      <c r="H239" s="16"/>
    </row>
    <row r="240" spans="2:8">
      <c r="B240" s="5"/>
      <c r="H240" s="16"/>
    </row>
    <row r="241" spans="2:8">
      <c r="B241" s="5"/>
      <c r="H241" s="16"/>
    </row>
    <row r="242" spans="2:8">
      <c r="B242" s="5"/>
      <c r="H242" s="16"/>
    </row>
    <row r="243" spans="2:8">
      <c r="B243" s="5"/>
      <c r="H243" s="16"/>
    </row>
    <row r="244" spans="2:8">
      <c r="B244" s="5"/>
      <c r="H244" s="16"/>
    </row>
    <row r="245" spans="2:8">
      <c r="B245" s="5"/>
      <c r="H245" s="16"/>
    </row>
    <row r="246" spans="2:8">
      <c r="B246" s="5"/>
      <c r="H246" s="16"/>
    </row>
    <row r="247" spans="2:8">
      <c r="B247" s="5"/>
      <c r="H247" s="16"/>
    </row>
    <row r="248" spans="2:8">
      <c r="B248" s="5"/>
      <c r="H248" s="16"/>
    </row>
    <row r="249" spans="2:8">
      <c r="B249" s="5"/>
      <c r="H249" s="16"/>
    </row>
    <row r="250" spans="2:8">
      <c r="B250" s="5"/>
      <c r="H250" s="16"/>
    </row>
    <row r="251" spans="2:8">
      <c r="B251" s="5"/>
      <c r="H251" s="16"/>
    </row>
    <row r="252" spans="2:8">
      <c r="B252" s="5"/>
      <c r="H252" s="16"/>
    </row>
    <row r="253" spans="2:8">
      <c r="B253" s="5"/>
      <c r="H253" s="16"/>
    </row>
    <row r="254" spans="2:8">
      <c r="B254" s="5"/>
      <c r="H254" s="16"/>
    </row>
    <row r="255" spans="2:8">
      <c r="B255" s="5"/>
      <c r="H255" s="16"/>
    </row>
    <row r="256" spans="2:8">
      <c r="B256" s="5"/>
      <c r="H256" s="16"/>
    </row>
    <row r="257" spans="2:8">
      <c r="B257" s="5"/>
      <c r="H257" s="16"/>
    </row>
    <row r="258" spans="2:8">
      <c r="B258" s="5"/>
      <c r="H258" s="16"/>
    </row>
    <row r="259" spans="2:8">
      <c r="B259" s="5"/>
      <c r="H259" s="16"/>
    </row>
    <row r="260" spans="2:8">
      <c r="B260" s="5"/>
      <c r="H260" s="16"/>
    </row>
    <row r="261" spans="2:8">
      <c r="B261" s="5"/>
      <c r="H261" s="16"/>
    </row>
    <row r="262" spans="2:8">
      <c r="B262" s="5"/>
      <c r="H262" s="16"/>
    </row>
    <row r="263" spans="2:8">
      <c r="B263" s="5"/>
      <c r="H263" s="16"/>
    </row>
    <row r="264" spans="2:8">
      <c r="B264" s="5"/>
      <c r="H264" s="16"/>
    </row>
    <row r="265" spans="2:8">
      <c r="B265" s="5"/>
      <c r="H265" s="16"/>
    </row>
    <row r="266" spans="2:8">
      <c r="B266" s="5"/>
      <c r="H266" s="16"/>
    </row>
    <row r="267" spans="2:8">
      <c r="B267" s="5"/>
      <c r="H267" s="16"/>
    </row>
    <row r="268" spans="2:8">
      <c r="B268" s="5"/>
      <c r="H268" s="16"/>
    </row>
    <row r="269" spans="2:8">
      <c r="B269" s="5"/>
      <c r="H269" s="16"/>
    </row>
    <row r="270" spans="2:8">
      <c r="B270" s="5"/>
      <c r="H270" s="16"/>
    </row>
    <row r="271" spans="2:8">
      <c r="B271" s="5"/>
      <c r="H271" s="16"/>
    </row>
    <row r="272" spans="2:8">
      <c r="B272" s="5"/>
      <c r="H272" s="16"/>
    </row>
    <row r="273" spans="2:8">
      <c r="B273" s="5"/>
      <c r="H273" s="16"/>
    </row>
    <row r="274" spans="2:8">
      <c r="B274" s="5"/>
      <c r="H274" s="16"/>
    </row>
    <row r="275" spans="2:8">
      <c r="B275" s="5"/>
      <c r="H275" s="16"/>
    </row>
    <row r="276" spans="2:8">
      <c r="B276" s="5"/>
      <c r="H276" s="16"/>
    </row>
    <row r="277" spans="2:8">
      <c r="B277" s="5"/>
      <c r="H277" s="16"/>
    </row>
    <row r="278" spans="2:8">
      <c r="B278" s="5"/>
      <c r="H278" s="16"/>
    </row>
    <row r="279" spans="2:8">
      <c r="B279" s="5"/>
      <c r="H279" s="16"/>
    </row>
    <row r="280" spans="2:8">
      <c r="B280" s="5"/>
      <c r="H280" s="16"/>
    </row>
    <row r="281" spans="2:8">
      <c r="B281" s="5"/>
      <c r="H281" s="16"/>
    </row>
    <row r="282" spans="2:8">
      <c r="B282" s="5"/>
      <c r="H282" s="16"/>
    </row>
    <row r="283" spans="2:8">
      <c r="B283" s="5"/>
      <c r="H283" s="16"/>
    </row>
    <row r="284" spans="2:8">
      <c r="B284" s="5"/>
      <c r="H284" s="16"/>
    </row>
    <row r="285" spans="2:8">
      <c r="B285" s="5"/>
      <c r="H285" s="16"/>
    </row>
    <row r="286" spans="2:8">
      <c r="B286" s="5"/>
      <c r="H286" s="16"/>
    </row>
    <row r="287" spans="2:8">
      <c r="B287" s="5"/>
      <c r="H287" s="16"/>
    </row>
    <row r="288" spans="2:8">
      <c r="B288" s="5"/>
      <c r="H288" s="16"/>
    </row>
    <row r="289" spans="2:8">
      <c r="B289" s="5"/>
      <c r="H289" s="16"/>
    </row>
    <row r="290" spans="2:8">
      <c r="B290" s="5"/>
      <c r="H290" s="16"/>
    </row>
    <row r="291" spans="2:8">
      <c r="B291" s="5"/>
      <c r="H291" s="16"/>
    </row>
    <row r="292" spans="2:8">
      <c r="B292" s="5"/>
      <c r="H292" s="16"/>
    </row>
    <row r="293" spans="2:8">
      <c r="B293" s="5"/>
      <c r="H293" s="16"/>
    </row>
    <row r="294" spans="2:8">
      <c r="B294" s="5"/>
      <c r="H294" s="16"/>
    </row>
    <row r="295" spans="2:8">
      <c r="B295" s="5"/>
      <c r="H295" s="16"/>
    </row>
    <row r="296" spans="2:8">
      <c r="B296" s="5"/>
      <c r="H296" s="16"/>
    </row>
    <row r="297" spans="2:8">
      <c r="B297" s="5"/>
      <c r="H297" s="16"/>
    </row>
    <row r="298" spans="2:8">
      <c r="B298" s="5"/>
      <c r="H298" s="16"/>
    </row>
    <row r="299" spans="2:8">
      <c r="B299" s="5"/>
      <c r="H299" s="16"/>
    </row>
    <row r="300" spans="2:8">
      <c r="B300" s="5"/>
      <c r="H300" s="16"/>
    </row>
    <row r="301" spans="2:8">
      <c r="B301" s="5"/>
      <c r="H301" s="16"/>
    </row>
    <row r="302" spans="2:8">
      <c r="B302" s="5"/>
      <c r="H302" s="16"/>
    </row>
    <row r="303" spans="2:8">
      <c r="B303" s="5"/>
      <c r="H303" s="16"/>
    </row>
    <row r="304" spans="2:8">
      <c r="B304" s="5"/>
      <c r="H304" s="16"/>
    </row>
    <row r="305" spans="2:8">
      <c r="B305" s="5"/>
      <c r="H305" s="16"/>
    </row>
    <row r="306" spans="2:8">
      <c r="B306" s="5"/>
      <c r="H306" s="16"/>
    </row>
    <row r="307" spans="2:8">
      <c r="B307" s="5"/>
      <c r="H307" s="16"/>
    </row>
    <row r="308" spans="2:8">
      <c r="B308" s="5"/>
      <c r="H308" s="16"/>
    </row>
    <row r="309" spans="2:8">
      <c r="B309" s="5"/>
      <c r="H309" s="16"/>
    </row>
    <row r="310" spans="2:8">
      <c r="B310" s="5"/>
      <c r="H310" s="16"/>
    </row>
    <row r="311" spans="2:8">
      <c r="B311" s="5"/>
      <c r="H311" s="16"/>
    </row>
    <row r="312" spans="2:8">
      <c r="B312" s="5"/>
      <c r="H312" s="16"/>
    </row>
    <row r="313" spans="2:8">
      <c r="B313" s="5"/>
      <c r="H313" s="16"/>
    </row>
    <row r="314" spans="2:8">
      <c r="B314" s="5"/>
      <c r="H314" s="16"/>
    </row>
    <row r="315" spans="2:8">
      <c r="B315" s="5"/>
      <c r="H315" s="16"/>
    </row>
    <row r="316" spans="2:8">
      <c r="B316" s="5"/>
      <c r="H316" s="16"/>
    </row>
    <row r="317" spans="2:8">
      <c r="B317" s="5"/>
      <c r="H317" s="16"/>
    </row>
    <row r="318" spans="2:8">
      <c r="B318" s="5"/>
      <c r="H318" s="16"/>
    </row>
    <row r="319" spans="2:8">
      <c r="B319" s="5"/>
      <c r="H319" s="16"/>
    </row>
    <row r="320" spans="2:8">
      <c r="B320" s="5"/>
      <c r="H320" s="16"/>
    </row>
    <row r="321" spans="2:8">
      <c r="B321" s="5"/>
      <c r="H321" s="16"/>
    </row>
    <row r="322" spans="2:8">
      <c r="B322" s="5"/>
      <c r="H322" s="16"/>
    </row>
    <row r="323" spans="2:8">
      <c r="B323" s="5"/>
      <c r="H323" s="16"/>
    </row>
    <row r="324" spans="2:8">
      <c r="B324" s="5"/>
      <c r="H324" s="16"/>
    </row>
    <row r="325" spans="2:8">
      <c r="B325" s="5"/>
      <c r="H325" s="16"/>
    </row>
    <row r="326" spans="2:8">
      <c r="B326" s="5"/>
      <c r="H326" s="16"/>
    </row>
    <row r="327" spans="2:8">
      <c r="B327" s="5"/>
      <c r="H327" s="16"/>
    </row>
    <row r="328" spans="2:8">
      <c r="B328" s="5"/>
      <c r="H328" s="16"/>
    </row>
    <row r="329" spans="2:8">
      <c r="B329" s="5"/>
      <c r="H329" s="16"/>
    </row>
    <row r="330" spans="2:8">
      <c r="B330" s="5"/>
      <c r="H330" s="16"/>
    </row>
    <row r="331" spans="2:8">
      <c r="B331" s="5"/>
      <c r="H331" s="16"/>
    </row>
    <row r="332" spans="2:8">
      <c r="B332" s="5"/>
      <c r="H332" s="16"/>
    </row>
    <row r="333" spans="2:8">
      <c r="B333" s="5"/>
      <c r="H333" s="16"/>
    </row>
    <row r="334" spans="2:8">
      <c r="B334" s="5"/>
      <c r="H334" s="16"/>
    </row>
    <row r="335" spans="2:8">
      <c r="B335" s="5"/>
      <c r="H335" s="16"/>
    </row>
    <row r="336" spans="2:8">
      <c r="B336" s="5"/>
      <c r="H336" s="16"/>
    </row>
    <row r="337" spans="2:8">
      <c r="B337" s="5"/>
      <c r="H337" s="16"/>
    </row>
    <row r="338" spans="2:8">
      <c r="B338" s="5"/>
      <c r="H338" s="16"/>
    </row>
    <row r="339" spans="2:8">
      <c r="B339" s="5"/>
      <c r="H339" s="16"/>
    </row>
    <row r="340" spans="2:8">
      <c r="B340" s="5"/>
      <c r="H340" s="16"/>
    </row>
    <row r="341" spans="2:8">
      <c r="B341" s="5"/>
      <c r="H341" s="16"/>
    </row>
    <row r="342" spans="2:8">
      <c r="B342" s="5"/>
      <c r="H342" s="16"/>
    </row>
    <row r="343" spans="2:8">
      <c r="B343" s="5"/>
      <c r="H343" s="16"/>
    </row>
    <row r="344" spans="2:8">
      <c r="B344" s="5"/>
      <c r="H344" s="16"/>
    </row>
    <row r="345" spans="2:8">
      <c r="B345" s="5"/>
      <c r="H345" s="16"/>
    </row>
    <row r="346" spans="2:8">
      <c r="B346" s="5"/>
      <c r="H346" s="16"/>
    </row>
    <row r="347" spans="2:8">
      <c r="B347" s="5"/>
      <c r="H347" s="16"/>
    </row>
    <row r="348" spans="2:8">
      <c r="B348" s="5"/>
      <c r="H348" s="16"/>
    </row>
    <row r="349" spans="2:8">
      <c r="B349" s="5"/>
      <c r="H349" s="16"/>
    </row>
    <row r="350" spans="2:8">
      <c r="B350" s="5"/>
      <c r="H350" s="16"/>
    </row>
    <row r="351" spans="2:8">
      <c r="B351" s="5"/>
      <c r="H351" s="16"/>
    </row>
    <row r="352" spans="2:8">
      <c r="B352" s="5"/>
      <c r="H352" s="16"/>
    </row>
    <row r="353" spans="2:8">
      <c r="B353" s="5"/>
      <c r="H353" s="16"/>
    </row>
    <row r="354" spans="2:8">
      <c r="B354" s="5"/>
      <c r="H354" s="16"/>
    </row>
    <row r="355" spans="2:8">
      <c r="B355" s="5"/>
      <c r="H355" s="16"/>
    </row>
    <row r="356" spans="2:8">
      <c r="B356" s="5"/>
      <c r="H356" s="16"/>
    </row>
    <row r="357" spans="2:8">
      <c r="B357" s="5"/>
      <c r="H357" s="16"/>
    </row>
    <row r="358" spans="2:8">
      <c r="B358" s="5"/>
      <c r="H358" s="16"/>
    </row>
    <row r="359" spans="2:8">
      <c r="B359" s="5"/>
      <c r="H359" s="16"/>
    </row>
    <row r="360" spans="2:8">
      <c r="B360" s="5"/>
      <c r="H360" s="16"/>
    </row>
    <row r="361" spans="2:8">
      <c r="B361" s="5"/>
      <c r="H361" s="16"/>
    </row>
    <row r="362" spans="2:8">
      <c r="B362" s="5"/>
      <c r="H362" s="16"/>
    </row>
    <row r="363" spans="2:8">
      <c r="B363" s="5"/>
      <c r="H363" s="16"/>
    </row>
    <row r="364" spans="2:8">
      <c r="B364" s="5"/>
      <c r="H364" s="16"/>
    </row>
    <row r="365" spans="2:8">
      <c r="B365" s="5"/>
      <c r="H365" s="16"/>
    </row>
    <row r="366" spans="2:8">
      <c r="B366" s="5"/>
      <c r="H366" s="16"/>
    </row>
    <row r="367" spans="2:8">
      <c r="B367" s="5"/>
      <c r="H367" s="16"/>
    </row>
    <row r="368" spans="2:8">
      <c r="B368" s="5"/>
      <c r="H368" s="16"/>
    </row>
    <row r="369" spans="2:8">
      <c r="B369" s="5"/>
      <c r="H369" s="16"/>
    </row>
    <row r="370" spans="2:8">
      <c r="B370" s="5"/>
      <c r="H370" s="16"/>
    </row>
    <row r="371" spans="2:8">
      <c r="B371" s="5"/>
      <c r="H371" s="16"/>
    </row>
    <row r="372" spans="2:8">
      <c r="B372" s="5"/>
      <c r="H372" s="16"/>
    </row>
    <row r="373" spans="2:8">
      <c r="B373" s="5"/>
      <c r="H373" s="16"/>
    </row>
    <row r="374" spans="2:8">
      <c r="B374" s="5"/>
      <c r="H374" s="16"/>
    </row>
    <row r="375" spans="2:8">
      <c r="B375" s="5"/>
      <c r="H375" s="16"/>
    </row>
    <row r="376" spans="2:8">
      <c r="B376" s="5"/>
      <c r="H376" s="16"/>
    </row>
    <row r="377" spans="2:8">
      <c r="B377" s="5"/>
      <c r="H377" s="16"/>
    </row>
    <row r="378" spans="2:8">
      <c r="B378" s="5"/>
      <c r="H378" s="16"/>
    </row>
    <row r="379" spans="2:8">
      <c r="B379" s="5"/>
      <c r="H379" s="16"/>
    </row>
    <row r="380" spans="2:8">
      <c r="B380" s="5"/>
      <c r="H380" s="16"/>
    </row>
    <row r="381" spans="2:8">
      <c r="B381" s="5"/>
      <c r="H381" s="16"/>
    </row>
    <row r="382" spans="2:8">
      <c r="B382" s="5"/>
      <c r="H382" s="16"/>
    </row>
    <row r="383" spans="2:8">
      <c r="B383" s="5"/>
      <c r="H383" s="16"/>
    </row>
    <row r="384" spans="2:8">
      <c r="B384" s="5"/>
      <c r="H384" s="16"/>
    </row>
    <row r="385" spans="2:8">
      <c r="B385" s="5"/>
      <c r="H385" s="16"/>
    </row>
    <row r="386" spans="2:8">
      <c r="B386" s="5"/>
      <c r="H386" s="16"/>
    </row>
    <row r="387" spans="2:8">
      <c r="B387" s="5"/>
      <c r="H387" s="16"/>
    </row>
    <row r="388" spans="2:8">
      <c r="B388" s="5"/>
      <c r="H388" s="16"/>
    </row>
    <row r="389" spans="2:8">
      <c r="B389" s="5"/>
      <c r="H389" s="16"/>
    </row>
    <row r="390" spans="2:8">
      <c r="B390" s="5"/>
      <c r="H390" s="16"/>
    </row>
    <row r="391" spans="2:8">
      <c r="B391" s="5"/>
      <c r="H391" s="16"/>
    </row>
    <row r="392" spans="2:8">
      <c r="B392" s="5"/>
      <c r="H392" s="16"/>
    </row>
    <row r="393" spans="2:8">
      <c r="B393" s="5"/>
      <c r="H393" s="16"/>
    </row>
    <row r="394" spans="2:8">
      <c r="B394" s="5"/>
      <c r="H394" s="16"/>
    </row>
    <row r="395" spans="2:8">
      <c r="B395" s="5"/>
      <c r="H395" s="16"/>
    </row>
    <row r="396" spans="2:8">
      <c r="B396" s="5"/>
      <c r="H396" s="16"/>
    </row>
    <row r="397" spans="2:8">
      <c r="B397" s="5"/>
      <c r="H397" s="16"/>
    </row>
    <row r="398" spans="2:8">
      <c r="B398" s="5"/>
      <c r="H398" s="16"/>
    </row>
    <row r="399" spans="2:8">
      <c r="B399" s="5"/>
      <c r="H399" s="16"/>
    </row>
    <row r="400" spans="2:8">
      <c r="B400" s="5"/>
      <c r="H400" s="16"/>
    </row>
    <row r="401" spans="2:8">
      <c r="B401" s="5"/>
      <c r="H401" s="16"/>
    </row>
    <row r="402" spans="2:8">
      <c r="B402" s="5"/>
      <c r="H402" s="16"/>
    </row>
    <row r="403" spans="2:8">
      <c r="B403" s="5"/>
      <c r="H403" s="16"/>
    </row>
    <row r="404" spans="2:8">
      <c r="B404" s="5"/>
      <c r="H404" s="16"/>
    </row>
    <row r="405" spans="2:8">
      <c r="B405" s="5"/>
      <c r="H405" s="16"/>
    </row>
    <row r="406" spans="2:8">
      <c r="B406" s="5"/>
      <c r="H406" s="16"/>
    </row>
    <row r="407" spans="2:8">
      <c r="B407" s="5"/>
      <c r="H407" s="16"/>
    </row>
    <row r="408" spans="2:8">
      <c r="B408" s="5"/>
      <c r="H408" s="16"/>
    </row>
    <row r="409" spans="2:8">
      <c r="B409" s="5"/>
      <c r="H409" s="16"/>
    </row>
    <row r="410" spans="2:8">
      <c r="B410" s="5"/>
      <c r="H410" s="16"/>
    </row>
    <row r="411" spans="2:8">
      <c r="B411" s="5"/>
      <c r="H411" s="16"/>
    </row>
    <row r="412" spans="2:8">
      <c r="B412" s="5"/>
      <c r="H412" s="16"/>
    </row>
    <row r="413" spans="2:8">
      <c r="B413" s="5"/>
      <c r="H413" s="16"/>
    </row>
    <row r="414" spans="2:8">
      <c r="B414" s="5"/>
      <c r="H414" s="16"/>
    </row>
    <row r="415" spans="2:8">
      <c r="B415" s="5"/>
      <c r="H415" s="16"/>
    </row>
    <row r="416" spans="2:8">
      <c r="B416" s="5"/>
      <c r="H416" s="16"/>
    </row>
    <row r="417" spans="2:8">
      <c r="B417" s="5"/>
      <c r="H417" s="16"/>
    </row>
    <row r="418" spans="2:8">
      <c r="B418" s="5"/>
      <c r="H418" s="16"/>
    </row>
    <row r="419" spans="2:8">
      <c r="B419" s="5"/>
      <c r="H419" s="16"/>
    </row>
    <row r="420" spans="2:8">
      <c r="B420" s="5"/>
      <c r="H420" s="16"/>
    </row>
    <row r="421" spans="2:8">
      <c r="B421" s="5"/>
      <c r="H421" s="16"/>
    </row>
    <row r="422" spans="2:8">
      <c r="B422" s="5"/>
      <c r="H422" s="16"/>
    </row>
    <row r="423" spans="2:8">
      <c r="B423" s="5"/>
      <c r="H423" s="16"/>
    </row>
    <row r="424" spans="2:8">
      <c r="B424" s="5"/>
      <c r="H424" s="16"/>
    </row>
    <row r="425" spans="2:8">
      <c r="B425" s="5"/>
      <c r="H425" s="16"/>
    </row>
    <row r="426" spans="2:8">
      <c r="B426" s="5"/>
      <c r="H426" s="16"/>
    </row>
    <row r="427" spans="2:8">
      <c r="B427" s="5"/>
      <c r="H427" s="16"/>
    </row>
    <row r="428" spans="2:8">
      <c r="B428" s="5"/>
      <c r="H428" s="16"/>
    </row>
    <row r="429" spans="2:8">
      <c r="B429" s="5"/>
      <c r="H429" s="16"/>
    </row>
    <row r="430" spans="2:8">
      <c r="B430" s="5"/>
      <c r="H430" s="16"/>
    </row>
    <row r="431" spans="2:8">
      <c r="B431" s="5"/>
      <c r="H431" s="16"/>
    </row>
    <row r="432" spans="2:8">
      <c r="B432" s="5"/>
      <c r="H432" s="16"/>
    </row>
    <row r="433" spans="2:8">
      <c r="B433" s="5"/>
      <c r="H433" s="16"/>
    </row>
    <row r="434" spans="2:8">
      <c r="B434" s="5"/>
      <c r="H434" s="16"/>
    </row>
    <row r="435" spans="2:8">
      <c r="B435" s="5"/>
      <c r="H435" s="16"/>
    </row>
    <row r="436" spans="2:8">
      <c r="B436" s="5"/>
      <c r="H436" s="16"/>
    </row>
    <row r="437" spans="2:8">
      <c r="B437" s="5"/>
      <c r="H437" s="16"/>
    </row>
    <row r="438" spans="2:8">
      <c r="B438" s="5"/>
      <c r="H438" s="16"/>
    </row>
    <row r="439" spans="2:8">
      <c r="B439" s="5"/>
      <c r="H439" s="16"/>
    </row>
    <row r="440" spans="2:8">
      <c r="B440" s="5"/>
      <c r="H440" s="16"/>
    </row>
    <row r="441" spans="2:8">
      <c r="B441" s="5"/>
      <c r="H441" s="16"/>
    </row>
    <row r="442" spans="2:8">
      <c r="B442" s="5"/>
      <c r="H442" s="16"/>
    </row>
    <row r="443" spans="2:8">
      <c r="B443" s="5"/>
      <c r="H443" s="16"/>
    </row>
    <row r="444" spans="2:8">
      <c r="B444" s="5"/>
      <c r="H444" s="16"/>
    </row>
    <row r="445" spans="2:8">
      <c r="B445" s="5"/>
      <c r="H445" s="16"/>
    </row>
    <row r="446" spans="2:8">
      <c r="B446" s="5"/>
      <c r="H446" s="16"/>
    </row>
    <row r="447" spans="2:8">
      <c r="B447" s="5"/>
      <c r="H447" s="16"/>
    </row>
    <row r="448" spans="2:8">
      <c r="B448" s="5"/>
      <c r="H448" s="16"/>
    </row>
    <row r="449" spans="2:8">
      <c r="B449" s="5"/>
      <c r="H449" s="16"/>
    </row>
    <row r="450" spans="2:8">
      <c r="B450" s="5"/>
      <c r="H450" s="16"/>
    </row>
    <row r="451" spans="2:8">
      <c r="B451" s="5"/>
      <c r="H451" s="16"/>
    </row>
    <row r="452" spans="2:8">
      <c r="B452" s="5"/>
      <c r="H452" s="16"/>
    </row>
    <row r="453" spans="2:8">
      <c r="B453" s="5"/>
      <c r="H453" s="16"/>
    </row>
    <row r="454" spans="2:8">
      <c r="B454" s="5"/>
      <c r="H454" s="16"/>
    </row>
    <row r="455" spans="2:8">
      <c r="B455" s="5"/>
      <c r="H455" s="16"/>
    </row>
    <row r="456" spans="2:8">
      <c r="B456" s="5"/>
      <c r="H456" s="16"/>
    </row>
    <row r="457" spans="2:8">
      <c r="B457" s="5"/>
      <c r="H457" s="16"/>
    </row>
    <row r="458" spans="2:8">
      <c r="B458" s="5"/>
      <c r="H458" s="16"/>
    </row>
    <row r="459" spans="2:8">
      <c r="B459" s="5"/>
      <c r="H459" s="16"/>
    </row>
    <row r="460" spans="2:8">
      <c r="B460" s="5"/>
      <c r="H460" s="16"/>
    </row>
    <row r="461" spans="2:8">
      <c r="B461" s="5"/>
      <c r="H461" s="16"/>
    </row>
    <row r="462" spans="2:8">
      <c r="B462" s="5"/>
      <c r="H462" s="16"/>
    </row>
    <row r="463" spans="2:8">
      <c r="B463" s="5"/>
      <c r="H463" s="16"/>
    </row>
    <row r="464" spans="2:8">
      <c r="B464" s="5"/>
      <c r="H464" s="16"/>
    </row>
    <row r="465" spans="2:8">
      <c r="B465" s="5"/>
      <c r="H465" s="16"/>
    </row>
    <row r="466" spans="2:8">
      <c r="B466" s="5"/>
      <c r="H466" s="16"/>
    </row>
    <row r="467" spans="2:8">
      <c r="B467" s="5"/>
      <c r="H467" s="16"/>
    </row>
    <row r="468" spans="2:8">
      <c r="B468" s="5"/>
      <c r="H468" s="16"/>
    </row>
    <row r="469" spans="2:8">
      <c r="B469" s="5"/>
      <c r="H469" s="16"/>
    </row>
    <row r="470" spans="2:8">
      <c r="B470" s="5"/>
      <c r="H470" s="16"/>
    </row>
    <row r="471" spans="2:8">
      <c r="B471" s="5"/>
      <c r="H471" s="16"/>
    </row>
    <row r="472" spans="2:8">
      <c r="B472" s="5"/>
      <c r="H472" s="16"/>
    </row>
    <row r="473" spans="2:8">
      <c r="B473" s="5"/>
      <c r="H473" s="16"/>
    </row>
    <row r="474" spans="2:8">
      <c r="B474" s="5"/>
      <c r="H474" s="16"/>
    </row>
    <row r="475" spans="2:8">
      <c r="B475" s="5"/>
      <c r="H475" s="16"/>
    </row>
    <row r="476" spans="2:8">
      <c r="B476" s="5"/>
      <c r="H476" s="16"/>
    </row>
    <row r="477" spans="2:8">
      <c r="B477" s="5"/>
      <c r="H477" s="16"/>
    </row>
    <row r="478" spans="2:8">
      <c r="B478" s="5"/>
      <c r="H478" s="16"/>
    </row>
    <row r="479" spans="2:8">
      <c r="B479" s="5"/>
      <c r="H479" s="16"/>
    </row>
    <row r="480" spans="2:8">
      <c r="B480" s="5"/>
      <c r="H480" s="16"/>
    </row>
    <row r="481" spans="2:8">
      <c r="B481" s="5"/>
      <c r="H481" s="16"/>
    </row>
    <row r="482" spans="2:8">
      <c r="B482" s="5"/>
      <c r="H482" s="16"/>
    </row>
    <row r="483" spans="2:8">
      <c r="B483" s="5"/>
      <c r="H483" s="16"/>
    </row>
    <row r="484" spans="2:8">
      <c r="B484" s="5"/>
      <c r="H484" s="16"/>
    </row>
    <row r="485" spans="2:8">
      <c r="B485" s="5"/>
      <c r="H485" s="16"/>
    </row>
    <row r="486" spans="2:8">
      <c r="B486" s="5"/>
      <c r="H486" s="16"/>
    </row>
    <row r="487" spans="2:8">
      <c r="B487" s="5"/>
      <c r="H487" s="16"/>
    </row>
    <row r="488" spans="2:8">
      <c r="B488" s="5"/>
      <c r="H488" s="16"/>
    </row>
    <row r="489" spans="2:8">
      <c r="B489" s="5"/>
      <c r="H489" s="16"/>
    </row>
    <row r="490" spans="2:8">
      <c r="B490" s="5"/>
      <c r="H490" s="16"/>
    </row>
    <row r="491" spans="2:8">
      <c r="B491" s="5"/>
      <c r="H491" s="16"/>
    </row>
    <row r="492" spans="2:8">
      <c r="B492" s="5"/>
      <c r="H492" s="16"/>
    </row>
    <row r="493" spans="2:8">
      <c r="B493" s="5"/>
      <c r="H493" s="16"/>
    </row>
    <row r="494" spans="2:8">
      <c r="B494" s="5"/>
      <c r="H494" s="16"/>
    </row>
    <row r="495" spans="2:8">
      <c r="B495" s="5"/>
      <c r="H495" s="16"/>
    </row>
    <row r="496" spans="2:8">
      <c r="B496" s="5"/>
      <c r="H496" s="16"/>
    </row>
    <row r="497" spans="2:8">
      <c r="B497" s="5"/>
      <c r="H497" s="16"/>
    </row>
    <row r="498" spans="2:8">
      <c r="B498" s="5"/>
      <c r="H498" s="16"/>
    </row>
    <row r="499" spans="2:8">
      <c r="B499" s="5"/>
      <c r="H499" s="16"/>
    </row>
    <row r="500" spans="2:8">
      <c r="B500" s="5"/>
      <c r="H500" s="16"/>
    </row>
    <row r="501" spans="2:8">
      <c r="B501" s="5"/>
      <c r="H501" s="16"/>
    </row>
    <row r="502" spans="2:8">
      <c r="B502" s="5"/>
      <c r="H502" s="16"/>
    </row>
    <row r="503" spans="2:8">
      <c r="B503" s="5"/>
      <c r="H503" s="16"/>
    </row>
    <row r="504" spans="2:8">
      <c r="B504" s="5"/>
      <c r="H504" s="16"/>
    </row>
    <row r="505" spans="2:8">
      <c r="B505" s="5"/>
      <c r="H505" s="16"/>
    </row>
    <row r="506" spans="2:8">
      <c r="B506" s="5"/>
      <c r="H506" s="16"/>
    </row>
    <row r="507" spans="2:8">
      <c r="B507" s="5"/>
      <c r="H507" s="16"/>
    </row>
    <row r="508" spans="2:8">
      <c r="B508" s="5"/>
      <c r="H508" s="16"/>
    </row>
    <row r="509" spans="2:8">
      <c r="B509" s="5"/>
      <c r="H509" s="16"/>
    </row>
    <row r="510" spans="2:8">
      <c r="B510" s="5"/>
      <c r="H510" s="16"/>
    </row>
    <row r="511" spans="2:8">
      <c r="B511" s="5"/>
      <c r="H511" s="16"/>
    </row>
    <row r="512" spans="2:8">
      <c r="B512" s="5"/>
      <c r="H512" s="16"/>
    </row>
    <row r="513" spans="2:8">
      <c r="B513" s="5"/>
      <c r="H513" s="16"/>
    </row>
    <row r="514" spans="2:8">
      <c r="B514" s="5"/>
      <c r="H514" s="16"/>
    </row>
    <row r="515" spans="2:8">
      <c r="B515" s="5"/>
      <c r="H515" s="16"/>
    </row>
    <row r="516" spans="2:8">
      <c r="B516" s="5"/>
      <c r="H516" s="16"/>
    </row>
    <row r="517" spans="2:8">
      <c r="B517" s="5"/>
      <c r="H517" s="16"/>
    </row>
    <row r="518" spans="2:8">
      <c r="B518" s="5"/>
      <c r="H518" s="16"/>
    </row>
    <row r="519" spans="2:8">
      <c r="B519" s="5"/>
      <c r="H519" s="16"/>
    </row>
    <row r="520" spans="2:8">
      <c r="B520" s="5"/>
      <c r="H520" s="16"/>
    </row>
    <row r="521" spans="2:8">
      <c r="B521" s="5"/>
      <c r="H521" s="16"/>
    </row>
    <row r="522" spans="2:8">
      <c r="B522" s="5"/>
      <c r="H522" s="16"/>
    </row>
    <row r="523" spans="2:8">
      <c r="B523" s="5"/>
      <c r="H523" s="16"/>
    </row>
    <row r="524" spans="2:8">
      <c r="B524" s="5"/>
      <c r="H524" s="16"/>
    </row>
    <row r="525" spans="2:8">
      <c r="B525" s="5"/>
      <c r="H525" s="16"/>
    </row>
    <row r="526" spans="2:8">
      <c r="B526" s="5"/>
      <c r="H526" s="16"/>
    </row>
    <row r="527" spans="2:8">
      <c r="B527" s="5"/>
      <c r="H527" s="16"/>
    </row>
    <row r="528" spans="2:8">
      <c r="B528" s="5"/>
      <c r="H528" s="16"/>
    </row>
    <row r="529" spans="2:8">
      <c r="B529" s="5"/>
      <c r="H529" s="16"/>
    </row>
    <row r="530" spans="2:8">
      <c r="B530" s="5"/>
      <c r="H530" s="16"/>
    </row>
    <row r="531" spans="2:8">
      <c r="B531" s="5"/>
      <c r="H531" s="16"/>
    </row>
    <row r="532" spans="2:8">
      <c r="B532" s="5"/>
      <c r="H532" s="16"/>
    </row>
    <row r="533" spans="2:8">
      <c r="B533" s="5"/>
      <c r="H533" s="16"/>
    </row>
    <row r="534" spans="2:8">
      <c r="B534" s="5"/>
      <c r="H534" s="16"/>
    </row>
    <row r="535" spans="2:8">
      <c r="B535" s="5"/>
      <c r="H535" s="16"/>
    </row>
    <row r="536" spans="2:8">
      <c r="B536" s="5"/>
      <c r="H536" s="16"/>
    </row>
    <row r="537" spans="2:8">
      <c r="B537" s="5"/>
      <c r="H537" s="16"/>
    </row>
    <row r="538" spans="2:8">
      <c r="B538" s="5"/>
      <c r="H538" s="16"/>
    </row>
    <row r="539" spans="2:8">
      <c r="B539" s="5"/>
      <c r="H539" s="16"/>
    </row>
    <row r="540" spans="2:8">
      <c r="B540" s="5"/>
      <c r="H540" s="16"/>
    </row>
    <row r="541" spans="2:8">
      <c r="B541" s="5"/>
      <c r="H541" s="16"/>
    </row>
    <row r="542" spans="2:8">
      <c r="B542" s="5"/>
      <c r="H542" s="16"/>
    </row>
    <row r="543" spans="2:8">
      <c r="B543" s="5"/>
      <c r="H543" s="16"/>
    </row>
    <row r="544" spans="2:8">
      <c r="B544" s="5"/>
      <c r="H544" s="16"/>
    </row>
    <row r="545" spans="2:8">
      <c r="B545" s="5"/>
      <c r="H545" s="16"/>
    </row>
    <row r="546" spans="2:8">
      <c r="B546" s="5"/>
      <c r="H546" s="16"/>
    </row>
    <row r="547" spans="2:8">
      <c r="B547" s="5"/>
      <c r="H547" s="16"/>
    </row>
    <row r="548" spans="2:8">
      <c r="B548" s="5"/>
      <c r="H548" s="16"/>
    </row>
    <row r="549" spans="2:8">
      <c r="B549" s="5"/>
      <c r="H549" s="16"/>
    </row>
    <row r="550" spans="2:8">
      <c r="B550" s="5"/>
      <c r="H550" s="16"/>
    </row>
    <row r="551" spans="2:8">
      <c r="B551" s="5"/>
      <c r="H551" s="16"/>
    </row>
    <row r="552" spans="2:8">
      <c r="B552" s="5"/>
      <c r="H552" s="16"/>
    </row>
    <row r="553" spans="2:8">
      <c r="B553" s="5"/>
      <c r="H553" s="16"/>
    </row>
    <row r="554" spans="2:8">
      <c r="B554" s="5"/>
      <c r="H554" s="16"/>
    </row>
    <row r="555" spans="2:8">
      <c r="B555" s="5"/>
      <c r="H555" s="16"/>
    </row>
    <row r="556" spans="2:8">
      <c r="B556" s="5"/>
      <c r="H556" s="16"/>
    </row>
    <row r="557" spans="2:8">
      <c r="B557" s="5"/>
      <c r="H557" s="16"/>
    </row>
    <row r="558" spans="2:8">
      <c r="B558" s="5"/>
      <c r="H558" s="16"/>
    </row>
    <row r="559" spans="2:8">
      <c r="B559" s="5"/>
      <c r="H559" s="16"/>
    </row>
    <row r="560" spans="2:8">
      <c r="B560" s="5"/>
      <c r="H560" s="16"/>
    </row>
    <row r="561" spans="2:8">
      <c r="B561" s="5"/>
      <c r="H561" s="16"/>
    </row>
    <row r="562" spans="2:8">
      <c r="B562" s="5"/>
      <c r="H562" s="16"/>
    </row>
    <row r="563" spans="2:8">
      <c r="B563" s="5"/>
      <c r="H563" s="16"/>
    </row>
    <row r="564" spans="2:8">
      <c r="B564" s="5"/>
      <c r="H564" s="16"/>
    </row>
    <row r="565" spans="2:8">
      <c r="B565" s="5"/>
      <c r="H565" s="16"/>
    </row>
    <row r="566" spans="2:8">
      <c r="B566" s="5"/>
      <c r="H566" s="16"/>
    </row>
    <row r="567" spans="2:8">
      <c r="B567" s="5"/>
      <c r="H567" s="16"/>
    </row>
    <row r="568" spans="2:8">
      <c r="B568" s="5"/>
      <c r="H568" s="16"/>
    </row>
    <row r="569" spans="2:8">
      <c r="B569" s="5"/>
      <c r="H569" s="16"/>
    </row>
    <row r="570" spans="2:8">
      <c r="B570" s="5"/>
      <c r="H570" s="16"/>
    </row>
    <row r="571" spans="2:8">
      <c r="B571" s="5"/>
      <c r="H571" s="16"/>
    </row>
    <row r="572" spans="2:8">
      <c r="B572" s="5"/>
      <c r="H572" s="16"/>
    </row>
    <row r="573" spans="2:8">
      <c r="B573" s="5"/>
      <c r="H573" s="16"/>
    </row>
    <row r="574" spans="2:8">
      <c r="B574" s="5"/>
      <c r="H574" s="16"/>
    </row>
    <row r="575" spans="2:8">
      <c r="B575" s="5"/>
      <c r="H575" s="16"/>
    </row>
    <row r="576" spans="2:8">
      <c r="B576" s="5"/>
      <c r="H576" s="16"/>
    </row>
    <row r="577" spans="2:8">
      <c r="B577" s="5"/>
      <c r="H577" s="16"/>
    </row>
    <row r="578" spans="2:8">
      <c r="B578" s="5"/>
      <c r="H578" s="16"/>
    </row>
    <row r="579" spans="2:8">
      <c r="B579" s="5"/>
      <c r="H579" s="16"/>
    </row>
    <row r="580" spans="2:8">
      <c r="B580" s="5"/>
      <c r="H580" s="16"/>
    </row>
    <row r="581" spans="2:8">
      <c r="B581" s="5"/>
      <c r="H581" s="16"/>
    </row>
    <row r="582" spans="2:8">
      <c r="B582" s="5"/>
      <c r="H582" s="16"/>
    </row>
    <row r="583" spans="2:8">
      <c r="B583" s="5"/>
      <c r="H583" s="16"/>
    </row>
    <row r="584" spans="2:8">
      <c r="B584" s="5"/>
      <c r="H584" s="16"/>
    </row>
    <row r="585" spans="2:8">
      <c r="B585" s="5"/>
      <c r="H585" s="16"/>
    </row>
    <row r="586" spans="2:8">
      <c r="B586" s="5"/>
      <c r="H586" s="16"/>
    </row>
    <row r="587" spans="2:8">
      <c r="B587" s="5"/>
      <c r="H587" s="16"/>
    </row>
    <row r="588" spans="2:8">
      <c r="B588" s="5"/>
      <c r="H588" s="16"/>
    </row>
    <row r="589" spans="2:8">
      <c r="B589" s="5"/>
      <c r="H589" s="16"/>
    </row>
    <row r="590" spans="2:8">
      <c r="B590" s="5"/>
      <c r="H590" s="16"/>
    </row>
    <row r="591" spans="2:8">
      <c r="B591" s="5"/>
      <c r="H591" s="16"/>
    </row>
    <row r="592" spans="2:8">
      <c r="B592" s="5"/>
      <c r="H592" s="16"/>
    </row>
    <row r="593" spans="2:8">
      <c r="B593" s="5"/>
      <c r="H593" s="16"/>
    </row>
    <row r="594" spans="2:8">
      <c r="B594" s="5"/>
      <c r="H594" s="16"/>
    </row>
    <row r="595" spans="2:8">
      <c r="B595" s="5"/>
      <c r="H595" s="16"/>
    </row>
    <row r="596" spans="2:8">
      <c r="B596" s="5"/>
      <c r="H596" s="16"/>
    </row>
    <row r="597" spans="2:8">
      <c r="B597" s="5"/>
      <c r="H597" s="16"/>
    </row>
    <row r="598" spans="2:8">
      <c r="B598" s="5"/>
      <c r="H598" s="16"/>
    </row>
    <row r="599" spans="2:8">
      <c r="B599" s="5"/>
      <c r="H599" s="16"/>
    </row>
    <row r="600" spans="2:8">
      <c r="B600" s="5"/>
      <c r="H600" s="16"/>
    </row>
    <row r="601" spans="2:8">
      <c r="B601" s="5"/>
      <c r="H601" s="16"/>
    </row>
    <row r="602" spans="2:8">
      <c r="B602" s="5"/>
      <c r="H602" s="16"/>
    </row>
    <row r="603" spans="2:8">
      <c r="B603" s="5"/>
      <c r="H603" s="16"/>
    </row>
    <row r="604" spans="2:8">
      <c r="B604" s="5"/>
      <c r="H604" s="16"/>
    </row>
    <row r="605" spans="2:8">
      <c r="B605" s="5"/>
      <c r="H605" s="16"/>
    </row>
    <row r="606" spans="2:8">
      <c r="B606" s="5"/>
      <c r="H606" s="16"/>
    </row>
    <row r="607" spans="2:8">
      <c r="B607" s="5"/>
      <c r="H607" s="16"/>
    </row>
    <row r="608" spans="2:8">
      <c r="B608" s="5"/>
      <c r="H608" s="16"/>
    </row>
    <row r="609" spans="2:8">
      <c r="B609" s="5"/>
      <c r="H609" s="16"/>
    </row>
    <row r="610" spans="2:8">
      <c r="B610" s="5"/>
      <c r="H610" s="16"/>
    </row>
    <row r="611" spans="2:8">
      <c r="B611" s="5"/>
      <c r="H611" s="16"/>
    </row>
    <row r="612" spans="2:8">
      <c r="B612" s="5"/>
      <c r="H612" s="16"/>
    </row>
    <row r="613" spans="2:8">
      <c r="B613" s="5"/>
      <c r="H613" s="16"/>
    </row>
    <row r="614" spans="2:8">
      <c r="B614" s="5"/>
      <c r="H614" s="16"/>
    </row>
    <row r="615" spans="2:8">
      <c r="B615" s="5"/>
      <c r="H615" s="16"/>
    </row>
    <row r="616" spans="2:8">
      <c r="B616" s="5"/>
      <c r="H616" s="16"/>
    </row>
    <row r="617" spans="2:8">
      <c r="B617" s="5"/>
      <c r="H617" s="16"/>
    </row>
    <row r="618" spans="2:8">
      <c r="B618" s="5"/>
      <c r="H618" s="16"/>
    </row>
    <row r="619" spans="2:8">
      <c r="B619" s="5"/>
      <c r="H619" s="16"/>
    </row>
    <row r="620" spans="2:8">
      <c r="B620" s="5"/>
      <c r="H620" s="16"/>
    </row>
    <row r="621" spans="2:8">
      <c r="B621" s="5"/>
      <c r="H621" s="16"/>
    </row>
    <row r="622" spans="2:8">
      <c r="B622" s="5"/>
      <c r="H622" s="16"/>
    </row>
    <row r="623" spans="2:8">
      <c r="B623" s="5"/>
      <c r="H623" s="16"/>
    </row>
    <row r="624" spans="2:8">
      <c r="B624" s="5"/>
      <c r="H624" s="16"/>
    </row>
    <row r="625" spans="2:8">
      <c r="B625" s="5"/>
      <c r="H625" s="16"/>
    </row>
    <row r="626" spans="2:8">
      <c r="B626" s="5"/>
      <c r="H626" s="16"/>
    </row>
    <row r="627" spans="2:8">
      <c r="B627" s="5"/>
      <c r="H627" s="16"/>
    </row>
    <row r="628" spans="2:8">
      <c r="B628" s="5"/>
      <c r="H628" s="16"/>
    </row>
    <row r="629" spans="2:8">
      <c r="B629" s="5"/>
      <c r="H629" s="16"/>
    </row>
    <row r="630" spans="2:8">
      <c r="B630" s="5"/>
      <c r="H630" s="16"/>
    </row>
    <row r="631" spans="2:8">
      <c r="B631" s="5"/>
      <c r="H631" s="16"/>
    </row>
    <row r="632" spans="2:8">
      <c r="B632" s="5"/>
      <c r="H632" s="16"/>
    </row>
    <row r="633" spans="2:8">
      <c r="B633" s="5"/>
      <c r="H633" s="16"/>
    </row>
    <row r="634" spans="2:8">
      <c r="B634" s="5"/>
      <c r="H634" s="16"/>
    </row>
    <row r="635" spans="2:8">
      <c r="B635" s="5"/>
      <c r="H635" s="16"/>
    </row>
    <row r="636" spans="2:8">
      <c r="B636" s="5"/>
      <c r="H636" s="16"/>
    </row>
    <row r="637" spans="2:8">
      <c r="B637" s="5"/>
      <c r="H637" s="16"/>
    </row>
    <row r="638" spans="2:8">
      <c r="B638" s="5"/>
      <c r="H638" s="16"/>
    </row>
    <row r="639" spans="2:8">
      <c r="B639" s="5"/>
      <c r="H639" s="16"/>
    </row>
    <row r="640" spans="2:8">
      <c r="B640" s="5"/>
      <c r="H640" s="16"/>
    </row>
    <row r="641" spans="2:8">
      <c r="B641" s="5"/>
      <c r="H641" s="16"/>
    </row>
    <row r="642" spans="2:8">
      <c r="B642" s="5"/>
      <c r="H642" s="16"/>
    </row>
    <row r="643" spans="2:8">
      <c r="B643" s="5"/>
      <c r="H643" s="16"/>
    </row>
    <row r="644" spans="2:8">
      <c r="B644" s="5"/>
      <c r="H644" s="16"/>
    </row>
    <row r="645" spans="2:8">
      <c r="B645" s="5"/>
      <c r="H645" s="16"/>
    </row>
    <row r="646" spans="2:8">
      <c r="B646" s="5"/>
      <c r="H646" s="16"/>
    </row>
    <row r="647" spans="2:8">
      <c r="B647" s="5"/>
      <c r="H647" s="16"/>
    </row>
    <row r="648" spans="2:8">
      <c r="B648" s="5"/>
      <c r="H648" s="16"/>
    </row>
    <row r="649" spans="2:8">
      <c r="B649" s="5"/>
      <c r="H649" s="16"/>
    </row>
    <row r="650" spans="2:8">
      <c r="B650" s="5"/>
      <c r="H650" s="16"/>
    </row>
    <row r="651" spans="2:8">
      <c r="B651" s="5"/>
      <c r="H651" s="16"/>
    </row>
    <row r="652" spans="2:8">
      <c r="B652" s="5"/>
      <c r="H652" s="16"/>
    </row>
    <row r="653" spans="2:8">
      <c r="B653" s="5"/>
      <c r="H653" s="16"/>
    </row>
    <row r="654" spans="2:8">
      <c r="B654" s="5"/>
      <c r="H654" s="16"/>
    </row>
    <row r="655" spans="2:8">
      <c r="B655" s="5"/>
      <c r="H655" s="16"/>
    </row>
    <row r="656" spans="2:8">
      <c r="B656" s="5"/>
      <c r="H656" s="16"/>
    </row>
    <row r="657" spans="2:8">
      <c r="B657" s="5"/>
      <c r="H657" s="16"/>
    </row>
    <row r="658" spans="2:8">
      <c r="B658" s="5"/>
      <c r="H658" s="16"/>
    </row>
    <row r="659" spans="2:8">
      <c r="B659" s="5"/>
      <c r="H659" s="16"/>
    </row>
    <row r="660" spans="2:8">
      <c r="B660" s="5"/>
      <c r="H660" s="16"/>
    </row>
    <row r="661" spans="2:8">
      <c r="B661" s="5"/>
      <c r="H661" s="16"/>
    </row>
    <row r="662" spans="2:8">
      <c r="B662" s="5"/>
      <c r="H662" s="16"/>
    </row>
    <row r="663" spans="2:8">
      <c r="B663" s="5"/>
      <c r="H663" s="16"/>
    </row>
    <row r="664" spans="2:8">
      <c r="B664" s="5"/>
      <c r="H664" s="16"/>
    </row>
    <row r="665" spans="2:8">
      <c r="B665" s="5"/>
      <c r="H665" s="16"/>
    </row>
    <row r="666" spans="2:8">
      <c r="B666" s="5"/>
      <c r="H666" s="16"/>
    </row>
    <row r="667" spans="2:8">
      <c r="B667" s="5"/>
      <c r="H667" s="16"/>
    </row>
    <row r="668" spans="2:8">
      <c r="B668" s="5"/>
      <c r="H668" s="16"/>
    </row>
    <row r="669" spans="2:8">
      <c r="B669" s="5"/>
      <c r="H669" s="16"/>
    </row>
    <row r="670" spans="2:8">
      <c r="B670" s="5"/>
      <c r="H670" s="16"/>
    </row>
    <row r="671" spans="2:8">
      <c r="B671" s="5"/>
      <c r="H671" s="16"/>
    </row>
    <row r="672" spans="2:8">
      <c r="B672" s="5"/>
      <c r="H672" s="16"/>
    </row>
    <row r="673" spans="2:8">
      <c r="B673" s="5"/>
      <c r="H673" s="16"/>
    </row>
    <row r="674" spans="2:8">
      <c r="B674" s="5"/>
      <c r="H674" s="16"/>
    </row>
    <row r="675" spans="2:8">
      <c r="B675" s="5"/>
      <c r="H675" s="16"/>
    </row>
    <row r="676" spans="2:8">
      <c r="B676" s="5"/>
      <c r="H676" s="16"/>
    </row>
    <row r="677" spans="2:8">
      <c r="B677" s="5"/>
      <c r="H677" s="16"/>
    </row>
    <row r="678" spans="2:8">
      <c r="B678" s="5"/>
      <c r="H678" s="16"/>
    </row>
    <row r="679" spans="2:8">
      <c r="B679" s="5"/>
      <c r="H679" s="16"/>
    </row>
    <row r="680" spans="2:8">
      <c r="B680" s="5"/>
      <c r="H680" s="16"/>
    </row>
    <row r="681" spans="2:8">
      <c r="B681" s="5"/>
      <c r="H681" s="16"/>
    </row>
    <row r="682" spans="2:8">
      <c r="B682" s="5"/>
      <c r="H682" s="16"/>
    </row>
    <row r="683" spans="2:8">
      <c r="B683" s="5"/>
      <c r="H683" s="16"/>
    </row>
    <row r="684" spans="2:8">
      <c r="B684" s="5"/>
      <c r="H684" s="16"/>
    </row>
    <row r="685" spans="2:8">
      <c r="B685" s="5"/>
      <c r="H685" s="16"/>
    </row>
    <row r="686" spans="2:8">
      <c r="B686" s="5"/>
      <c r="H686" s="16"/>
    </row>
    <row r="687" spans="2:8">
      <c r="B687" s="5"/>
      <c r="H687" s="16"/>
    </row>
    <row r="688" spans="2:8">
      <c r="B688" s="5"/>
      <c r="H688" s="16"/>
    </row>
    <row r="689" spans="2:8">
      <c r="B689" s="5"/>
      <c r="H689" s="16"/>
    </row>
    <row r="690" spans="2:8">
      <c r="B690" s="5"/>
      <c r="H690" s="16"/>
    </row>
    <row r="691" spans="2:8">
      <c r="B691" s="5"/>
      <c r="H691" s="16"/>
    </row>
    <row r="692" spans="2:8">
      <c r="B692" s="5"/>
      <c r="H692" s="16"/>
    </row>
    <row r="693" spans="2:8">
      <c r="B693" s="5"/>
      <c r="H693" s="16"/>
    </row>
    <row r="694" spans="2:8">
      <c r="B694" s="5"/>
      <c r="H694" s="16"/>
    </row>
    <row r="695" spans="2:8">
      <c r="B695" s="5"/>
      <c r="H695" s="16"/>
    </row>
    <row r="696" spans="2:8">
      <c r="B696" s="5"/>
      <c r="H696" s="16"/>
    </row>
    <row r="697" spans="2:8">
      <c r="B697" s="5"/>
      <c r="H697" s="16"/>
    </row>
    <row r="698" spans="2:8">
      <c r="B698" s="5"/>
      <c r="H698" s="16"/>
    </row>
    <row r="699" spans="2:8">
      <c r="B699" s="5"/>
      <c r="H699" s="16"/>
    </row>
    <row r="700" spans="2:8">
      <c r="B700" s="5"/>
      <c r="H700" s="16"/>
    </row>
    <row r="701" spans="2:8">
      <c r="B701" s="5"/>
      <c r="H701" s="16"/>
    </row>
    <row r="702" spans="2:8">
      <c r="B702" s="5"/>
      <c r="H702" s="16"/>
    </row>
    <row r="703" spans="2:8">
      <c r="B703" s="5"/>
      <c r="H703" s="16"/>
    </row>
    <row r="704" spans="2:8">
      <c r="B704" s="5"/>
      <c r="H704" s="16"/>
    </row>
    <row r="705" spans="2:8">
      <c r="B705" s="5"/>
      <c r="H705" s="16"/>
    </row>
    <row r="706" spans="2:8">
      <c r="B706" s="5"/>
      <c r="H706" s="16"/>
    </row>
    <row r="707" spans="2:8">
      <c r="B707" s="5"/>
      <c r="H707" s="16"/>
    </row>
    <row r="708" spans="2:8">
      <c r="B708" s="5"/>
      <c r="H708" s="16"/>
    </row>
    <row r="709" spans="2:8">
      <c r="B709" s="5"/>
      <c r="H709" s="16"/>
    </row>
    <row r="710" spans="2:8">
      <c r="B710" s="5"/>
      <c r="H710" s="16"/>
    </row>
    <row r="711" spans="2:8">
      <c r="B711" s="5"/>
      <c r="H711" s="16"/>
    </row>
    <row r="712" spans="2:8">
      <c r="B712" s="5"/>
      <c r="H712" s="16"/>
    </row>
    <row r="713" spans="2:8">
      <c r="B713" s="5"/>
      <c r="H713" s="16"/>
    </row>
    <row r="714" spans="2:8">
      <c r="B714" s="5"/>
      <c r="H714" s="16"/>
    </row>
    <row r="715" spans="2:8">
      <c r="B715" s="5"/>
      <c r="H715" s="16"/>
    </row>
    <row r="716" spans="2:8">
      <c r="B716" s="5"/>
      <c r="H716" s="16"/>
    </row>
    <row r="717" spans="2:8">
      <c r="B717" s="5"/>
      <c r="H717" s="16"/>
    </row>
    <row r="718" spans="2:8">
      <c r="B718" s="5"/>
      <c r="H718" s="16"/>
    </row>
    <row r="719" spans="2:8">
      <c r="B719" s="5"/>
      <c r="H719" s="16"/>
    </row>
    <row r="720" spans="2:8">
      <c r="B720" s="5"/>
      <c r="H720" s="16"/>
    </row>
    <row r="721" spans="2:8">
      <c r="B721" s="5"/>
      <c r="H721" s="16"/>
    </row>
    <row r="722" spans="2:8">
      <c r="B722" s="5"/>
      <c r="H722" s="16"/>
    </row>
    <row r="723" spans="2:8">
      <c r="B723" s="5"/>
      <c r="H723" s="16"/>
    </row>
    <row r="724" spans="2:8">
      <c r="B724" s="5"/>
      <c r="H724" s="16"/>
    </row>
    <row r="725" spans="2:8">
      <c r="B725" s="5"/>
      <c r="H725" s="16"/>
    </row>
    <row r="726" spans="2:8">
      <c r="B726" s="5"/>
      <c r="H726" s="16"/>
    </row>
    <row r="727" spans="2:8">
      <c r="B727" s="5"/>
      <c r="H727" s="16"/>
    </row>
    <row r="728" spans="2:8">
      <c r="B728" s="5"/>
      <c r="H728" s="16"/>
    </row>
    <row r="729" spans="2:8">
      <c r="B729" s="5"/>
      <c r="H729" s="16"/>
    </row>
    <row r="730" spans="2:8">
      <c r="B730" s="5"/>
      <c r="H730" s="16"/>
    </row>
    <row r="731" spans="2:8">
      <c r="B731" s="5"/>
      <c r="H731" s="16"/>
    </row>
    <row r="732" spans="2:8">
      <c r="B732" s="5"/>
      <c r="H732" s="16"/>
    </row>
    <row r="733" spans="2:8">
      <c r="B733" s="5"/>
      <c r="H733" s="16"/>
    </row>
    <row r="734" spans="2:8">
      <c r="B734" s="5"/>
      <c r="H734" s="16"/>
    </row>
    <row r="735" spans="2:8">
      <c r="B735" s="5"/>
      <c r="H735" s="16"/>
    </row>
    <row r="736" spans="2:8">
      <c r="B736" s="5"/>
      <c r="H736" s="16"/>
    </row>
    <row r="737" spans="2:8">
      <c r="B737" s="5"/>
      <c r="H737" s="16"/>
    </row>
    <row r="738" spans="2:8">
      <c r="B738" s="5"/>
      <c r="H738" s="16"/>
    </row>
    <row r="739" spans="2:8">
      <c r="B739" s="5"/>
      <c r="H739" s="16"/>
    </row>
    <row r="740" spans="2:8">
      <c r="B740" s="5"/>
      <c r="H740" s="16"/>
    </row>
    <row r="741" spans="2:8">
      <c r="B741" s="5"/>
      <c r="H741" s="16"/>
    </row>
    <row r="742" spans="2:8">
      <c r="B742" s="5"/>
      <c r="H742" s="16"/>
    </row>
    <row r="743" spans="2:8">
      <c r="B743" s="5"/>
      <c r="H743" s="16"/>
    </row>
    <row r="744" spans="2:8">
      <c r="B744" s="5"/>
      <c r="H744" s="16"/>
    </row>
    <row r="745" spans="2:8">
      <c r="B745" s="5"/>
      <c r="H745" s="16"/>
    </row>
    <row r="746" spans="2:8">
      <c r="B746" s="5"/>
      <c r="H746" s="16"/>
    </row>
    <row r="747" spans="2:8">
      <c r="B747" s="5"/>
      <c r="H747" s="16"/>
    </row>
    <row r="748" spans="2:8">
      <c r="B748" s="5"/>
      <c r="H748" s="16"/>
    </row>
    <row r="749" spans="2:8">
      <c r="B749" s="5"/>
      <c r="H749" s="16"/>
    </row>
    <row r="750" spans="2:8">
      <c r="B750" s="5"/>
      <c r="H750" s="16"/>
    </row>
    <row r="751" spans="2:8">
      <c r="B751" s="5"/>
      <c r="H751" s="16"/>
    </row>
    <row r="752" spans="2:8">
      <c r="B752" s="5"/>
      <c r="H752" s="16"/>
    </row>
    <row r="753" spans="2:8">
      <c r="B753" s="5"/>
      <c r="H753" s="16"/>
    </row>
    <row r="754" spans="2:8">
      <c r="B754" s="5"/>
      <c r="H754" s="16"/>
    </row>
    <row r="755" spans="2:8">
      <c r="B755" s="5"/>
      <c r="H755" s="16"/>
    </row>
    <row r="756" spans="2:8">
      <c r="B756" s="5"/>
      <c r="H756" s="16"/>
    </row>
    <row r="757" spans="2:8">
      <c r="B757" s="5"/>
      <c r="H757" s="16"/>
    </row>
    <row r="758" spans="2:8">
      <c r="B758" s="5"/>
      <c r="H758" s="16"/>
    </row>
    <row r="759" spans="2:8">
      <c r="B759" s="5"/>
      <c r="H759" s="16"/>
    </row>
    <row r="760" spans="2:8">
      <c r="B760" s="5"/>
      <c r="H760" s="16"/>
    </row>
    <row r="761" spans="2:8">
      <c r="B761" s="5"/>
      <c r="H761" s="16"/>
    </row>
    <row r="762" spans="2:8">
      <c r="B762" s="5"/>
      <c r="H762" s="16"/>
    </row>
    <row r="763" spans="2:8">
      <c r="B763" s="5"/>
      <c r="H763" s="16"/>
    </row>
    <row r="764" spans="2:8">
      <c r="B764" s="5"/>
      <c r="H764" s="16"/>
    </row>
    <row r="765" spans="2:8">
      <c r="B765" s="5"/>
      <c r="H765" s="16"/>
    </row>
    <row r="766" spans="2:8">
      <c r="B766" s="5"/>
      <c r="H766" s="16"/>
    </row>
    <row r="767" spans="2:8">
      <c r="B767" s="5"/>
      <c r="H767" s="16"/>
    </row>
    <row r="768" spans="2:8">
      <c r="B768" s="5"/>
      <c r="H768" s="16"/>
    </row>
    <row r="769" spans="2:8">
      <c r="B769" s="5"/>
      <c r="H769" s="16"/>
    </row>
    <row r="770" spans="2:8">
      <c r="B770" s="5"/>
      <c r="H770" s="16"/>
    </row>
    <row r="771" spans="2:8">
      <c r="B771" s="5"/>
      <c r="H771" s="16"/>
    </row>
    <row r="772" spans="2:8">
      <c r="B772" s="5"/>
      <c r="H772" s="16"/>
    </row>
    <row r="773" spans="2:8">
      <c r="B773" s="5"/>
      <c r="H773" s="16"/>
    </row>
    <row r="774" spans="2:8">
      <c r="B774" s="5"/>
      <c r="H774" s="16"/>
    </row>
    <row r="775" spans="2:8">
      <c r="B775" s="5"/>
      <c r="H775" s="16"/>
    </row>
    <row r="776" spans="2:8">
      <c r="B776" s="5"/>
      <c r="H776" s="16"/>
    </row>
    <row r="777" spans="2:8">
      <c r="B777" s="5"/>
      <c r="H777" s="16"/>
    </row>
    <row r="778" spans="2:8">
      <c r="B778" s="5"/>
      <c r="H778" s="16"/>
    </row>
    <row r="779" spans="2:8">
      <c r="B779" s="5"/>
      <c r="H779" s="16"/>
    </row>
    <row r="780" spans="2:8">
      <c r="B780" s="5"/>
      <c r="H780" s="16"/>
    </row>
    <row r="781" spans="2:8">
      <c r="B781" s="5"/>
      <c r="H781" s="16"/>
    </row>
    <row r="782" spans="2:8">
      <c r="B782" s="5"/>
      <c r="H782" s="16"/>
    </row>
    <row r="783" spans="2:8">
      <c r="B783" s="5"/>
      <c r="H783" s="16"/>
    </row>
    <row r="784" spans="2:8">
      <c r="B784" s="5"/>
      <c r="H784" s="16"/>
    </row>
    <row r="785" spans="2:8">
      <c r="B785" s="5"/>
      <c r="H785" s="16"/>
    </row>
    <row r="786" spans="2:8">
      <c r="B786" s="5"/>
      <c r="H786" s="16"/>
    </row>
    <row r="787" spans="2:8">
      <c r="B787" s="5"/>
      <c r="H787" s="16"/>
    </row>
    <row r="788" spans="2:8">
      <c r="B788" s="5"/>
      <c r="H788" s="16"/>
    </row>
    <row r="789" spans="2:8">
      <c r="B789" s="5"/>
      <c r="H789" s="16"/>
    </row>
    <row r="790" spans="2:8">
      <c r="B790" s="5"/>
      <c r="H790" s="16"/>
    </row>
    <row r="791" spans="2:8">
      <c r="B791" s="5"/>
      <c r="H791" s="16"/>
    </row>
    <row r="792" spans="2:8">
      <c r="B792" s="5"/>
      <c r="H792" s="16"/>
    </row>
    <row r="793" spans="2:8">
      <c r="B793" s="5"/>
      <c r="H793" s="16"/>
    </row>
    <row r="794" spans="2:8">
      <c r="B794" s="5"/>
      <c r="H794" s="16"/>
    </row>
    <row r="795" spans="2:8">
      <c r="B795" s="5"/>
      <c r="H795" s="16"/>
    </row>
    <row r="796" spans="2:8">
      <c r="B796" s="5"/>
      <c r="H796" s="16"/>
    </row>
    <row r="797" spans="2:8">
      <c r="B797" s="5"/>
      <c r="H797" s="16"/>
    </row>
    <row r="798" spans="2:8">
      <c r="B798" s="5"/>
      <c r="H798" s="16"/>
    </row>
    <row r="799" spans="2:8">
      <c r="B799" s="5"/>
      <c r="H799" s="16"/>
    </row>
    <row r="800" spans="2:8">
      <c r="B800" s="5"/>
      <c r="H800" s="16"/>
    </row>
    <row r="801" spans="2:8">
      <c r="B801" s="5"/>
      <c r="H801" s="16"/>
    </row>
    <row r="802" spans="2:8">
      <c r="B802" s="5"/>
      <c r="H802" s="16"/>
    </row>
    <row r="803" spans="2:8">
      <c r="B803" s="5"/>
      <c r="H803" s="16"/>
    </row>
    <row r="804" spans="2:8">
      <c r="B804" s="5"/>
      <c r="H804" s="16"/>
    </row>
    <row r="805" spans="2:8">
      <c r="B805" s="5"/>
      <c r="H805" s="16"/>
    </row>
    <row r="806" spans="2:8">
      <c r="B806" s="5"/>
      <c r="H806" s="16"/>
    </row>
    <row r="807" spans="2:8">
      <c r="B807" s="5"/>
      <c r="H807" s="16"/>
    </row>
    <row r="808" spans="2:8">
      <c r="B808" s="5"/>
      <c r="H808" s="16"/>
    </row>
    <row r="809" spans="2:8">
      <c r="B809" s="5"/>
      <c r="H809" s="16"/>
    </row>
    <row r="810" spans="2:8">
      <c r="B810" s="5"/>
      <c r="H810" s="16"/>
    </row>
    <row r="811" spans="2:8">
      <c r="B811" s="5"/>
      <c r="H811" s="16"/>
    </row>
    <row r="812" spans="2:8">
      <c r="B812" s="5"/>
      <c r="H812" s="16"/>
    </row>
    <row r="813" spans="2:8">
      <c r="B813" s="5"/>
      <c r="H813" s="16"/>
    </row>
    <row r="814" spans="2:8">
      <c r="B814" s="5"/>
      <c r="H814" s="16"/>
    </row>
    <row r="815" spans="2:8">
      <c r="B815" s="5"/>
      <c r="H815" s="16"/>
    </row>
    <row r="816" spans="2:8">
      <c r="B816" s="5"/>
      <c r="H816" s="16"/>
    </row>
    <row r="817" spans="2:8">
      <c r="B817" s="5"/>
      <c r="H817" s="16"/>
    </row>
    <row r="818" spans="2:8">
      <c r="B818" s="5"/>
      <c r="H818" s="16"/>
    </row>
    <row r="819" spans="2:8">
      <c r="B819" s="5"/>
      <c r="H819" s="16"/>
    </row>
    <row r="820" spans="2:8">
      <c r="B820" s="5"/>
      <c r="H820" s="16"/>
    </row>
    <row r="821" spans="2:8">
      <c r="B821" s="5"/>
      <c r="H821" s="16"/>
    </row>
    <row r="822" spans="2:8">
      <c r="B822" s="5"/>
      <c r="H822" s="16"/>
    </row>
    <row r="823" spans="2:8">
      <c r="B823" s="5"/>
      <c r="H823" s="16"/>
    </row>
    <row r="824" spans="2:8">
      <c r="B824" s="5"/>
      <c r="H824" s="16"/>
    </row>
    <row r="825" spans="2:8">
      <c r="B825" s="5"/>
      <c r="H825" s="16"/>
    </row>
    <row r="826" spans="2:8">
      <c r="B826" s="5"/>
      <c r="H826" s="16"/>
    </row>
    <row r="827" spans="2:8">
      <c r="B827" s="5"/>
      <c r="H827" s="16"/>
    </row>
    <row r="828" spans="2:8">
      <c r="B828" s="5"/>
      <c r="H828" s="16"/>
    </row>
    <row r="829" spans="2:8">
      <c r="B829" s="5"/>
      <c r="H829" s="16"/>
    </row>
    <row r="830" spans="2:8">
      <c r="B830" s="5"/>
      <c r="H830" s="16"/>
    </row>
    <row r="831" spans="2:8">
      <c r="B831" s="5"/>
      <c r="H831" s="16"/>
    </row>
    <row r="832" spans="2:8">
      <c r="B832" s="5"/>
      <c r="H832" s="16"/>
    </row>
    <row r="833" spans="2:8">
      <c r="B833" s="5"/>
      <c r="H833" s="16"/>
    </row>
    <row r="834" spans="2:8">
      <c r="B834" s="5"/>
      <c r="H834" s="16"/>
    </row>
    <row r="835" spans="2:8">
      <c r="B835" s="5"/>
      <c r="H835" s="16"/>
    </row>
    <row r="836" spans="2:8">
      <c r="B836" s="5"/>
      <c r="H836" s="16"/>
    </row>
    <row r="837" spans="2:8">
      <c r="B837" s="5"/>
      <c r="H837" s="16"/>
    </row>
    <row r="838" spans="2:8">
      <c r="B838" s="5"/>
      <c r="H838" s="16"/>
    </row>
    <row r="839" spans="2:8">
      <c r="B839" s="5"/>
      <c r="H839" s="16"/>
    </row>
    <row r="840" spans="2:8">
      <c r="B840" s="5"/>
      <c r="H840" s="16"/>
    </row>
    <row r="841" spans="2:8">
      <c r="B841" s="5"/>
      <c r="H841" s="16"/>
    </row>
    <row r="842" spans="2:8">
      <c r="B842" s="5"/>
      <c r="H842" s="16"/>
    </row>
    <row r="843" spans="2:8">
      <c r="B843" s="5"/>
      <c r="H843" s="16"/>
    </row>
    <row r="844" spans="2:8">
      <c r="B844" s="5"/>
      <c r="H844" s="16"/>
    </row>
    <row r="845" spans="2:8">
      <c r="B845" s="5"/>
      <c r="H845" s="16"/>
    </row>
    <row r="846" spans="2:8">
      <c r="B846" s="5"/>
      <c r="H846" s="16"/>
    </row>
    <row r="847" spans="2:8">
      <c r="B847" s="5"/>
      <c r="H847" s="16"/>
    </row>
    <row r="848" spans="2:8">
      <c r="B848" s="5"/>
      <c r="H848" s="16"/>
    </row>
    <row r="849" spans="2:8">
      <c r="B849" s="5"/>
      <c r="H849" s="16"/>
    </row>
    <row r="850" spans="2:8">
      <c r="B850" s="5"/>
      <c r="H850" s="16"/>
    </row>
    <row r="851" spans="2:8">
      <c r="B851" s="5"/>
      <c r="H851" s="16"/>
    </row>
    <row r="852" spans="2:8">
      <c r="B852" s="5"/>
      <c r="H852" s="16"/>
    </row>
    <row r="853" spans="2:8">
      <c r="B853" s="5"/>
      <c r="H853" s="16"/>
    </row>
    <row r="854" spans="2:8">
      <c r="B854" s="5"/>
      <c r="H854" s="16"/>
    </row>
    <row r="855" spans="2:8">
      <c r="B855" s="5"/>
      <c r="H855" s="16"/>
    </row>
    <row r="856" spans="2:8">
      <c r="B856" s="5"/>
      <c r="H856" s="16"/>
    </row>
    <row r="857" spans="2:8">
      <c r="B857" s="5"/>
      <c r="H857" s="16"/>
    </row>
    <row r="858" spans="2:8">
      <c r="B858" s="5"/>
      <c r="H858" s="16"/>
    </row>
    <row r="859" spans="2:8">
      <c r="B859" s="5"/>
      <c r="H859" s="16"/>
    </row>
    <row r="860" spans="2:8">
      <c r="B860" s="5"/>
      <c r="H860" s="16"/>
    </row>
    <row r="861" spans="2:8">
      <c r="B861" s="5"/>
      <c r="H861" s="16"/>
    </row>
    <row r="862" spans="2:8">
      <c r="B862" s="5"/>
      <c r="H862" s="16"/>
    </row>
    <row r="863" spans="2:8">
      <c r="B863" s="5"/>
      <c r="H863" s="16"/>
    </row>
    <row r="864" spans="2:8">
      <c r="B864" s="5"/>
      <c r="H864" s="16"/>
    </row>
    <row r="865" spans="2:8">
      <c r="B865" s="5"/>
      <c r="H865" s="16"/>
    </row>
    <row r="866" spans="2:8">
      <c r="B866" s="5"/>
      <c r="H866" s="16"/>
    </row>
    <row r="867" spans="2:8">
      <c r="B867" s="5"/>
      <c r="H867" s="16"/>
    </row>
    <row r="868" spans="2:8">
      <c r="B868" s="5"/>
      <c r="H868" s="16"/>
    </row>
    <row r="869" spans="2:8">
      <c r="B869" s="5"/>
      <c r="H869" s="16"/>
    </row>
    <row r="870" spans="2:8">
      <c r="B870" s="5"/>
      <c r="H870" s="16"/>
    </row>
    <row r="871" spans="2:8">
      <c r="B871" s="5"/>
      <c r="H871" s="16"/>
    </row>
    <row r="872" spans="2:8">
      <c r="B872" s="5"/>
      <c r="H872" s="16"/>
    </row>
    <row r="873" spans="2:8">
      <c r="B873" s="5"/>
      <c r="H873" s="16"/>
    </row>
    <row r="874" spans="2:8">
      <c r="B874" s="5"/>
      <c r="H874" s="16"/>
    </row>
    <row r="875" spans="2:8">
      <c r="B875" s="5"/>
      <c r="H875" s="16"/>
    </row>
    <row r="876" spans="2:8">
      <c r="B876" s="5"/>
      <c r="H876" s="16"/>
    </row>
    <row r="877" spans="2:8">
      <c r="B877" s="5"/>
      <c r="H877" s="16"/>
    </row>
    <row r="878" spans="2:8">
      <c r="B878" s="5"/>
      <c r="H878" s="16"/>
    </row>
    <row r="879" spans="2:8">
      <c r="B879" s="5"/>
      <c r="H879" s="16"/>
    </row>
    <row r="880" spans="2:8">
      <c r="B880" s="5"/>
      <c r="H880" s="16"/>
    </row>
    <row r="881" spans="2:8">
      <c r="B881" s="5"/>
      <c r="H881" s="16"/>
    </row>
    <row r="882" spans="2:8">
      <c r="B882" s="5"/>
      <c r="H882" s="16"/>
    </row>
    <row r="883" spans="2:8">
      <c r="B883" s="5"/>
      <c r="H883" s="16"/>
    </row>
    <row r="884" spans="2:8">
      <c r="B884" s="5"/>
      <c r="H884" s="16"/>
    </row>
    <row r="885" spans="2:8">
      <c r="B885" s="5"/>
      <c r="H885" s="16"/>
    </row>
    <row r="886" spans="2:8">
      <c r="B886" s="5"/>
      <c r="H886" s="16"/>
    </row>
    <row r="887" spans="2:8">
      <c r="B887" s="5"/>
      <c r="H887" s="16"/>
    </row>
    <row r="888" spans="2:8">
      <c r="B888" s="5"/>
      <c r="H888" s="16"/>
    </row>
    <row r="889" spans="2:8">
      <c r="B889" s="5"/>
      <c r="H889" s="16"/>
    </row>
    <row r="890" spans="2:8">
      <c r="B890" s="5"/>
      <c r="H890" s="16"/>
    </row>
    <row r="891" spans="2:8">
      <c r="B891" s="5"/>
      <c r="H891" s="16"/>
    </row>
  </sheetData>
  <mergeCells count="25">
    <mergeCell ref="C49:F49"/>
    <mergeCell ref="C44:F44"/>
    <mergeCell ref="C45:F45"/>
    <mergeCell ref="C46:F46"/>
    <mergeCell ref="C47:F47"/>
    <mergeCell ref="C48:F48"/>
    <mergeCell ref="A4:H4"/>
    <mergeCell ref="A38:F38"/>
    <mergeCell ref="C41:F41"/>
    <mergeCell ref="C42:F42"/>
    <mergeCell ref="C43:F43"/>
    <mergeCell ref="A10:F10"/>
    <mergeCell ref="A17:F17"/>
    <mergeCell ref="A23:F23"/>
    <mergeCell ref="A29:F29"/>
    <mergeCell ref="A35:F35"/>
    <mergeCell ref="G41:H41"/>
    <mergeCell ref="G42:H42"/>
    <mergeCell ref="G43:H43"/>
    <mergeCell ref="G49:H49"/>
    <mergeCell ref="G44:H44"/>
    <mergeCell ref="G45:H45"/>
    <mergeCell ref="G46:H46"/>
    <mergeCell ref="G47:H47"/>
    <mergeCell ref="G48:H48"/>
  </mergeCells>
  <phoneticPr fontId="24" type="noConversion"/>
  <dataValidations count="1">
    <dataValidation type="list" allowBlank="1" showInputMessage="1" showErrorMessage="1" sqref="B42:B48" xr:uid="{00000000-0002-0000-0600-000000000000}">
      <formula1>$L$41:$L$45</formula1>
    </dataValidation>
  </dataValidations>
  <printOptions horizontalCentered="1"/>
  <pageMargins left="0.45" right="0.45" top="0.5" bottom="0.5" header="0.3" footer="0.3"/>
  <pageSetup scale="5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L892"/>
  <sheetViews>
    <sheetView showZeros="0" zoomScale="65" zoomScaleNormal="65" workbookViewId="0">
      <selection activeCell="A11" sqref="A11"/>
    </sheetView>
  </sheetViews>
  <sheetFormatPr defaultColWidth="10.875" defaultRowHeight="18.95"/>
  <cols>
    <col min="1" max="1" width="35.625" customWidth="1"/>
    <col min="2" max="2" width="14.625" style="16" customWidth="1"/>
    <col min="3" max="7" width="15.875" style="5" customWidth="1"/>
    <col min="8" max="8" width="16.625" style="17" customWidth="1"/>
    <col min="9" max="9" width="10.875" style="5"/>
    <col min="10" max="12" width="0" style="5" hidden="1" customWidth="1"/>
    <col min="13" max="16384" width="10.875" style="5"/>
  </cols>
  <sheetData>
    <row r="1" spans="1:10" customFormat="1" ht="15.95">
      <c r="A1" s="41"/>
      <c r="B1" s="42"/>
      <c r="C1" s="43"/>
      <c r="D1" s="43"/>
      <c r="E1" s="45" t="s">
        <v>25</v>
      </c>
      <c r="F1" s="43"/>
      <c r="G1" s="45" t="s">
        <v>26</v>
      </c>
      <c r="H1" s="44"/>
    </row>
    <row r="2" spans="1:10">
      <c r="A2" s="30"/>
      <c r="B2" s="18" t="s">
        <v>27</v>
      </c>
      <c r="C2" s="18" t="s">
        <v>28</v>
      </c>
      <c r="D2" s="18" t="s">
        <v>65</v>
      </c>
      <c r="E2" s="18" t="s">
        <v>30</v>
      </c>
      <c r="F2" s="18" t="s">
        <v>66</v>
      </c>
      <c r="G2" s="18" t="s">
        <v>32</v>
      </c>
      <c r="H2" s="18" t="s">
        <v>33</v>
      </c>
    </row>
    <row r="3" spans="1:10" ht="21" customHeight="1">
      <c r="A3" s="31" t="s">
        <v>7</v>
      </c>
      <c r="B3" s="6">
        <f>'Week 6'!H3+1</f>
        <v>45935</v>
      </c>
      <c r="C3" s="6">
        <f t="shared" ref="C3:H3" si="0">B3+1</f>
        <v>45936</v>
      </c>
      <c r="D3" s="6">
        <f t="shared" si="0"/>
        <v>45937</v>
      </c>
      <c r="E3" s="6">
        <f t="shared" si="0"/>
        <v>45938</v>
      </c>
      <c r="F3" s="6">
        <f t="shared" si="0"/>
        <v>45939</v>
      </c>
      <c r="G3" s="6">
        <f t="shared" si="0"/>
        <v>45940</v>
      </c>
      <c r="H3" s="6">
        <f t="shared" si="0"/>
        <v>45941</v>
      </c>
    </row>
    <row r="4" spans="1:10" s="7" customFormat="1">
      <c r="A4" s="181" t="s">
        <v>34</v>
      </c>
      <c r="B4" s="181"/>
      <c r="C4" s="181"/>
      <c r="D4" s="181"/>
      <c r="E4" s="181"/>
      <c r="F4" s="181"/>
      <c r="G4" s="181"/>
      <c r="H4" s="181"/>
    </row>
    <row r="5" spans="1:10" s="7" customFormat="1" ht="26.1" customHeight="1">
      <c r="A5" s="32" t="s">
        <v>8</v>
      </c>
      <c r="B5" s="27"/>
      <c r="C5" s="27"/>
      <c r="D5" s="27"/>
      <c r="E5" s="27"/>
      <c r="F5" s="27"/>
      <c r="G5" s="27"/>
      <c r="H5" s="27"/>
    </row>
    <row r="6" spans="1:10" s="7" customFormat="1" ht="26.1" customHeight="1">
      <c r="A6" s="4" t="s">
        <v>23</v>
      </c>
      <c r="B6" s="62"/>
      <c r="C6" s="62"/>
      <c r="D6" s="62"/>
      <c r="E6" s="27"/>
      <c r="F6" s="62"/>
      <c r="G6" s="62"/>
      <c r="H6" s="62"/>
    </row>
    <row r="7" spans="1:10" s="7" customFormat="1" ht="21.95" customHeight="1">
      <c r="A7" s="32" t="s">
        <v>35</v>
      </c>
      <c r="B7" s="27"/>
      <c r="C7" s="28"/>
      <c r="D7" s="28"/>
      <c r="E7" s="27"/>
      <c r="F7" s="28"/>
      <c r="G7" s="28"/>
      <c r="H7" s="27"/>
    </row>
    <row r="8" spans="1:10" s="7" customFormat="1" ht="24.95" customHeight="1" thickBot="1">
      <c r="A8" s="83" t="s">
        <v>36</v>
      </c>
      <c r="B8" s="84">
        <f t="shared" ref="B8:H8" si="1">B5+B6+B7</f>
        <v>0</v>
      </c>
      <c r="C8" s="84">
        <f t="shared" si="1"/>
        <v>0</v>
      </c>
      <c r="D8" s="84">
        <f t="shared" si="1"/>
        <v>0</v>
      </c>
      <c r="E8" s="27">
        <f t="shared" si="1"/>
        <v>0</v>
      </c>
      <c r="F8" s="84">
        <f t="shared" si="1"/>
        <v>0</v>
      </c>
      <c r="G8" s="84">
        <f t="shared" si="1"/>
        <v>0</v>
      </c>
      <c r="H8" s="84">
        <f t="shared" si="1"/>
        <v>0</v>
      </c>
    </row>
    <row r="9" spans="1:10" s="7" customFormat="1" ht="24.95" customHeight="1" thickBot="1">
      <c r="A9" s="33"/>
      <c r="B9" s="29"/>
      <c r="C9" s="29"/>
      <c r="D9" s="29"/>
      <c r="E9" s="27"/>
      <c r="F9" s="29"/>
      <c r="G9" s="63" t="s">
        <v>37</v>
      </c>
      <c r="H9" s="64">
        <f>SUM(B8:H8)</f>
        <v>0</v>
      </c>
    </row>
    <row r="10" spans="1:10" s="7" customFormat="1" ht="21" thickTop="1" thickBot="1">
      <c r="A10" s="182" t="s">
        <v>38</v>
      </c>
      <c r="B10" s="183"/>
      <c r="C10" s="183"/>
      <c r="D10" s="183"/>
      <c r="E10" s="183"/>
      <c r="F10" s="183"/>
      <c r="G10" s="65" t="s">
        <v>39</v>
      </c>
      <c r="H10" s="66">
        <v>-0.08</v>
      </c>
      <c r="I10" s="5"/>
      <c r="J10" s="26"/>
    </row>
    <row r="11" spans="1:10" s="7" customFormat="1" ht="30" customHeight="1">
      <c r="A11" s="39" t="s">
        <v>8</v>
      </c>
      <c r="B11" s="9"/>
      <c r="C11" s="9"/>
      <c r="D11" s="67"/>
      <c r="E11" s="67"/>
      <c r="F11" s="9"/>
      <c r="G11" s="68"/>
      <c r="H11" s="69"/>
    </row>
    <row r="12" spans="1:10" s="7" customFormat="1" ht="30" customHeight="1">
      <c r="A12" s="70" t="s">
        <v>23</v>
      </c>
      <c r="B12" s="59"/>
      <c r="C12" s="58"/>
      <c r="D12" s="58"/>
      <c r="E12" s="58"/>
      <c r="F12" s="58"/>
      <c r="G12" s="58"/>
      <c r="H12" s="59"/>
    </row>
    <row r="13" spans="1:10" s="7" customFormat="1" ht="30" customHeight="1">
      <c r="A13" s="3" t="s">
        <v>35</v>
      </c>
      <c r="B13" s="8"/>
      <c r="C13" s="8"/>
      <c r="D13" s="8"/>
      <c r="E13" s="8"/>
      <c r="F13" s="8"/>
      <c r="G13" s="8"/>
      <c r="H13" s="8"/>
    </row>
    <row r="14" spans="1:10" s="7" customFormat="1" ht="27" customHeight="1" thickBot="1">
      <c r="A14" s="85" t="s">
        <v>36</v>
      </c>
      <c r="B14" s="87">
        <f t="shared" ref="B14:H14" si="2">SUM(B11:B13)</f>
        <v>0</v>
      </c>
      <c r="C14" s="87">
        <f t="shared" si="2"/>
        <v>0</v>
      </c>
      <c r="D14" s="87">
        <f t="shared" si="2"/>
        <v>0</v>
      </c>
      <c r="E14" s="87">
        <f t="shared" si="2"/>
        <v>0</v>
      </c>
      <c r="F14" s="87">
        <f t="shared" si="2"/>
        <v>0</v>
      </c>
      <c r="G14" s="87">
        <f t="shared" si="2"/>
        <v>0</v>
      </c>
      <c r="H14" s="87">
        <f t="shared" si="2"/>
        <v>0</v>
      </c>
    </row>
    <row r="15" spans="1:10" s="7" customFormat="1" ht="24.95" customHeight="1" thickBot="1">
      <c r="A15" s="86" t="s">
        <v>40</v>
      </c>
      <c r="B15" s="92" t="e">
        <f t="shared" ref="B15:H15" si="3">(B14-B8)/B8</f>
        <v>#DIV/0!</v>
      </c>
      <c r="C15" s="93" t="e">
        <f t="shared" si="3"/>
        <v>#DIV/0!</v>
      </c>
      <c r="D15" s="93" t="e">
        <f t="shared" si="3"/>
        <v>#DIV/0!</v>
      </c>
      <c r="E15" s="93" t="e">
        <f t="shared" si="3"/>
        <v>#DIV/0!</v>
      </c>
      <c r="F15" s="93" t="e">
        <f t="shared" si="3"/>
        <v>#DIV/0!</v>
      </c>
      <c r="G15" s="93" t="e">
        <f t="shared" si="3"/>
        <v>#DIV/0!</v>
      </c>
      <c r="H15" s="94" t="e">
        <f t="shared" si="3"/>
        <v>#DIV/0!</v>
      </c>
      <c r="I15" s="71"/>
    </row>
    <row r="16" spans="1:10" ht="30" customHeight="1" thickBot="1">
      <c r="B16" s="88"/>
      <c r="C16" s="88"/>
      <c r="D16" s="88"/>
      <c r="E16" s="88"/>
      <c r="F16" s="89"/>
      <c r="G16" s="90" t="s">
        <v>37</v>
      </c>
      <c r="H16" s="91">
        <f>SUM(B14:H14)</f>
        <v>0</v>
      </c>
    </row>
    <row r="17" spans="1:8" s="7" customFormat="1" ht="21.95" thickTop="1" thickBot="1">
      <c r="A17" s="184" t="s">
        <v>41</v>
      </c>
      <c r="B17" s="185"/>
      <c r="C17" s="185"/>
      <c r="D17" s="185"/>
      <c r="E17" s="185"/>
      <c r="F17" s="185"/>
      <c r="G17" s="72" t="s">
        <v>42</v>
      </c>
      <c r="H17" s="66" t="e">
        <f>(H16-H9)/H9</f>
        <v>#DIV/0!</v>
      </c>
    </row>
    <row r="18" spans="1:8" s="7" customFormat="1" ht="30" customHeight="1">
      <c r="A18" s="35" t="s">
        <v>43</v>
      </c>
      <c r="B18" s="12"/>
      <c r="C18" s="12"/>
      <c r="D18" s="73"/>
      <c r="E18" s="73"/>
      <c r="F18" s="12"/>
      <c r="G18" s="24"/>
      <c r="H18" s="74"/>
    </row>
    <row r="19" spans="1:8" s="7" customFormat="1" ht="30" customHeight="1">
      <c r="A19" s="35" t="str">
        <f>'Week 6'!A25</f>
        <v>Non Meal Plan Meals</v>
      </c>
      <c r="B19" s="12"/>
      <c r="C19" s="12"/>
      <c r="D19" s="73"/>
      <c r="E19" s="73"/>
      <c r="F19" s="12"/>
      <c r="G19" s="24"/>
      <c r="H19" s="74"/>
    </row>
    <row r="20" spans="1:8" s="7" customFormat="1" ht="30" customHeight="1">
      <c r="A20" s="35" t="str">
        <f>'Week 6'!A26</f>
        <v xml:space="preserve">Meal numbers </v>
      </c>
      <c r="B20" s="95"/>
      <c r="C20" s="95"/>
      <c r="D20" s="67"/>
      <c r="E20" s="67"/>
      <c r="F20" s="95"/>
      <c r="G20" s="95"/>
      <c r="H20" s="75"/>
    </row>
    <row r="21" spans="1:8" s="7" customFormat="1" ht="24.95" customHeight="1" thickBot="1">
      <c r="A21" s="36" t="s">
        <v>45</v>
      </c>
      <c r="B21" s="77">
        <f t="shared" ref="B21:H21" si="4">SUM(B18:B20)</f>
        <v>0</v>
      </c>
      <c r="C21" s="77">
        <f t="shared" si="4"/>
        <v>0</v>
      </c>
      <c r="D21" s="133">
        <f t="shared" si="4"/>
        <v>0</v>
      </c>
      <c r="E21" s="133">
        <f t="shared" si="4"/>
        <v>0</v>
      </c>
      <c r="F21" s="77">
        <f t="shared" si="4"/>
        <v>0</v>
      </c>
      <c r="G21" s="77">
        <f t="shared" si="4"/>
        <v>0</v>
      </c>
      <c r="H21" s="77">
        <f t="shared" si="4"/>
        <v>0</v>
      </c>
    </row>
    <row r="22" spans="1:8" s="7" customFormat="1" ht="24.95" customHeight="1" thickBot="1">
      <c r="A22" s="34" t="s">
        <v>40</v>
      </c>
      <c r="B22" s="92" t="e">
        <f>(B21-B5)/B5</f>
        <v>#DIV/0!</v>
      </c>
      <c r="C22" s="93" t="e">
        <f>(C21-C5)/C5</f>
        <v>#DIV/0!</v>
      </c>
      <c r="D22" s="99"/>
      <c r="E22" s="99"/>
      <c r="F22" s="93" t="e">
        <f>(F21-F5)/F5</f>
        <v>#DIV/0!</v>
      </c>
      <c r="G22" s="93" t="e">
        <f>(G21-G5)/G5</f>
        <v>#DIV/0!</v>
      </c>
      <c r="H22" s="94" t="e">
        <f>(H21-H5)/H5</f>
        <v>#DIV/0!</v>
      </c>
    </row>
    <row r="23" spans="1:8" s="7" customFormat="1">
      <c r="A23" s="186" t="s">
        <v>46</v>
      </c>
      <c r="B23" s="187"/>
      <c r="C23" s="187"/>
      <c r="D23" s="187"/>
      <c r="E23" s="187"/>
      <c r="F23" s="188" t="s">
        <v>47</v>
      </c>
      <c r="G23" s="97"/>
      <c r="H23" s="98"/>
    </row>
    <row r="24" spans="1:8" s="7" customFormat="1" ht="30" customHeight="1">
      <c r="A24" s="35" t="s">
        <v>43</v>
      </c>
      <c r="B24" s="11"/>
      <c r="C24" s="12"/>
      <c r="D24" s="12"/>
      <c r="E24" s="12"/>
      <c r="F24" s="12"/>
      <c r="G24" s="12"/>
      <c r="H24" s="11"/>
    </row>
    <row r="25" spans="1:8" s="7" customFormat="1" ht="30" customHeight="1">
      <c r="A25" s="35" t="str">
        <f>'Week 6'!A31</f>
        <v>Non Meal Plan Meals</v>
      </c>
      <c r="B25" s="117"/>
      <c r="C25" s="117"/>
      <c r="D25" s="117"/>
      <c r="E25" s="117"/>
      <c r="F25" s="117"/>
      <c r="G25" s="117"/>
      <c r="H25" s="117"/>
    </row>
    <row r="26" spans="1:8" s="7" customFormat="1" ht="30" customHeight="1">
      <c r="A26" s="35" t="str">
        <f>'Week 6'!A32</f>
        <v xml:space="preserve">Meal numbers </v>
      </c>
      <c r="B26" s="11"/>
      <c r="C26" s="11"/>
      <c r="D26" s="11"/>
      <c r="E26" s="11"/>
      <c r="F26" s="11"/>
      <c r="G26" s="11"/>
      <c r="H26" s="11"/>
    </row>
    <row r="27" spans="1:8" s="7" customFormat="1" ht="30" customHeight="1">
      <c r="A27" s="35" t="s">
        <v>96</v>
      </c>
      <c r="B27" s="134"/>
      <c r="C27" s="134"/>
      <c r="D27" s="134"/>
      <c r="E27" s="11"/>
      <c r="F27" s="134"/>
      <c r="G27" s="134"/>
      <c r="H27" s="134"/>
    </row>
    <row r="28" spans="1:8" s="7" customFormat="1" ht="27.95" customHeight="1" thickBot="1">
      <c r="A28" s="36" t="s">
        <v>50</v>
      </c>
      <c r="B28" s="100">
        <f>SUM(B24:B27)</f>
        <v>0</v>
      </c>
      <c r="C28" s="100">
        <f t="shared" ref="C28:H28" si="5">SUM(C24:C27)</f>
        <v>0</v>
      </c>
      <c r="D28" s="100">
        <f t="shared" si="5"/>
        <v>0</v>
      </c>
      <c r="E28" s="100">
        <f t="shared" si="5"/>
        <v>0</v>
      </c>
      <c r="F28" s="100">
        <f t="shared" si="5"/>
        <v>0</v>
      </c>
      <c r="G28" s="100">
        <f t="shared" si="5"/>
        <v>0</v>
      </c>
      <c r="H28" s="100">
        <f t="shared" si="5"/>
        <v>0</v>
      </c>
    </row>
    <row r="29" spans="1:8" s="7" customFormat="1" ht="24.95" customHeight="1" thickBot="1">
      <c r="A29" s="34" t="s">
        <v>40</v>
      </c>
      <c r="B29" s="92" t="e">
        <f t="shared" ref="B29:H29" si="6">(B28-B6)/B6</f>
        <v>#DIV/0!</v>
      </c>
      <c r="C29" s="93" t="e">
        <f t="shared" si="6"/>
        <v>#DIV/0!</v>
      </c>
      <c r="D29" s="93" t="e">
        <f t="shared" si="6"/>
        <v>#DIV/0!</v>
      </c>
      <c r="E29" s="93" t="e">
        <f t="shared" si="6"/>
        <v>#DIV/0!</v>
      </c>
      <c r="F29" s="93" t="e">
        <f t="shared" si="6"/>
        <v>#DIV/0!</v>
      </c>
      <c r="G29" s="93" t="e">
        <f t="shared" si="6"/>
        <v>#DIV/0!</v>
      </c>
      <c r="H29" s="94" t="e">
        <f t="shared" si="6"/>
        <v>#DIV/0!</v>
      </c>
    </row>
    <row r="30" spans="1:8" s="7" customFormat="1">
      <c r="A30" s="189" t="s">
        <v>51</v>
      </c>
      <c r="B30" s="190"/>
      <c r="C30" s="190"/>
      <c r="D30" s="190"/>
      <c r="E30" s="190"/>
      <c r="F30" s="191" t="s">
        <v>35</v>
      </c>
      <c r="G30" s="101"/>
      <c r="H30" s="102"/>
    </row>
    <row r="31" spans="1:8" s="7" customFormat="1" ht="30" customHeight="1">
      <c r="A31" s="35" t="s">
        <v>43</v>
      </c>
      <c r="B31" s="10"/>
      <c r="C31" s="9"/>
      <c r="D31" s="9"/>
      <c r="E31" s="9"/>
      <c r="F31" s="9"/>
      <c r="G31" s="9"/>
      <c r="H31" s="10"/>
    </row>
    <row r="32" spans="1:8" s="7" customFormat="1" ht="30" customHeight="1">
      <c r="A32" s="35" t="str">
        <f>A25</f>
        <v>Non Meal Plan Meals</v>
      </c>
      <c r="B32" s="60"/>
      <c r="C32" s="60"/>
      <c r="D32" s="60"/>
      <c r="E32" s="60"/>
      <c r="F32" s="60"/>
      <c r="G32" s="60"/>
      <c r="H32" s="60"/>
    </row>
    <row r="33" spans="1:12" s="7" customFormat="1" ht="30" customHeight="1">
      <c r="A33" s="35" t="str">
        <f>A26</f>
        <v xml:space="preserve">Meal numbers </v>
      </c>
      <c r="B33" s="10"/>
      <c r="C33" s="10"/>
      <c r="D33" s="10"/>
      <c r="E33" s="10"/>
      <c r="F33" s="10"/>
      <c r="G33" s="10"/>
      <c r="H33" s="10"/>
    </row>
    <row r="34" spans="1:12" s="7" customFormat="1" ht="30.95" customHeight="1" thickBot="1">
      <c r="A34" s="36" t="s">
        <v>53</v>
      </c>
      <c r="B34" s="103">
        <f t="shared" ref="B34:H34" si="7">SUM(B31:B33)</f>
        <v>0</v>
      </c>
      <c r="C34" s="103">
        <f t="shared" si="7"/>
        <v>0</v>
      </c>
      <c r="D34" s="103">
        <f t="shared" si="7"/>
        <v>0</v>
      </c>
      <c r="E34" s="103">
        <f t="shared" si="7"/>
        <v>0</v>
      </c>
      <c r="F34" s="103">
        <f t="shared" si="7"/>
        <v>0</v>
      </c>
      <c r="G34" s="103">
        <f t="shared" si="7"/>
        <v>0</v>
      </c>
      <c r="H34" s="103">
        <f t="shared" si="7"/>
        <v>0</v>
      </c>
    </row>
    <row r="35" spans="1:12" s="7" customFormat="1" ht="24.95" customHeight="1" thickBot="1">
      <c r="A35" s="34" t="s">
        <v>40</v>
      </c>
      <c r="B35" s="92" t="e">
        <f t="shared" ref="B35:H35" si="8">(B34-B7)/B7</f>
        <v>#DIV/0!</v>
      </c>
      <c r="C35" s="93" t="e">
        <f t="shared" si="8"/>
        <v>#DIV/0!</v>
      </c>
      <c r="D35" s="93" t="e">
        <f t="shared" si="8"/>
        <v>#DIV/0!</v>
      </c>
      <c r="E35" s="93" t="e">
        <f t="shared" si="8"/>
        <v>#DIV/0!</v>
      </c>
      <c r="F35" s="93" t="e">
        <f t="shared" si="8"/>
        <v>#DIV/0!</v>
      </c>
      <c r="G35" s="93" t="e">
        <f t="shared" si="8"/>
        <v>#DIV/0!</v>
      </c>
      <c r="H35" s="94" t="e">
        <f t="shared" si="8"/>
        <v>#DIV/0!</v>
      </c>
    </row>
    <row r="36" spans="1:12" s="7" customFormat="1">
      <c r="A36" s="192" t="s">
        <v>54</v>
      </c>
      <c r="B36" s="193"/>
      <c r="C36" s="193"/>
      <c r="D36" s="193"/>
      <c r="E36" s="193"/>
      <c r="F36" s="194" t="s">
        <v>35</v>
      </c>
      <c r="G36" s="104"/>
      <c r="H36" s="105"/>
    </row>
    <row r="37" spans="1:12" s="7" customFormat="1" ht="30.95" customHeight="1" thickBot="1">
      <c r="A37" s="78" t="s">
        <v>55</v>
      </c>
      <c r="B37" s="77">
        <f t="shared" ref="B37:H37" si="9">B34+B28+B21</f>
        <v>0</v>
      </c>
      <c r="C37" s="77">
        <f t="shared" si="9"/>
        <v>0</v>
      </c>
      <c r="D37" s="77">
        <f t="shared" si="9"/>
        <v>0</v>
      </c>
      <c r="E37" s="77">
        <f t="shared" si="9"/>
        <v>0</v>
      </c>
      <c r="F37" s="77">
        <f t="shared" si="9"/>
        <v>0</v>
      </c>
      <c r="G37" s="77">
        <f t="shared" si="9"/>
        <v>0</v>
      </c>
      <c r="H37" s="77">
        <f t="shared" si="9"/>
        <v>0</v>
      </c>
    </row>
    <row r="38" spans="1:12" s="7" customFormat="1" ht="24.95" customHeight="1" thickBot="1">
      <c r="A38" s="34" t="s">
        <v>40</v>
      </c>
      <c r="B38" s="92" t="e">
        <f t="shared" ref="B38:H38" si="10">(B37-B8)/B8</f>
        <v>#DIV/0!</v>
      </c>
      <c r="C38" s="93" t="e">
        <f t="shared" si="10"/>
        <v>#DIV/0!</v>
      </c>
      <c r="D38" s="93" t="e">
        <f t="shared" si="10"/>
        <v>#DIV/0!</v>
      </c>
      <c r="E38" s="93" t="e">
        <f t="shared" si="10"/>
        <v>#DIV/0!</v>
      </c>
      <c r="F38" s="93" t="e">
        <f t="shared" si="10"/>
        <v>#DIV/0!</v>
      </c>
      <c r="G38" s="93" t="e">
        <f t="shared" si="10"/>
        <v>#DIV/0!</v>
      </c>
      <c r="H38" s="94" t="e">
        <f t="shared" si="10"/>
        <v>#DIV/0!</v>
      </c>
    </row>
    <row r="39" spans="1:12" ht="30" customHeight="1" thickBot="1">
      <c r="A39" s="195"/>
      <c r="B39" s="196"/>
      <c r="C39" s="196"/>
      <c r="D39" s="196"/>
      <c r="E39" s="196"/>
      <c r="F39" s="196"/>
      <c r="G39" s="106" t="s">
        <v>37</v>
      </c>
      <c r="H39" s="107">
        <f>SUM(B37:H37)</f>
        <v>0</v>
      </c>
    </row>
    <row r="40" spans="1:12" s="7" customFormat="1" ht="24.95" customHeight="1" thickTop="1">
      <c r="A40" s="37"/>
      <c r="B40" s="25"/>
      <c r="C40" s="25"/>
      <c r="D40" s="25"/>
      <c r="E40" s="25"/>
      <c r="F40" s="25"/>
      <c r="G40" s="79" t="s">
        <v>40</v>
      </c>
      <c r="H40" s="80" t="e">
        <f>(H39-H9)/H9</f>
        <v>#DIV/0!</v>
      </c>
    </row>
    <row r="41" spans="1:12" s="7" customFormat="1" ht="24.95" customHeight="1" thickBot="1">
      <c r="A41" s="37"/>
      <c r="B41" s="25"/>
      <c r="C41" s="25"/>
      <c r="D41" s="25"/>
      <c r="E41" s="25"/>
      <c r="F41" s="25"/>
      <c r="G41" s="81" t="s">
        <v>56</v>
      </c>
      <c r="H41" s="82" t="e">
        <f>(H39-H16)/H16</f>
        <v>#DIV/0!</v>
      </c>
    </row>
    <row r="42" spans="1:12" s="46" customFormat="1" ht="23.1" customHeight="1">
      <c r="A42" s="40"/>
      <c r="B42" s="47" t="s">
        <v>57</v>
      </c>
      <c r="C42" s="197" t="s">
        <v>58</v>
      </c>
      <c r="D42" s="197"/>
      <c r="E42" s="197"/>
      <c r="F42" s="197"/>
      <c r="G42" s="198">
        <v>2020</v>
      </c>
      <c r="H42" s="199"/>
      <c r="I42" s="7"/>
    </row>
    <row r="43" spans="1:12" ht="30" customHeight="1">
      <c r="A43" s="1" t="s">
        <v>60</v>
      </c>
      <c r="B43" s="57" t="s">
        <v>59</v>
      </c>
      <c r="C43" s="215"/>
      <c r="D43" s="215"/>
      <c r="E43" s="215"/>
      <c r="F43" s="215"/>
      <c r="G43" s="206"/>
      <c r="H43" s="210"/>
      <c r="I43" s="7"/>
      <c r="J43" s="132"/>
      <c r="L43" s="7" t="s">
        <v>61</v>
      </c>
    </row>
    <row r="44" spans="1:12" ht="30" customHeight="1">
      <c r="A44" s="1" t="s">
        <v>1</v>
      </c>
      <c r="B44" s="57" t="s">
        <v>59</v>
      </c>
      <c r="C44" s="175"/>
      <c r="D44" s="175"/>
      <c r="E44" s="175"/>
      <c r="F44" s="175"/>
      <c r="G44" s="126"/>
      <c r="H44" s="126"/>
      <c r="I44" s="7"/>
      <c r="J44" s="126"/>
      <c r="L44" s="5" t="s">
        <v>62</v>
      </c>
    </row>
    <row r="45" spans="1:12" ht="45" customHeight="1">
      <c r="A45" s="1" t="s">
        <v>2</v>
      </c>
      <c r="B45" s="57" t="s">
        <v>59</v>
      </c>
      <c r="C45" s="216"/>
      <c r="D45" s="216"/>
      <c r="E45" s="216"/>
      <c r="F45" s="216"/>
      <c r="G45" s="206"/>
      <c r="H45" s="210"/>
      <c r="I45" s="7"/>
      <c r="J45" s="126"/>
      <c r="L45" s="5" t="s">
        <v>63</v>
      </c>
    </row>
    <row r="46" spans="1:12" ht="30" customHeight="1">
      <c r="A46" s="1" t="s">
        <v>3</v>
      </c>
      <c r="B46" s="57" t="s">
        <v>59</v>
      </c>
      <c r="C46" s="175"/>
      <c r="D46" s="175"/>
      <c r="E46" s="175"/>
      <c r="F46" s="175"/>
      <c r="G46" s="126"/>
      <c r="H46" s="126"/>
      <c r="I46" s="7"/>
      <c r="J46" s="126"/>
      <c r="L46" s="5" t="s">
        <v>64</v>
      </c>
    </row>
    <row r="47" spans="1:12" ht="30.95" customHeight="1">
      <c r="A47" s="1" t="s">
        <v>4</v>
      </c>
      <c r="B47" s="57" t="s">
        <v>59</v>
      </c>
      <c r="C47" s="175"/>
      <c r="D47" s="175"/>
      <c r="E47" s="175"/>
      <c r="F47" s="175"/>
      <c r="G47" s="206"/>
      <c r="H47" s="210"/>
      <c r="I47" s="7"/>
      <c r="J47" s="126"/>
    </row>
    <row r="48" spans="1:12" ht="30" customHeight="1">
      <c r="A48" s="1" t="s">
        <v>5</v>
      </c>
      <c r="B48" s="57" t="s">
        <v>59</v>
      </c>
      <c r="C48" s="175"/>
      <c r="D48" s="175"/>
      <c r="E48" s="175"/>
      <c r="F48" s="175"/>
      <c r="G48" s="126"/>
      <c r="H48" s="126"/>
      <c r="I48" s="7"/>
      <c r="J48" s="126"/>
    </row>
    <row r="49" spans="1:9" ht="30" customHeight="1">
      <c r="A49" s="1" t="s">
        <v>6</v>
      </c>
      <c r="B49" s="57" t="s">
        <v>59</v>
      </c>
      <c r="C49" s="175"/>
      <c r="D49" s="175"/>
      <c r="E49" s="175"/>
      <c r="F49" s="175"/>
      <c r="G49" s="176"/>
      <c r="H49" s="177"/>
      <c r="I49" s="7"/>
    </row>
    <row r="50" spans="1:9" ht="19.5" customHeight="1">
      <c r="A50" s="1"/>
      <c r="B50" s="14"/>
      <c r="C50" s="175"/>
      <c r="D50" s="175"/>
      <c r="E50" s="175"/>
      <c r="F50" s="175"/>
      <c r="G50" s="176"/>
      <c r="H50" s="177"/>
      <c r="I50" s="7"/>
    </row>
    <row r="51" spans="1:9">
      <c r="A51" s="30"/>
      <c r="B51" s="18" t="s">
        <v>27</v>
      </c>
      <c r="C51" s="18" t="s">
        <v>28</v>
      </c>
      <c r="D51" s="18" t="s">
        <v>65</v>
      </c>
      <c r="E51" s="18" t="s">
        <v>30</v>
      </c>
      <c r="F51" s="18" t="s">
        <v>66</v>
      </c>
      <c r="G51" s="18" t="s">
        <v>32</v>
      </c>
      <c r="H51" s="18" t="s">
        <v>33</v>
      </c>
      <c r="I51" s="7"/>
    </row>
    <row r="52" spans="1:9" ht="22.5" customHeight="1">
      <c r="A52" s="38" t="s">
        <v>97</v>
      </c>
      <c r="B52" s="13"/>
      <c r="C52" s="13"/>
      <c r="D52" s="13"/>
      <c r="E52" s="13"/>
      <c r="F52" s="13"/>
      <c r="G52" s="13"/>
      <c r="H52" s="13"/>
      <c r="I52" s="7"/>
    </row>
    <row r="53" spans="1:9" customFormat="1" ht="15.95">
      <c r="A53" s="48"/>
      <c r="B53" s="22"/>
      <c r="C53" s="21"/>
      <c r="D53" s="21"/>
      <c r="E53" s="21"/>
      <c r="F53" s="21"/>
      <c r="G53" s="23" t="s">
        <v>37</v>
      </c>
      <c r="H53" s="23">
        <f>SUM(B52:H52)</f>
        <v>0</v>
      </c>
    </row>
    <row r="54" spans="1:9">
      <c r="A54" s="30"/>
      <c r="B54" s="18" t="s">
        <v>27</v>
      </c>
      <c r="C54" s="18" t="s">
        <v>28</v>
      </c>
      <c r="D54" s="18" t="s">
        <v>65</v>
      </c>
      <c r="E54" s="18" t="s">
        <v>30</v>
      </c>
      <c r="F54" s="18" t="s">
        <v>66</v>
      </c>
      <c r="G54" s="18" t="s">
        <v>32</v>
      </c>
      <c r="H54" s="18" t="s">
        <v>33</v>
      </c>
    </row>
    <row r="55" spans="1:9">
      <c r="A55" s="38" t="s">
        <v>69</v>
      </c>
      <c r="B55" s="51"/>
      <c r="C55" s="52"/>
      <c r="D55" s="52"/>
      <c r="E55" s="52"/>
      <c r="F55" s="52"/>
      <c r="G55" s="20"/>
      <c r="H55" s="15"/>
    </row>
    <row r="56" spans="1:9" customFormat="1" ht="15.95">
      <c r="A56" s="49" t="s">
        <v>70</v>
      </c>
      <c r="B56" s="53"/>
      <c r="C56" s="53" t="s">
        <v>71</v>
      </c>
      <c r="D56" s="54"/>
      <c r="E56" s="54"/>
      <c r="F56" s="55"/>
      <c r="G56" s="50" t="s">
        <v>37</v>
      </c>
      <c r="H56" s="23"/>
    </row>
    <row r="57" spans="1:9">
      <c r="H57" s="16"/>
    </row>
    <row r="58" spans="1:9">
      <c r="H58" s="16"/>
    </row>
    <row r="59" spans="1:9">
      <c r="H59" s="16"/>
    </row>
    <row r="60" spans="1:9">
      <c r="H60" s="16"/>
    </row>
    <row r="61" spans="1:9">
      <c r="H61" s="16"/>
    </row>
    <row r="62" spans="1:9">
      <c r="H62" s="16"/>
    </row>
    <row r="63" spans="1:9">
      <c r="H63" s="16"/>
    </row>
    <row r="64" spans="1:9">
      <c r="B64" s="5"/>
      <c r="H64" s="16"/>
    </row>
    <row r="65" spans="2:8">
      <c r="B65" s="5"/>
      <c r="H65" s="16"/>
    </row>
    <row r="66" spans="2:8">
      <c r="B66" s="5"/>
      <c r="H66" s="16"/>
    </row>
    <row r="67" spans="2:8">
      <c r="B67" s="5"/>
      <c r="H67" s="16"/>
    </row>
    <row r="68" spans="2:8">
      <c r="B68" s="5"/>
      <c r="H68" s="16"/>
    </row>
    <row r="69" spans="2:8">
      <c r="B69" s="5"/>
      <c r="H69" s="16"/>
    </row>
    <row r="70" spans="2:8">
      <c r="B70" s="5"/>
      <c r="H70" s="16"/>
    </row>
    <row r="71" spans="2:8">
      <c r="B71" s="5"/>
      <c r="H71" s="16"/>
    </row>
    <row r="72" spans="2:8">
      <c r="B72" s="5"/>
      <c r="H72" s="16"/>
    </row>
    <row r="73" spans="2:8">
      <c r="B73" s="5"/>
      <c r="H73" s="16"/>
    </row>
    <row r="74" spans="2:8">
      <c r="B74" s="5"/>
      <c r="H74" s="16"/>
    </row>
    <row r="75" spans="2:8">
      <c r="B75" s="5"/>
      <c r="H75" s="16"/>
    </row>
    <row r="76" spans="2:8">
      <c r="B76" s="5"/>
      <c r="H76" s="16"/>
    </row>
    <row r="77" spans="2:8">
      <c r="B77" s="5"/>
      <c r="H77" s="16"/>
    </row>
    <row r="78" spans="2:8">
      <c r="B78" s="5"/>
      <c r="H78" s="16"/>
    </row>
    <row r="79" spans="2:8">
      <c r="B79" s="5"/>
      <c r="H79" s="16"/>
    </row>
    <row r="80" spans="2:8">
      <c r="B80" s="5"/>
      <c r="H80" s="16"/>
    </row>
    <row r="81" spans="2:8">
      <c r="B81" s="5"/>
      <c r="H81" s="16"/>
    </row>
    <row r="82" spans="2:8">
      <c r="B82" s="5"/>
      <c r="H82" s="16"/>
    </row>
    <row r="83" spans="2:8">
      <c r="B83" s="5"/>
      <c r="H83" s="16"/>
    </row>
    <row r="84" spans="2:8">
      <c r="B84" s="5"/>
      <c r="H84" s="16"/>
    </row>
    <row r="85" spans="2:8">
      <c r="B85" s="5"/>
      <c r="H85" s="16"/>
    </row>
    <row r="86" spans="2:8">
      <c r="B86" s="5"/>
      <c r="H86" s="16"/>
    </row>
    <row r="87" spans="2:8">
      <c r="B87" s="5"/>
      <c r="H87" s="16"/>
    </row>
    <row r="88" spans="2:8">
      <c r="B88" s="5"/>
      <c r="H88" s="16"/>
    </row>
    <row r="89" spans="2:8">
      <c r="B89" s="5"/>
      <c r="H89" s="16"/>
    </row>
    <row r="90" spans="2:8">
      <c r="B90" s="5"/>
      <c r="H90" s="16"/>
    </row>
    <row r="91" spans="2:8">
      <c r="B91" s="5"/>
      <c r="H91" s="16"/>
    </row>
    <row r="92" spans="2:8">
      <c r="B92" s="5"/>
      <c r="H92" s="16"/>
    </row>
    <row r="93" spans="2:8">
      <c r="B93" s="5"/>
      <c r="H93" s="16"/>
    </row>
    <row r="94" spans="2:8">
      <c r="B94" s="5"/>
      <c r="H94" s="16"/>
    </row>
    <row r="95" spans="2:8">
      <c r="B95" s="5"/>
      <c r="H95" s="16"/>
    </row>
    <row r="96" spans="2:8">
      <c r="B96" s="5"/>
      <c r="H96" s="16"/>
    </row>
    <row r="97" spans="2:8">
      <c r="B97" s="5"/>
      <c r="H97" s="16"/>
    </row>
    <row r="98" spans="2:8">
      <c r="B98" s="5"/>
      <c r="H98" s="16"/>
    </row>
    <row r="99" spans="2:8">
      <c r="B99" s="5"/>
      <c r="H99" s="16"/>
    </row>
    <row r="100" spans="2:8">
      <c r="B100" s="5"/>
      <c r="H100" s="16"/>
    </row>
    <row r="101" spans="2:8">
      <c r="B101" s="5"/>
      <c r="H101" s="16"/>
    </row>
    <row r="102" spans="2:8">
      <c r="B102" s="5"/>
      <c r="H102" s="16"/>
    </row>
    <row r="103" spans="2:8">
      <c r="B103" s="5"/>
      <c r="H103" s="16"/>
    </row>
    <row r="104" spans="2:8">
      <c r="B104" s="5"/>
      <c r="H104" s="16"/>
    </row>
    <row r="105" spans="2:8">
      <c r="B105" s="5"/>
      <c r="H105" s="16"/>
    </row>
    <row r="106" spans="2:8">
      <c r="B106" s="5"/>
      <c r="H106" s="16"/>
    </row>
    <row r="107" spans="2:8">
      <c r="B107" s="5"/>
      <c r="H107" s="16"/>
    </row>
    <row r="108" spans="2:8">
      <c r="B108" s="5"/>
      <c r="H108" s="16"/>
    </row>
    <row r="109" spans="2:8">
      <c r="B109" s="5"/>
      <c r="H109" s="16"/>
    </row>
    <row r="110" spans="2:8">
      <c r="B110" s="5"/>
      <c r="H110" s="16"/>
    </row>
    <row r="111" spans="2:8">
      <c r="B111" s="5"/>
      <c r="H111" s="16"/>
    </row>
    <row r="112" spans="2:8">
      <c r="B112" s="5"/>
      <c r="H112" s="16"/>
    </row>
    <row r="113" spans="2:8">
      <c r="B113" s="5"/>
      <c r="H113" s="16"/>
    </row>
    <row r="114" spans="2:8">
      <c r="B114" s="5"/>
      <c r="H114" s="16"/>
    </row>
    <row r="115" spans="2:8">
      <c r="B115" s="5"/>
      <c r="H115" s="16"/>
    </row>
    <row r="116" spans="2:8">
      <c r="B116" s="5"/>
      <c r="H116" s="16"/>
    </row>
    <row r="117" spans="2:8">
      <c r="B117" s="5"/>
      <c r="H117" s="16"/>
    </row>
    <row r="118" spans="2:8">
      <c r="B118" s="5"/>
      <c r="H118" s="16"/>
    </row>
    <row r="119" spans="2:8">
      <c r="B119" s="5"/>
      <c r="H119" s="16"/>
    </row>
    <row r="120" spans="2:8">
      <c r="B120" s="5"/>
      <c r="H120" s="16"/>
    </row>
    <row r="121" spans="2:8">
      <c r="B121" s="5"/>
      <c r="H121" s="16"/>
    </row>
    <row r="122" spans="2:8">
      <c r="B122" s="5"/>
      <c r="H122" s="16"/>
    </row>
    <row r="123" spans="2:8">
      <c r="B123" s="5"/>
      <c r="H123" s="16"/>
    </row>
    <row r="124" spans="2:8">
      <c r="B124" s="5"/>
      <c r="H124" s="16"/>
    </row>
    <row r="125" spans="2:8">
      <c r="B125" s="5"/>
      <c r="H125" s="16"/>
    </row>
    <row r="126" spans="2:8">
      <c r="B126" s="5"/>
      <c r="H126" s="16"/>
    </row>
    <row r="127" spans="2:8">
      <c r="B127" s="5"/>
      <c r="H127" s="16"/>
    </row>
    <row r="128" spans="2:8">
      <c r="B128" s="5"/>
      <c r="H128" s="16"/>
    </row>
    <row r="129" spans="2:8">
      <c r="B129" s="5"/>
      <c r="H129" s="16"/>
    </row>
    <row r="130" spans="2:8">
      <c r="B130" s="5"/>
      <c r="H130" s="16"/>
    </row>
    <row r="131" spans="2:8">
      <c r="B131" s="5"/>
      <c r="H131" s="16"/>
    </row>
    <row r="132" spans="2:8">
      <c r="B132" s="5"/>
      <c r="H132" s="16"/>
    </row>
    <row r="133" spans="2:8">
      <c r="B133" s="5"/>
      <c r="H133" s="16"/>
    </row>
    <row r="134" spans="2:8">
      <c r="B134" s="5"/>
      <c r="H134" s="16"/>
    </row>
    <row r="135" spans="2:8">
      <c r="B135" s="5"/>
      <c r="H135" s="16"/>
    </row>
    <row r="136" spans="2:8">
      <c r="B136" s="5"/>
      <c r="H136" s="16"/>
    </row>
    <row r="137" spans="2:8">
      <c r="B137" s="5"/>
      <c r="H137" s="16"/>
    </row>
    <row r="138" spans="2:8">
      <c r="B138" s="5"/>
      <c r="H138" s="16"/>
    </row>
    <row r="139" spans="2:8">
      <c r="B139" s="5"/>
      <c r="H139" s="16"/>
    </row>
    <row r="140" spans="2:8">
      <c r="B140" s="5"/>
      <c r="H140" s="16"/>
    </row>
    <row r="141" spans="2:8">
      <c r="B141" s="5"/>
      <c r="H141" s="16"/>
    </row>
    <row r="142" spans="2:8">
      <c r="B142" s="5"/>
      <c r="H142" s="16"/>
    </row>
    <row r="143" spans="2:8">
      <c r="B143" s="5"/>
      <c r="H143" s="16"/>
    </row>
    <row r="144" spans="2:8">
      <c r="B144" s="5"/>
      <c r="H144" s="16"/>
    </row>
    <row r="145" spans="2:8">
      <c r="B145" s="5"/>
      <c r="H145" s="16"/>
    </row>
    <row r="146" spans="2:8">
      <c r="B146" s="5"/>
      <c r="H146" s="16"/>
    </row>
    <row r="147" spans="2:8">
      <c r="B147" s="5"/>
      <c r="H147" s="16"/>
    </row>
    <row r="148" spans="2:8">
      <c r="B148" s="5"/>
      <c r="H148" s="16"/>
    </row>
    <row r="149" spans="2:8">
      <c r="B149" s="5"/>
      <c r="H149" s="16"/>
    </row>
    <row r="150" spans="2:8">
      <c r="B150" s="5"/>
      <c r="H150" s="16"/>
    </row>
    <row r="151" spans="2:8">
      <c r="B151" s="5"/>
      <c r="H151" s="16"/>
    </row>
    <row r="152" spans="2:8">
      <c r="B152" s="5"/>
      <c r="H152" s="16"/>
    </row>
    <row r="153" spans="2:8">
      <c r="B153" s="5"/>
      <c r="H153" s="16"/>
    </row>
    <row r="154" spans="2:8">
      <c r="B154" s="5"/>
      <c r="H154" s="16"/>
    </row>
    <row r="155" spans="2:8">
      <c r="B155" s="5"/>
      <c r="H155" s="16"/>
    </row>
    <row r="156" spans="2:8">
      <c r="B156" s="5"/>
      <c r="H156" s="16"/>
    </row>
    <row r="157" spans="2:8">
      <c r="B157" s="5"/>
      <c r="H157" s="16"/>
    </row>
    <row r="158" spans="2:8">
      <c r="B158" s="5"/>
      <c r="H158" s="16"/>
    </row>
    <row r="159" spans="2:8">
      <c r="B159" s="5"/>
      <c r="H159" s="16"/>
    </row>
    <row r="160" spans="2:8">
      <c r="B160" s="5"/>
      <c r="H160" s="16"/>
    </row>
    <row r="161" spans="2:8">
      <c r="B161" s="5"/>
      <c r="H161" s="16"/>
    </row>
    <row r="162" spans="2:8">
      <c r="B162" s="5"/>
      <c r="H162" s="16"/>
    </row>
    <row r="163" spans="2:8">
      <c r="B163" s="5"/>
      <c r="H163" s="16"/>
    </row>
    <row r="164" spans="2:8">
      <c r="B164" s="5"/>
      <c r="H164" s="16"/>
    </row>
    <row r="165" spans="2:8">
      <c r="B165" s="5"/>
      <c r="H165" s="16"/>
    </row>
    <row r="166" spans="2:8">
      <c r="B166" s="5"/>
      <c r="H166" s="16"/>
    </row>
    <row r="167" spans="2:8">
      <c r="B167" s="5"/>
      <c r="H167" s="16"/>
    </row>
    <row r="168" spans="2:8">
      <c r="B168" s="5"/>
      <c r="H168" s="16"/>
    </row>
    <row r="169" spans="2:8">
      <c r="B169" s="5"/>
      <c r="H169" s="16"/>
    </row>
    <row r="170" spans="2:8">
      <c r="B170" s="5"/>
      <c r="H170" s="16"/>
    </row>
    <row r="171" spans="2:8">
      <c r="B171" s="5"/>
      <c r="H171" s="16"/>
    </row>
    <row r="172" spans="2:8">
      <c r="B172" s="5"/>
      <c r="H172" s="16"/>
    </row>
    <row r="173" spans="2:8">
      <c r="B173" s="5"/>
      <c r="H173" s="16"/>
    </row>
    <row r="174" spans="2:8">
      <c r="B174" s="5"/>
      <c r="H174" s="16"/>
    </row>
    <row r="175" spans="2:8">
      <c r="B175" s="5"/>
      <c r="H175" s="16"/>
    </row>
    <row r="176" spans="2:8">
      <c r="B176" s="5"/>
      <c r="H176" s="16"/>
    </row>
    <row r="177" spans="2:8">
      <c r="B177" s="5"/>
      <c r="H177" s="16"/>
    </row>
    <row r="178" spans="2:8">
      <c r="B178" s="5"/>
      <c r="H178" s="16"/>
    </row>
    <row r="179" spans="2:8">
      <c r="B179" s="5"/>
      <c r="H179" s="16"/>
    </row>
    <row r="180" spans="2:8">
      <c r="B180" s="5"/>
      <c r="H180" s="16"/>
    </row>
    <row r="181" spans="2:8">
      <c r="B181" s="5"/>
      <c r="H181" s="16"/>
    </row>
    <row r="182" spans="2:8">
      <c r="B182" s="5"/>
      <c r="H182" s="16"/>
    </row>
    <row r="183" spans="2:8">
      <c r="B183" s="5"/>
      <c r="H183" s="16"/>
    </row>
    <row r="184" spans="2:8">
      <c r="B184" s="5"/>
      <c r="H184" s="16"/>
    </row>
    <row r="185" spans="2:8">
      <c r="B185" s="5"/>
      <c r="H185" s="16"/>
    </row>
    <row r="186" spans="2:8">
      <c r="B186" s="5"/>
      <c r="H186" s="16"/>
    </row>
    <row r="187" spans="2:8">
      <c r="B187" s="5"/>
      <c r="H187" s="16"/>
    </row>
    <row r="188" spans="2:8">
      <c r="B188" s="5"/>
      <c r="H188" s="16"/>
    </row>
    <row r="189" spans="2:8">
      <c r="B189" s="5"/>
      <c r="H189" s="16"/>
    </row>
    <row r="190" spans="2:8">
      <c r="B190" s="5"/>
      <c r="H190" s="16"/>
    </row>
    <row r="191" spans="2:8">
      <c r="B191" s="5"/>
      <c r="H191" s="16"/>
    </row>
    <row r="192" spans="2:8">
      <c r="B192" s="5"/>
      <c r="H192" s="16"/>
    </row>
    <row r="193" spans="2:8">
      <c r="B193" s="5"/>
      <c r="H193" s="16"/>
    </row>
    <row r="194" spans="2:8">
      <c r="B194" s="5"/>
      <c r="H194" s="16"/>
    </row>
    <row r="195" spans="2:8">
      <c r="B195" s="5"/>
      <c r="H195" s="16"/>
    </row>
    <row r="196" spans="2:8">
      <c r="B196" s="5"/>
      <c r="H196" s="16"/>
    </row>
    <row r="197" spans="2:8">
      <c r="B197" s="5"/>
      <c r="H197" s="16"/>
    </row>
    <row r="198" spans="2:8">
      <c r="B198" s="5"/>
      <c r="H198" s="16"/>
    </row>
    <row r="199" spans="2:8">
      <c r="B199" s="5"/>
      <c r="H199" s="16"/>
    </row>
    <row r="200" spans="2:8">
      <c r="B200" s="5"/>
      <c r="H200" s="16"/>
    </row>
    <row r="201" spans="2:8">
      <c r="B201" s="5"/>
      <c r="H201" s="16"/>
    </row>
    <row r="202" spans="2:8">
      <c r="B202" s="5"/>
      <c r="H202" s="16"/>
    </row>
    <row r="203" spans="2:8">
      <c r="B203" s="5"/>
      <c r="H203" s="16"/>
    </row>
    <row r="204" spans="2:8">
      <c r="B204" s="5"/>
      <c r="H204" s="16"/>
    </row>
    <row r="205" spans="2:8">
      <c r="B205" s="5"/>
      <c r="H205" s="16"/>
    </row>
    <row r="206" spans="2:8">
      <c r="B206" s="5"/>
      <c r="H206" s="16"/>
    </row>
    <row r="207" spans="2:8">
      <c r="B207" s="5"/>
      <c r="H207" s="16"/>
    </row>
    <row r="208" spans="2:8">
      <c r="B208" s="5"/>
      <c r="H208" s="16"/>
    </row>
    <row r="209" spans="2:8">
      <c r="B209" s="5"/>
      <c r="H209" s="16"/>
    </row>
    <row r="210" spans="2:8">
      <c r="B210" s="5"/>
      <c r="H210" s="16"/>
    </row>
    <row r="211" spans="2:8">
      <c r="B211" s="5"/>
      <c r="H211" s="16"/>
    </row>
    <row r="212" spans="2:8">
      <c r="B212" s="5"/>
      <c r="H212" s="16"/>
    </row>
    <row r="213" spans="2:8">
      <c r="B213" s="5"/>
      <c r="H213" s="16"/>
    </row>
    <row r="214" spans="2:8">
      <c r="B214" s="5"/>
      <c r="H214" s="16"/>
    </row>
    <row r="215" spans="2:8">
      <c r="B215" s="5"/>
      <c r="H215" s="16"/>
    </row>
    <row r="216" spans="2:8">
      <c r="B216" s="5"/>
      <c r="H216" s="16"/>
    </row>
    <row r="217" spans="2:8">
      <c r="B217" s="5"/>
      <c r="H217" s="16"/>
    </row>
    <row r="218" spans="2:8">
      <c r="B218" s="5"/>
      <c r="H218" s="16"/>
    </row>
    <row r="219" spans="2:8">
      <c r="B219" s="5"/>
      <c r="H219" s="16"/>
    </row>
    <row r="220" spans="2:8">
      <c r="B220" s="5"/>
      <c r="H220" s="16"/>
    </row>
    <row r="221" spans="2:8">
      <c r="B221" s="5"/>
      <c r="H221" s="16"/>
    </row>
    <row r="222" spans="2:8">
      <c r="B222" s="5"/>
      <c r="H222" s="16"/>
    </row>
    <row r="223" spans="2:8">
      <c r="B223" s="5"/>
      <c r="H223" s="16"/>
    </row>
    <row r="224" spans="2:8">
      <c r="B224" s="5"/>
      <c r="H224" s="16"/>
    </row>
    <row r="225" spans="2:8">
      <c r="B225" s="5"/>
      <c r="H225" s="16"/>
    </row>
    <row r="226" spans="2:8">
      <c r="B226" s="5"/>
      <c r="H226" s="16"/>
    </row>
    <row r="227" spans="2:8">
      <c r="B227" s="5"/>
      <c r="H227" s="16"/>
    </row>
    <row r="228" spans="2:8">
      <c r="B228" s="5"/>
      <c r="H228" s="16"/>
    </row>
    <row r="229" spans="2:8">
      <c r="B229" s="5"/>
      <c r="H229" s="16"/>
    </row>
    <row r="230" spans="2:8">
      <c r="B230" s="5"/>
      <c r="H230" s="16"/>
    </row>
    <row r="231" spans="2:8">
      <c r="B231" s="5"/>
      <c r="H231" s="16"/>
    </row>
    <row r="232" spans="2:8">
      <c r="B232" s="5"/>
      <c r="H232" s="16"/>
    </row>
    <row r="233" spans="2:8">
      <c r="B233" s="5"/>
      <c r="H233" s="16"/>
    </row>
    <row r="234" spans="2:8">
      <c r="B234" s="5"/>
      <c r="H234" s="16"/>
    </row>
    <row r="235" spans="2:8">
      <c r="B235" s="5"/>
      <c r="H235" s="16"/>
    </row>
    <row r="236" spans="2:8">
      <c r="B236" s="5"/>
      <c r="H236" s="16"/>
    </row>
    <row r="237" spans="2:8">
      <c r="B237" s="5"/>
      <c r="H237" s="16"/>
    </row>
    <row r="238" spans="2:8">
      <c r="B238" s="5"/>
      <c r="H238" s="16"/>
    </row>
    <row r="239" spans="2:8">
      <c r="B239" s="5"/>
      <c r="H239" s="16"/>
    </row>
    <row r="240" spans="2:8">
      <c r="B240" s="5"/>
      <c r="H240" s="16"/>
    </row>
    <row r="241" spans="2:8">
      <c r="B241" s="5"/>
      <c r="H241" s="16"/>
    </row>
    <row r="242" spans="2:8">
      <c r="B242" s="5"/>
      <c r="H242" s="16"/>
    </row>
    <row r="243" spans="2:8">
      <c r="B243" s="5"/>
      <c r="H243" s="16"/>
    </row>
    <row r="244" spans="2:8">
      <c r="B244" s="5"/>
      <c r="H244" s="16"/>
    </row>
    <row r="245" spans="2:8">
      <c r="B245" s="5"/>
      <c r="H245" s="16"/>
    </row>
    <row r="246" spans="2:8">
      <c r="B246" s="5"/>
      <c r="H246" s="16"/>
    </row>
    <row r="247" spans="2:8">
      <c r="B247" s="5"/>
      <c r="H247" s="16"/>
    </row>
    <row r="248" spans="2:8">
      <c r="B248" s="5"/>
      <c r="H248" s="16"/>
    </row>
    <row r="249" spans="2:8">
      <c r="B249" s="5"/>
      <c r="H249" s="16"/>
    </row>
    <row r="250" spans="2:8">
      <c r="B250" s="5"/>
      <c r="H250" s="16"/>
    </row>
    <row r="251" spans="2:8">
      <c r="B251" s="5"/>
      <c r="H251" s="16"/>
    </row>
    <row r="252" spans="2:8">
      <c r="B252" s="5"/>
      <c r="H252" s="16"/>
    </row>
    <row r="253" spans="2:8">
      <c r="B253" s="5"/>
      <c r="H253" s="16"/>
    </row>
    <row r="254" spans="2:8">
      <c r="B254" s="5"/>
      <c r="H254" s="16"/>
    </row>
    <row r="255" spans="2:8">
      <c r="B255" s="5"/>
      <c r="H255" s="16"/>
    </row>
    <row r="256" spans="2:8">
      <c r="B256" s="5"/>
      <c r="H256" s="16"/>
    </row>
    <row r="257" spans="2:8">
      <c r="B257" s="5"/>
      <c r="H257" s="16"/>
    </row>
    <row r="258" spans="2:8">
      <c r="B258" s="5"/>
      <c r="H258" s="16"/>
    </row>
    <row r="259" spans="2:8">
      <c r="B259" s="5"/>
      <c r="H259" s="16"/>
    </row>
    <row r="260" spans="2:8">
      <c r="B260" s="5"/>
      <c r="H260" s="16"/>
    </row>
    <row r="261" spans="2:8">
      <c r="B261" s="5"/>
      <c r="H261" s="16"/>
    </row>
    <row r="262" spans="2:8">
      <c r="B262" s="5"/>
      <c r="H262" s="16"/>
    </row>
    <row r="263" spans="2:8">
      <c r="B263" s="5"/>
      <c r="H263" s="16"/>
    </row>
    <row r="264" spans="2:8">
      <c r="B264" s="5"/>
      <c r="H264" s="16"/>
    </row>
    <row r="265" spans="2:8">
      <c r="B265" s="5"/>
      <c r="H265" s="16"/>
    </row>
    <row r="266" spans="2:8">
      <c r="B266" s="5"/>
      <c r="H266" s="16"/>
    </row>
    <row r="267" spans="2:8">
      <c r="B267" s="5"/>
      <c r="H267" s="16"/>
    </row>
    <row r="268" spans="2:8">
      <c r="B268" s="5"/>
      <c r="H268" s="16"/>
    </row>
    <row r="269" spans="2:8">
      <c r="B269" s="5"/>
      <c r="H269" s="16"/>
    </row>
    <row r="270" spans="2:8">
      <c r="B270" s="5"/>
      <c r="H270" s="16"/>
    </row>
    <row r="271" spans="2:8">
      <c r="B271" s="5"/>
      <c r="H271" s="16"/>
    </row>
    <row r="272" spans="2:8">
      <c r="B272" s="5"/>
      <c r="H272" s="16"/>
    </row>
    <row r="273" spans="2:8">
      <c r="B273" s="5"/>
      <c r="H273" s="16"/>
    </row>
    <row r="274" spans="2:8">
      <c r="B274" s="5"/>
      <c r="H274" s="16"/>
    </row>
    <row r="275" spans="2:8">
      <c r="B275" s="5"/>
      <c r="H275" s="16"/>
    </row>
    <row r="276" spans="2:8">
      <c r="B276" s="5"/>
      <c r="H276" s="16"/>
    </row>
    <row r="277" spans="2:8">
      <c r="B277" s="5"/>
      <c r="H277" s="16"/>
    </row>
    <row r="278" spans="2:8">
      <c r="B278" s="5"/>
      <c r="H278" s="16"/>
    </row>
    <row r="279" spans="2:8">
      <c r="B279" s="5"/>
      <c r="H279" s="16"/>
    </row>
    <row r="280" spans="2:8">
      <c r="B280" s="5"/>
      <c r="H280" s="16"/>
    </row>
    <row r="281" spans="2:8">
      <c r="B281" s="5"/>
      <c r="H281" s="16"/>
    </row>
    <row r="282" spans="2:8">
      <c r="B282" s="5"/>
      <c r="H282" s="16"/>
    </row>
    <row r="283" spans="2:8">
      <c r="B283" s="5"/>
      <c r="H283" s="16"/>
    </row>
    <row r="284" spans="2:8">
      <c r="B284" s="5"/>
      <c r="H284" s="16"/>
    </row>
    <row r="285" spans="2:8">
      <c r="B285" s="5"/>
      <c r="H285" s="16"/>
    </row>
    <row r="286" spans="2:8">
      <c r="B286" s="5"/>
      <c r="H286" s="16"/>
    </row>
    <row r="287" spans="2:8">
      <c r="B287" s="5"/>
      <c r="H287" s="16"/>
    </row>
    <row r="288" spans="2:8">
      <c r="B288" s="5"/>
      <c r="H288" s="16"/>
    </row>
    <row r="289" spans="2:8">
      <c r="B289" s="5"/>
      <c r="H289" s="16"/>
    </row>
    <row r="290" spans="2:8">
      <c r="B290" s="5"/>
      <c r="H290" s="16"/>
    </row>
    <row r="291" spans="2:8">
      <c r="B291" s="5"/>
      <c r="H291" s="16"/>
    </row>
    <row r="292" spans="2:8">
      <c r="B292" s="5"/>
      <c r="H292" s="16"/>
    </row>
    <row r="293" spans="2:8">
      <c r="B293" s="5"/>
      <c r="H293" s="16"/>
    </row>
    <row r="294" spans="2:8">
      <c r="B294" s="5"/>
      <c r="H294" s="16"/>
    </row>
    <row r="295" spans="2:8">
      <c r="B295" s="5"/>
      <c r="H295" s="16"/>
    </row>
    <row r="296" spans="2:8">
      <c r="B296" s="5"/>
      <c r="H296" s="16"/>
    </row>
    <row r="297" spans="2:8">
      <c r="B297" s="5"/>
      <c r="H297" s="16"/>
    </row>
    <row r="298" spans="2:8">
      <c r="B298" s="5"/>
      <c r="H298" s="16"/>
    </row>
    <row r="299" spans="2:8">
      <c r="B299" s="5"/>
      <c r="H299" s="16"/>
    </row>
    <row r="300" spans="2:8">
      <c r="B300" s="5"/>
      <c r="H300" s="16"/>
    </row>
    <row r="301" spans="2:8">
      <c r="B301" s="5"/>
      <c r="H301" s="16"/>
    </row>
    <row r="302" spans="2:8">
      <c r="B302" s="5"/>
      <c r="H302" s="16"/>
    </row>
    <row r="303" spans="2:8">
      <c r="B303" s="5"/>
      <c r="H303" s="16"/>
    </row>
    <row r="304" spans="2:8">
      <c r="B304" s="5"/>
      <c r="H304" s="16"/>
    </row>
    <row r="305" spans="2:8">
      <c r="B305" s="5"/>
      <c r="H305" s="16"/>
    </row>
    <row r="306" spans="2:8">
      <c r="B306" s="5"/>
      <c r="H306" s="16"/>
    </row>
    <row r="307" spans="2:8">
      <c r="B307" s="5"/>
      <c r="H307" s="16"/>
    </row>
    <row r="308" spans="2:8">
      <c r="B308" s="5"/>
      <c r="H308" s="16"/>
    </row>
    <row r="309" spans="2:8">
      <c r="B309" s="5"/>
      <c r="H309" s="16"/>
    </row>
    <row r="310" spans="2:8">
      <c r="B310" s="5"/>
      <c r="H310" s="16"/>
    </row>
    <row r="311" spans="2:8">
      <c r="B311" s="5"/>
      <c r="H311" s="16"/>
    </row>
    <row r="312" spans="2:8">
      <c r="B312" s="5"/>
      <c r="H312" s="16"/>
    </row>
    <row r="313" spans="2:8">
      <c r="B313" s="5"/>
      <c r="H313" s="16"/>
    </row>
    <row r="314" spans="2:8">
      <c r="B314" s="5"/>
      <c r="H314" s="16"/>
    </row>
    <row r="315" spans="2:8">
      <c r="B315" s="5"/>
      <c r="H315" s="16"/>
    </row>
    <row r="316" spans="2:8">
      <c r="B316" s="5"/>
      <c r="H316" s="16"/>
    </row>
    <row r="317" spans="2:8">
      <c r="B317" s="5"/>
      <c r="H317" s="16"/>
    </row>
    <row r="318" spans="2:8">
      <c r="B318" s="5"/>
      <c r="H318" s="16"/>
    </row>
    <row r="319" spans="2:8">
      <c r="B319" s="5"/>
      <c r="H319" s="16"/>
    </row>
    <row r="320" spans="2:8">
      <c r="B320" s="5"/>
      <c r="H320" s="16"/>
    </row>
    <row r="321" spans="2:8">
      <c r="B321" s="5"/>
      <c r="H321" s="16"/>
    </row>
    <row r="322" spans="2:8">
      <c r="B322" s="5"/>
      <c r="H322" s="16"/>
    </row>
    <row r="323" spans="2:8">
      <c r="B323" s="5"/>
      <c r="H323" s="16"/>
    </row>
    <row r="324" spans="2:8">
      <c r="B324" s="5"/>
      <c r="H324" s="16"/>
    </row>
    <row r="325" spans="2:8">
      <c r="B325" s="5"/>
      <c r="H325" s="16"/>
    </row>
    <row r="326" spans="2:8">
      <c r="B326" s="5"/>
      <c r="H326" s="16"/>
    </row>
    <row r="327" spans="2:8">
      <c r="B327" s="5"/>
      <c r="H327" s="16"/>
    </row>
    <row r="328" spans="2:8">
      <c r="B328" s="5"/>
      <c r="H328" s="16"/>
    </row>
    <row r="329" spans="2:8">
      <c r="B329" s="5"/>
      <c r="H329" s="16"/>
    </row>
    <row r="330" spans="2:8">
      <c r="B330" s="5"/>
      <c r="H330" s="16"/>
    </row>
    <row r="331" spans="2:8">
      <c r="B331" s="5"/>
      <c r="H331" s="16"/>
    </row>
    <row r="332" spans="2:8">
      <c r="B332" s="5"/>
      <c r="H332" s="16"/>
    </row>
    <row r="333" spans="2:8">
      <c r="B333" s="5"/>
      <c r="H333" s="16"/>
    </row>
    <row r="334" spans="2:8">
      <c r="B334" s="5"/>
      <c r="H334" s="16"/>
    </row>
    <row r="335" spans="2:8">
      <c r="B335" s="5"/>
      <c r="H335" s="16"/>
    </row>
    <row r="336" spans="2:8">
      <c r="B336" s="5"/>
      <c r="H336" s="16"/>
    </row>
    <row r="337" spans="2:8">
      <c r="B337" s="5"/>
      <c r="H337" s="16"/>
    </row>
    <row r="338" spans="2:8">
      <c r="B338" s="5"/>
      <c r="H338" s="16"/>
    </row>
    <row r="339" spans="2:8">
      <c r="B339" s="5"/>
      <c r="H339" s="16"/>
    </row>
    <row r="340" spans="2:8">
      <c r="B340" s="5"/>
      <c r="H340" s="16"/>
    </row>
    <row r="341" spans="2:8">
      <c r="B341" s="5"/>
      <c r="H341" s="16"/>
    </row>
    <row r="342" spans="2:8">
      <c r="B342" s="5"/>
      <c r="H342" s="16"/>
    </row>
    <row r="343" spans="2:8">
      <c r="B343" s="5"/>
      <c r="H343" s="16"/>
    </row>
    <row r="344" spans="2:8">
      <c r="B344" s="5"/>
      <c r="H344" s="16"/>
    </row>
    <row r="345" spans="2:8">
      <c r="B345" s="5"/>
      <c r="H345" s="16"/>
    </row>
    <row r="346" spans="2:8">
      <c r="B346" s="5"/>
      <c r="H346" s="16"/>
    </row>
    <row r="347" spans="2:8">
      <c r="B347" s="5"/>
      <c r="H347" s="16"/>
    </row>
    <row r="348" spans="2:8">
      <c r="B348" s="5"/>
      <c r="H348" s="16"/>
    </row>
    <row r="349" spans="2:8">
      <c r="B349" s="5"/>
      <c r="H349" s="16"/>
    </row>
    <row r="350" spans="2:8">
      <c r="B350" s="5"/>
      <c r="H350" s="16"/>
    </row>
    <row r="351" spans="2:8">
      <c r="B351" s="5"/>
      <c r="H351" s="16"/>
    </row>
    <row r="352" spans="2:8">
      <c r="B352" s="5"/>
      <c r="H352" s="16"/>
    </row>
    <row r="353" spans="2:8">
      <c r="B353" s="5"/>
      <c r="H353" s="16"/>
    </row>
    <row r="354" spans="2:8">
      <c r="B354" s="5"/>
      <c r="H354" s="16"/>
    </row>
    <row r="355" spans="2:8">
      <c r="B355" s="5"/>
      <c r="H355" s="16"/>
    </row>
    <row r="356" spans="2:8">
      <c r="B356" s="5"/>
      <c r="H356" s="16"/>
    </row>
    <row r="357" spans="2:8">
      <c r="B357" s="5"/>
      <c r="H357" s="16"/>
    </row>
    <row r="358" spans="2:8">
      <c r="B358" s="5"/>
      <c r="H358" s="16"/>
    </row>
    <row r="359" spans="2:8">
      <c r="B359" s="5"/>
      <c r="H359" s="16"/>
    </row>
    <row r="360" spans="2:8">
      <c r="B360" s="5"/>
      <c r="H360" s="16"/>
    </row>
    <row r="361" spans="2:8">
      <c r="B361" s="5"/>
      <c r="H361" s="16"/>
    </row>
    <row r="362" spans="2:8">
      <c r="B362" s="5"/>
      <c r="H362" s="16"/>
    </row>
    <row r="363" spans="2:8">
      <c r="B363" s="5"/>
      <c r="H363" s="16"/>
    </row>
    <row r="364" spans="2:8">
      <c r="B364" s="5"/>
      <c r="H364" s="16"/>
    </row>
    <row r="365" spans="2:8">
      <c r="B365" s="5"/>
      <c r="H365" s="16"/>
    </row>
    <row r="366" spans="2:8">
      <c r="B366" s="5"/>
      <c r="H366" s="16"/>
    </row>
    <row r="367" spans="2:8">
      <c r="B367" s="5"/>
      <c r="H367" s="16"/>
    </row>
    <row r="368" spans="2:8">
      <c r="B368" s="5"/>
      <c r="H368" s="16"/>
    </row>
    <row r="369" spans="2:8">
      <c r="B369" s="5"/>
      <c r="H369" s="16"/>
    </row>
    <row r="370" spans="2:8">
      <c r="B370" s="5"/>
      <c r="H370" s="16"/>
    </row>
    <row r="371" spans="2:8">
      <c r="B371" s="5"/>
      <c r="H371" s="16"/>
    </row>
    <row r="372" spans="2:8">
      <c r="B372" s="5"/>
      <c r="H372" s="16"/>
    </row>
    <row r="373" spans="2:8">
      <c r="B373" s="5"/>
      <c r="H373" s="16"/>
    </row>
    <row r="374" spans="2:8">
      <c r="B374" s="5"/>
      <c r="H374" s="16"/>
    </row>
    <row r="375" spans="2:8">
      <c r="B375" s="5"/>
      <c r="H375" s="16"/>
    </row>
    <row r="376" spans="2:8">
      <c r="B376" s="5"/>
      <c r="H376" s="16"/>
    </row>
    <row r="377" spans="2:8">
      <c r="B377" s="5"/>
      <c r="H377" s="16"/>
    </row>
    <row r="378" spans="2:8">
      <c r="B378" s="5"/>
      <c r="H378" s="16"/>
    </row>
    <row r="379" spans="2:8">
      <c r="B379" s="5"/>
      <c r="H379" s="16"/>
    </row>
    <row r="380" spans="2:8">
      <c r="B380" s="5"/>
      <c r="H380" s="16"/>
    </row>
    <row r="381" spans="2:8">
      <c r="B381" s="5"/>
      <c r="H381" s="16"/>
    </row>
    <row r="382" spans="2:8">
      <c r="B382" s="5"/>
      <c r="H382" s="16"/>
    </row>
    <row r="383" spans="2:8">
      <c r="B383" s="5"/>
      <c r="H383" s="16"/>
    </row>
    <row r="384" spans="2:8">
      <c r="B384" s="5"/>
      <c r="H384" s="16"/>
    </row>
    <row r="385" spans="2:8">
      <c r="B385" s="5"/>
      <c r="H385" s="16"/>
    </row>
    <row r="386" spans="2:8">
      <c r="B386" s="5"/>
      <c r="H386" s="16"/>
    </row>
    <row r="387" spans="2:8">
      <c r="B387" s="5"/>
      <c r="H387" s="16"/>
    </row>
    <row r="388" spans="2:8">
      <c r="B388" s="5"/>
      <c r="H388" s="16"/>
    </row>
    <row r="389" spans="2:8">
      <c r="B389" s="5"/>
      <c r="H389" s="16"/>
    </row>
    <row r="390" spans="2:8">
      <c r="B390" s="5"/>
      <c r="H390" s="16"/>
    </row>
    <row r="391" spans="2:8">
      <c r="B391" s="5"/>
      <c r="H391" s="16"/>
    </row>
    <row r="392" spans="2:8">
      <c r="B392" s="5"/>
      <c r="H392" s="16"/>
    </row>
    <row r="393" spans="2:8">
      <c r="B393" s="5"/>
      <c r="H393" s="16"/>
    </row>
    <row r="394" spans="2:8">
      <c r="B394" s="5"/>
      <c r="H394" s="16"/>
    </row>
    <row r="395" spans="2:8">
      <c r="B395" s="5"/>
      <c r="H395" s="16"/>
    </row>
    <row r="396" spans="2:8">
      <c r="B396" s="5"/>
      <c r="H396" s="16"/>
    </row>
    <row r="397" spans="2:8">
      <c r="B397" s="5"/>
      <c r="H397" s="16"/>
    </row>
    <row r="398" spans="2:8">
      <c r="B398" s="5"/>
      <c r="H398" s="16"/>
    </row>
    <row r="399" spans="2:8">
      <c r="B399" s="5"/>
      <c r="H399" s="16"/>
    </row>
    <row r="400" spans="2:8">
      <c r="B400" s="5"/>
      <c r="H400" s="16"/>
    </row>
    <row r="401" spans="2:8">
      <c r="B401" s="5"/>
      <c r="H401" s="16"/>
    </row>
    <row r="402" spans="2:8">
      <c r="B402" s="5"/>
      <c r="H402" s="16"/>
    </row>
    <row r="403" spans="2:8">
      <c r="B403" s="5"/>
      <c r="H403" s="16"/>
    </row>
    <row r="404" spans="2:8">
      <c r="B404" s="5"/>
      <c r="H404" s="16"/>
    </row>
    <row r="405" spans="2:8">
      <c r="B405" s="5"/>
      <c r="H405" s="16"/>
    </row>
    <row r="406" spans="2:8">
      <c r="B406" s="5"/>
      <c r="H406" s="16"/>
    </row>
    <row r="407" spans="2:8">
      <c r="B407" s="5"/>
      <c r="H407" s="16"/>
    </row>
    <row r="408" spans="2:8">
      <c r="B408" s="5"/>
      <c r="H408" s="16"/>
    </row>
    <row r="409" spans="2:8">
      <c r="B409" s="5"/>
      <c r="H409" s="16"/>
    </row>
    <row r="410" spans="2:8">
      <c r="B410" s="5"/>
      <c r="H410" s="16"/>
    </row>
    <row r="411" spans="2:8">
      <c r="B411" s="5"/>
      <c r="H411" s="16"/>
    </row>
    <row r="412" spans="2:8">
      <c r="B412" s="5"/>
      <c r="H412" s="16"/>
    </row>
    <row r="413" spans="2:8">
      <c r="B413" s="5"/>
      <c r="H413" s="16"/>
    </row>
    <row r="414" spans="2:8">
      <c r="B414" s="5"/>
      <c r="H414" s="16"/>
    </row>
    <row r="415" spans="2:8">
      <c r="B415" s="5"/>
      <c r="H415" s="16"/>
    </row>
    <row r="416" spans="2:8">
      <c r="B416" s="5"/>
      <c r="H416" s="16"/>
    </row>
    <row r="417" spans="2:8">
      <c r="B417" s="5"/>
      <c r="H417" s="16"/>
    </row>
    <row r="418" spans="2:8">
      <c r="B418" s="5"/>
      <c r="H418" s="16"/>
    </row>
    <row r="419" spans="2:8">
      <c r="B419" s="5"/>
      <c r="H419" s="16"/>
    </row>
    <row r="420" spans="2:8">
      <c r="B420" s="5"/>
      <c r="H420" s="16"/>
    </row>
    <row r="421" spans="2:8">
      <c r="B421" s="5"/>
      <c r="H421" s="16"/>
    </row>
    <row r="422" spans="2:8">
      <c r="B422" s="5"/>
      <c r="H422" s="16"/>
    </row>
    <row r="423" spans="2:8">
      <c r="B423" s="5"/>
      <c r="H423" s="16"/>
    </row>
    <row r="424" spans="2:8">
      <c r="B424" s="5"/>
      <c r="H424" s="16"/>
    </row>
    <row r="425" spans="2:8">
      <c r="B425" s="5"/>
      <c r="H425" s="16"/>
    </row>
    <row r="426" spans="2:8">
      <c r="B426" s="5"/>
      <c r="H426" s="16"/>
    </row>
    <row r="427" spans="2:8">
      <c r="B427" s="5"/>
      <c r="H427" s="16"/>
    </row>
    <row r="428" spans="2:8">
      <c r="B428" s="5"/>
      <c r="H428" s="16"/>
    </row>
    <row r="429" spans="2:8">
      <c r="B429" s="5"/>
      <c r="H429" s="16"/>
    </row>
    <row r="430" spans="2:8">
      <c r="B430" s="5"/>
      <c r="H430" s="16"/>
    </row>
    <row r="431" spans="2:8">
      <c r="B431" s="5"/>
      <c r="H431" s="16"/>
    </row>
    <row r="432" spans="2:8">
      <c r="B432" s="5"/>
      <c r="H432" s="16"/>
    </row>
    <row r="433" spans="2:8">
      <c r="B433" s="5"/>
      <c r="H433" s="16"/>
    </row>
    <row r="434" spans="2:8">
      <c r="B434" s="5"/>
      <c r="H434" s="16"/>
    </row>
    <row r="435" spans="2:8">
      <c r="B435" s="5"/>
      <c r="H435" s="16"/>
    </row>
    <row r="436" spans="2:8">
      <c r="B436" s="5"/>
      <c r="H436" s="16"/>
    </row>
    <row r="437" spans="2:8">
      <c r="B437" s="5"/>
      <c r="H437" s="16"/>
    </row>
    <row r="438" spans="2:8">
      <c r="B438" s="5"/>
      <c r="H438" s="16"/>
    </row>
    <row r="439" spans="2:8">
      <c r="B439" s="5"/>
      <c r="H439" s="16"/>
    </row>
    <row r="440" spans="2:8">
      <c r="B440" s="5"/>
      <c r="H440" s="16"/>
    </row>
    <row r="441" spans="2:8">
      <c r="B441" s="5"/>
      <c r="H441" s="16"/>
    </row>
    <row r="442" spans="2:8">
      <c r="B442" s="5"/>
      <c r="H442" s="16"/>
    </row>
    <row r="443" spans="2:8">
      <c r="B443" s="5"/>
      <c r="H443" s="16"/>
    </row>
    <row r="444" spans="2:8">
      <c r="B444" s="5"/>
      <c r="H444" s="16"/>
    </row>
    <row r="445" spans="2:8">
      <c r="B445" s="5"/>
      <c r="H445" s="16"/>
    </row>
    <row r="446" spans="2:8">
      <c r="B446" s="5"/>
      <c r="H446" s="16"/>
    </row>
    <row r="447" spans="2:8">
      <c r="B447" s="5"/>
      <c r="H447" s="16"/>
    </row>
    <row r="448" spans="2:8">
      <c r="B448" s="5"/>
      <c r="H448" s="16"/>
    </row>
    <row r="449" spans="2:8">
      <c r="B449" s="5"/>
      <c r="H449" s="16"/>
    </row>
    <row r="450" spans="2:8">
      <c r="B450" s="5"/>
      <c r="H450" s="16"/>
    </row>
    <row r="451" spans="2:8">
      <c r="B451" s="5"/>
      <c r="H451" s="16"/>
    </row>
    <row r="452" spans="2:8">
      <c r="B452" s="5"/>
      <c r="H452" s="16"/>
    </row>
    <row r="453" spans="2:8">
      <c r="B453" s="5"/>
      <c r="H453" s="16"/>
    </row>
    <row r="454" spans="2:8">
      <c r="B454" s="5"/>
      <c r="H454" s="16"/>
    </row>
    <row r="455" spans="2:8">
      <c r="B455" s="5"/>
      <c r="H455" s="16"/>
    </row>
    <row r="456" spans="2:8">
      <c r="B456" s="5"/>
      <c r="H456" s="16"/>
    </row>
    <row r="457" spans="2:8">
      <c r="B457" s="5"/>
      <c r="H457" s="16"/>
    </row>
    <row r="458" spans="2:8">
      <c r="B458" s="5"/>
      <c r="H458" s="16"/>
    </row>
    <row r="459" spans="2:8">
      <c r="B459" s="5"/>
      <c r="H459" s="16"/>
    </row>
    <row r="460" spans="2:8">
      <c r="B460" s="5"/>
      <c r="H460" s="16"/>
    </row>
    <row r="461" spans="2:8">
      <c r="B461" s="5"/>
      <c r="H461" s="16"/>
    </row>
    <row r="462" spans="2:8">
      <c r="B462" s="5"/>
      <c r="H462" s="16"/>
    </row>
    <row r="463" spans="2:8">
      <c r="B463" s="5"/>
      <c r="H463" s="16"/>
    </row>
    <row r="464" spans="2:8">
      <c r="B464" s="5"/>
      <c r="H464" s="16"/>
    </row>
    <row r="465" spans="2:8">
      <c r="B465" s="5"/>
      <c r="H465" s="16"/>
    </row>
    <row r="466" spans="2:8">
      <c r="B466" s="5"/>
      <c r="H466" s="16"/>
    </row>
    <row r="467" spans="2:8">
      <c r="B467" s="5"/>
      <c r="H467" s="16"/>
    </row>
    <row r="468" spans="2:8">
      <c r="B468" s="5"/>
      <c r="H468" s="16"/>
    </row>
    <row r="469" spans="2:8">
      <c r="B469" s="5"/>
      <c r="H469" s="16"/>
    </row>
    <row r="470" spans="2:8">
      <c r="B470" s="5"/>
      <c r="H470" s="16"/>
    </row>
    <row r="471" spans="2:8">
      <c r="B471" s="5"/>
      <c r="H471" s="16"/>
    </row>
    <row r="472" spans="2:8">
      <c r="B472" s="5"/>
      <c r="H472" s="16"/>
    </row>
    <row r="473" spans="2:8">
      <c r="B473" s="5"/>
      <c r="H473" s="16"/>
    </row>
    <row r="474" spans="2:8">
      <c r="B474" s="5"/>
      <c r="H474" s="16"/>
    </row>
    <row r="475" spans="2:8">
      <c r="B475" s="5"/>
      <c r="H475" s="16"/>
    </row>
    <row r="476" spans="2:8">
      <c r="B476" s="5"/>
      <c r="H476" s="16"/>
    </row>
    <row r="477" spans="2:8">
      <c r="B477" s="5"/>
      <c r="H477" s="16"/>
    </row>
    <row r="478" spans="2:8">
      <c r="B478" s="5"/>
      <c r="H478" s="16"/>
    </row>
    <row r="479" spans="2:8">
      <c r="B479" s="5"/>
      <c r="H479" s="16"/>
    </row>
    <row r="480" spans="2:8">
      <c r="B480" s="5"/>
      <c r="H480" s="16"/>
    </row>
    <row r="481" spans="2:8">
      <c r="B481" s="5"/>
      <c r="H481" s="16"/>
    </row>
    <row r="482" spans="2:8">
      <c r="B482" s="5"/>
      <c r="H482" s="16"/>
    </row>
    <row r="483" spans="2:8">
      <c r="B483" s="5"/>
      <c r="H483" s="16"/>
    </row>
    <row r="484" spans="2:8">
      <c r="B484" s="5"/>
      <c r="H484" s="16"/>
    </row>
    <row r="485" spans="2:8">
      <c r="B485" s="5"/>
      <c r="H485" s="16"/>
    </row>
    <row r="486" spans="2:8">
      <c r="B486" s="5"/>
      <c r="H486" s="16"/>
    </row>
    <row r="487" spans="2:8">
      <c r="B487" s="5"/>
      <c r="H487" s="16"/>
    </row>
    <row r="488" spans="2:8">
      <c r="B488" s="5"/>
      <c r="H488" s="16"/>
    </row>
    <row r="489" spans="2:8">
      <c r="B489" s="5"/>
      <c r="H489" s="16"/>
    </row>
    <row r="490" spans="2:8">
      <c r="B490" s="5"/>
      <c r="H490" s="16"/>
    </row>
    <row r="491" spans="2:8">
      <c r="B491" s="5"/>
      <c r="H491" s="16"/>
    </row>
    <row r="492" spans="2:8">
      <c r="B492" s="5"/>
      <c r="H492" s="16"/>
    </row>
    <row r="493" spans="2:8">
      <c r="B493" s="5"/>
      <c r="H493" s="16"/>
    </row>
    <row r="494" spans="2:8">
      <c r="B494" s="5"/>
      <c r="H494" s="16"/>
    </row>
    <row r="495" spans="2:8">
      <c r="B495" s="5"/>
      <c r="H495" s="16"/>
    </row>
    <row r="496" spans="2:8">
      <c r="B496" s="5"/>
      <c r="H496" s="16"/>
    </row>
    <row r="497" spans="2:8">
      <c r="B497" s="5"/>
      <c r="H497" s="16"/>
    </row>
    <row r="498" spans="2:8">
      <c r="B498" s="5"/>
      <c r="H498" s="16"/>
    </row>
    <row r="499" spans="2:8">
      <c r="B499" s="5"/>
      <c r="H499" s="16"/>
    </row>
    <row r="500" spans="2:8">
      <c r="B500" s="5"/>
      <c r="H500" s="16"/>
    </row>
    <row r="501" spans="2:8">
      <c r="B501" s="5"/>
      <c r="H501" s="16"/>
    </row>
    <row r="502" spans="2:8">
      <c r="B502" s="5"/>
      <c r="H502" s="16"/>
    </row>
    <row r="503" spans="2:8">
      <c r="B503" s="5"/>
      <c r="H503" s="16"/>
    </row>
    <row r="504" spans="2:8">
      <c r="B504" s="5"/>
      <c r="H504" s="16"/>
    </row>
    <row r="505" spans="2:8">
      <c r="B505" s="5"/>
      <c r="H505" s="16"/>
    </row>
    <row r="506" spans="2:8">
      <c r="B506" s="5"/>
      <c r="H506" s="16"/>
    </row>
    <row r="507" spans="2:8">
      <c r="B507" s="5"/>
      <c r="H507" s="16"/>
    </row>
    <row r="508" spans="2:8">
      <c r="B508" s="5"/>
      <c r="H508" s="16"/>
    </row>
    <row r="509" spans="2:8">
      <c r="B509" s="5"/>
      <c r="H509" s="16"/>
    </row>
    <row r="510" spans="2:8">
      <c r="B510" s="5"/>
      <c r="H510" s="16"/>
    </row>
    <row r="511" spans="2:8">
      <c r="B511" s="5"/>
      <c r="H511" s="16"/>
    </row>
    <row r="512" spans="2:8">
      <c r="B512" s="5"/>
      <c r="H512" s="16"/>
    </row>
    <row r="513" spans="2:8">
      <c r="B513" s="5"/>
      <c r="H513" s="16"/>
    </row>
    <row r="514" spans="2:8">
      <c r="B514" s="5"/>
      <c r="H514" s="16"/>
    </row>
    <row r="515" spans="2:8">
      <c r="B515" s="5"/>
      <c r="H515" s="16"/>
    </row>
    <row r="516" spans="2:8">
      <c r="B516" s="5"/>
      <c r="H516" s="16"/>
    </row>
    <row r="517" spans="2:8">
      <c r="B517" s="5"/>
      <c r="H517" s="16"/>
    </row>
    <row r="518" spans="2:8">
      <c r="B518" s="5"/>
      <c r="H518" s="16"/>
    </row>
    <row r="519" spans="2:8">
      <c r="B519" s="5"/>
      <c r="H519" s="16"/>
    </row>
    <row r="520" spans="2:8">
      <c r="B520" s="5"/>
      <c r="H520" s="16"/>
    </row>
    <row r="521" spans="2:8">
      <c r="B521" s="5"/>
      <c r="H521" s="16"/>
    </row>
    <row r="522" spans="2:8">
      <c r="B522" s="5"/>
      <c r="H522" s="16"/>
    </row>
    <row r="523" spans="2:8">
      <c r="B523" s="5"/>
      <c r="H523" s="16"/>
    </row>
    <row r="524" spans="2:8">
      <c r="B524" s="5"/>
      <c r="H524" s="16"/>
    </row>
    <row r="525" spans="2:8">
      <c r="B525" s="5"/>
      <c r="H525" s="16"/>
    </row>
    <row r="526" spans="2:8">
      <c r="B526" s="5"/>
      <c r="H526" s="16"/>
    </row>
    <row r="527" spans="2:8">
      <c r="B527" s="5"/>
      <c r="H527" s="16"/>
    </row>
    <row r="528" spans="2:8">
      <c r="B528" s="5"/>
      <c r="H528" s="16"/>
    </row>
    <row r="529" spans="2:8">
      <c r="B529" s="5"/>
      <c r="H529" s="16"/>
    </row>
    <row r="530" spans="2:8">
      <c r="B530" s="5"/>
      <c r="H530" s="16"/>
    </row>
    <row r="531" spans="2:8">
      <c r="B531" s="5"/>
      <c r="H531" s="16"/>
    </row>
    <row r="532" spans="2:8">
      <c r="B532" s="5"/>
      <c r="H532" s="16"/>
    </row>
    <row r="533" spans="2:8">
      <c r="B533" s="5"/>
      <c r="H533" s="16"/>
    </row>
    <row r="534" spans="2:8">
      <c r="B534" s="5"/>
      <c r="H534" s="16"/>
    </row>
    <row r="535" spans="2:8">
      <c r="B535" s="5"/>
      <c r="H535" s="16"/>
    </row>
    <row r="536" spans="2:8">
      <c r="B536" s="5"/>
      <c r="H536" s="16"/>
    </row>
    <row r="537" spans="2:8">
      <c r="B537" s="5"/>
      <c r="H537" s="16"/>
    </row>
    <row r="538" spans="2:8">
      <c r="B538" s="5"/>
      <c r="H538" s="16"/>
    </row>
    <row r="539" spans="2:8">
      <c r="B539" s="5"/>
      <c r="H539" s="16"/>
    </row>
    <row r="540" spans="2:8">
      <c r="B540" s="5"/>
      <c r="H540" s="16"/>
    </row>
    <row r="541" spans="2:8">
      <c r="B541" s="5"/>
      <c r="H541" s="16"/>
    </row>
    <row r="542" spans="2:8">
      <c r="B542" s="5"/>
      <c r="H542" s="16"/>
    </row>
    <row r="543" spans="2:8">
      <c r="B543" s="5"/>
      <c r="H543" s="16"/>
    </row>
    <row r="544" spans="2:8">
      <c r="B544" s="5"/>
      <c r="H544" s="16"/>
    </row>
    <row r="545" spans="2:8">
      <c r="B545" s="5"/>
      <c r="H545" s="16"/>
    </row>
    <row r="546" spans="2:8">
      <c r="B546" s="5"/>
      <c r="H546" s="16"/>
    </row>
    <row r="547" spans="2:8">
      <c r="B547" s="5"/>
      <c r="H547" s="16"/>
    </row>
    <row r="548" spans="2:8">
      <c r="B548" s="5"/>
      <c r="H548" s="16"/>
    </row>
    <row r="549" spans="2:8">
      <c r="B549" s="5"/>
      <c r="H549" s="16"/>
    </row>
    <row r="550" spans="2:8">
      <c r="B550" s="5"/>
      <c r="H550" s="16"/>
    </row>
    <row r="551" spans="2:8">
      <c r="B551" s="5"/>
      <c r="H551" s="16"/>
    </row>
    <row r="552" spans="2:8">
      <c r="B552" s="5"/>
      <c r="H552" s="16"/>
    </row>
    <row r="553" spans="2:8">
      <c r="B553" s="5"/>
      <c r="H553" s="16"/>
    </row>
    <row r="554" spans="2:8">
      <c r="B554" s="5"/>
      <c r="H554" s="16"/>
    </row>
    <row r="555" spans="2:8">
      <c r="B555" s="5"/>
      <c r="H555" s="16"/>
    </row>
    <row r="556" spans="2:8">
      <c r="B556" s="5"/>
      <c r="H556" s="16"/>
    </row>
    <row r="557" spans="2:8">
      <c r="B557" s="5"/>
      <c r="H557" s="16"/>
    </row>
    <row r="558" spans="2:8">
      <c r="B558" s="5"/>
      <c r="H558" s="16"/>
    </row>
    <row r="559" spans="2:8">
      <c r="B559" s="5"/>
      <c r="H559" s="16"/>
    </row>
    <row r="560" spans="2:8">
      <c r="B560" s="5"/>
      <c r="H560" s="16"/>
    </row>
    <row r="561" spans="2:8">
      <c r="B561" s="5"/>
      <c r="H561" s="16"/>
    </row>
    <row r="562" spans="2:8">
      <c r="B562" s="5"/>
      <c r="H562" s="16"/>
    </row>
    <row r="563" spans="2:8">
      <c r="B563" s="5"/>
      <c r="H563" s="16"/>
    </row>
    <row r="564" spans="2:8">
      <c r="B564" s="5"/>
      <c r="H564" s="16"/>
    </row>
    <row r="565" spans="2:8">
      <c r="B565" s="5"/>
      <c r="H565" s="16"/>
    </row>
    <row r="566" spans="2:8">
      <c r="B566" s="5"/>
      <c r="H566" s="16"/>
    </row>
    <row r="567" spans="2:8">
      <c r="B567" s="5"/>
      <c r="H567" s="16"/>
    </row>
    <row r="568" spans="2:8">
      <c r="B568" s="5"/>
      <c r="H568" s="16"/>
    </row>
    <row r="569" spans="2:8">
      <c r="B569" s="5"/>
      <c r="H569" s="16"/>
    </row>
    <row r="570" spans="2:8">
      <c r="B570" s="5"/>
      <c r="H570" s="16"/>
    </row>
    <row r="571" spans="2:8">
      <c r="B571" s="5"/>
      <c r="H571" s="16"/>
    </row>
    <row r="572" spans="2:8">
      <c r="B572" s="5"/>
      <c r="H572" s="16"/>
    </row>
    <row r="573" spans="2:8">
      <c r="B573" s="5"/>
      <c r="H573" s="16"/>
    </row>
    <row r="574" spans="2:8">
      <c r="B574" s="5"/>
      <c r="H574" s="16"/>
    </row>
    <row r="575" spans="2:8">
      <c r="B575" s="5"/>
      <c r="H575" s="16"/>
    </row>
    <row r="576" spans="2:8">
      <c r="B576" s="5"/>
      <c r="H576" s="16"/>
    </row>
    <row r="577" spans="2:8">
      <c r="B577" s="5"/>
      <c r="H577" s="16"/>
    </row>
    <row r="578" spans="2:8">
      <c r="B578" s="5"/>
      <c r="H578" s="16"/>
    </row>
    <row r="579" spans="2:8">
      <c r="B579" s="5"/>
      <c r="H579" s="16"/>
    </row>
    <row r="580" spans="2:8">
      <c r="B580" s="5"/>
      <c r="H580" s="16"/>
    </row>
    <row r="581" spans="2:8">
      <c r="B581" s="5"/>
      <c r="H581" s="16"/>
    </row>
    <row r="582" spans="2:8">
      <c r="B582" s="5"/>
      <c r="H582" s="16"/>
    </row>
    <row r="583" spans="2:8">
      <c r="B583" s="5"/>
      <c r="H583" s="16"/>
    </row>
    <row r="584" spans="2:8">
      <c r="B584" s="5"/>
      <c r="H584" s="16"/>
    </row>
    <row r="585" spans="2:8">
      <c r="B585" s="5"/>
      <c r="H585" s="16"/>
    </row>
    <row r="586" spans="2:8">
      <c r="B586" s="5"/>
      <c r="H586" s="16"/>
    </row>
    <row r="587" spans="2:8">
      <c r="B587" s="5"/>
      <c r="H587" s="16"/>
    </row>
    <row r="588" spans="2:8">
      <c r="B588" s="5"/>
      <c r="H588" s="16"/>
    </row>
    <row r="589" spans="2:8">
      <c r="B589" s="5"/>
      <c r="H589" s="16"/>
    </row>
    <row r="590" spans="2:8">
      <c r="B590" s="5"/>
      <c r="H590" s="16"/>
    </row>
    <row r="591" spans="2:8">
      <c r="B591" s="5"/>
      <c r="H591" s="16"/>
    </row>
    <row r="592" spans="2:8">
      <c r="B592" s="5"/>
      <c r="H592" s="16"/>
    </row>
    <row r="593" spans="2:8">
      <c r="B593" s="5"/>
      <c r="H593" s="16"/>
    </row>
    <row r="594" spans="2:8">
      <c r="B594" s="5"/>
      <c r="H594" s="16"/>
    </row>
    <row r="595" spans="2:8">
      <c r="B595" s="5"/>
      <c r="H595" s="16"/>
    </row>
    <row r="596" spans="2:8">
      <c r="B596" s="5"/>
      <c r="H596" s="16"/>
    </row>
    <row r="597" spans="2:8">
      <c r="B597" s="5"/>
      <c r="H597" s="16"/>
    </row>
    <row r="598" spans="2:8">
      <c r="B598" s="5"/>
      <c r="H598" s="16"/>
    </row>
    <row r="599" spans="2:8">
      <c r="B599" s="5"/>
      <c r="H599" s="16"/>
    </row>
    <row r="600" spans="2:8">
      <c r="B600" s="5"/>
      <c r="H600" s="16"/>
    </row>
    <row r="601" spans="2:8">
      <c r="B601" s="5"/>
      <c r="H601" s="16"/>
    </row>
    <row r="602" spans="2:8">
      <c r="B602" s="5"/>
      <c r="H602" s="16"/>
    </row>
    <row r="603" spans="2:8">
      <c r="B603" s="5"/>
      <c r="H603" s="16"/>
    </row>
    <row r="604" spans="2:8">
      <c r="B604" s="5"/>
      <c r="H604" s="16"/>
    </row>
    <row r="605" spans="2:8">
      <c r="B605" s="5"/>
      <c r="H605" s="16"/>
    </row>
    <row r="606" spans="2:8">
      <c r="B606" s="5"/>
      <c r="H606" s="16"/>
    </row>
    <row r="607" spans="2:8">
      <c r="B607" s="5"/>
      <c r="H607" s="16"/>
    </row>
    <row r="608" spans="2:8">
      <c r="B608" s="5"/>
      <c r="H608" s="16"/>
    </row>
    <row r="609" spans="2:8">
      <c r="B609" s="5"/>
      <c r="H609" s="16"/>
    </row>
    <row r="610" spans="2:8">
      <c r="B610" s="5"/>
      <c r="H610" s="16"/>
    </row>
    <row r="611" spans="2:8">
      <c r="B611" s="5"/>
      <c r="H611" s="16"/>
    </row>
    <row r="612" spans="2:8">
      <c r="B612" s="5"/>
      <c r="H612" s="16"/>
    </row>
    <row r="613" spans="2:8">
      <c r="B613" s="5"/>
      <c r="H613" s="16"/>
    </row>
    <row r="614" spans="2:8">
      <c r="B614" s="5"/>
      <c r="H614" s="16"/>
    </row>
    <row r="615" spans="2:8">
      <c r="B615" s="5"/>
      <c r="H615" s="16"/>
    </row>
    <row r="616" spans="2:8">
      <c r="B616" s="5"/>
      <c r="H616" s="16"/>
    </row>
    <row r="617" spans="2:8">
      <c r="B617" s="5"/>
      <c r="H617" s="16"/>
    </row>
    <row r="618" spans="2:8">
      <c r="B618" s="5"/>
      <c r="H618" s="16"/>
    </row>
    <row r="619" spans="2:8">
      <c r="B619" s="5"/>
      <c r="H619" s="16"/>
    </row>
    <row r="620" spans="2:8">
      <c r="B620" s="5"/>
      <c r="H620" s="16"/>
    </row>
    <row r="621" spans="2:8">
      <c r="B621" s="5"/>
      <c r="H621" s="16"/>
    </row>
    <row r="622" spans="2:8">
      <c r="B622" s="5"/>
      <c r="H622" s="16"/>
    </row>
    <row r="623" spans="2:8">
      <c r="B623" s="5"/>
      <c r="H623" s="16"/>
    </row>
    <row r="624" spans="2:8">
      <c r="B624" s="5"/>
      <c r="H624" s="16"/>
    </row>
    <row r="625" spans="2:8">
      <c r="B625" s="5"/>
      <c r="H625" s="16"/>
    </row>
    <row r="626" spans="2:8">
      <c r="B626" s="5"/>
      <c r="H626" s="16"/>
    </row>
    <row r="627" spans="2:8">
      <c r="B627" s="5"/>
      <c r="H627" s="16"/>
    </row>
    <row r="628" spans="2:8">
      <c r="B628" s="5"/>
      <c r="H628" s="16"/>
    </row>
    <row r="629" spans="2:8">
      <c r="B629" s="5"/>
      <c r="H629" s="16"/>
    </row>
    <row r="630" spans="2:8">
      <c r="B630" s="5"/>
      <c r="H630" s="16"/>
    </row>
    <row r="631" spans="2:8">
      <c r="B631" s="5"/>
      <c r="H631" s="16"/>
    </row>
    <row r="632" spans="2:8">
      <c r="B632" s="5"/>
      <c r="H632" s="16"/>
    </row>
    <row r="633" spans="2:8">
      <c r="B633" s="5"/>
      <c r="H633" s="16"/>
    </row>
    <row r="634" spans="2:8">
      <c r="B634" s="5"/>
      <c r="H634" s="16"/>
    </row>
    <row r="635" spans="2:8">
      <c r="B635" s="5"/>
      <c r="H635" s="16"/>
    </row>
    <row r="636" spans="2:8">
      <c r="B636" s="5"/>
      <c r="H636" s="16"/>
    </row>
    <row r="637" spans="2:8">
      <c r="B637" s="5"/>
      <c r="H637" s="16"/>
    </row>
    <row r="638" spans="2:8">
      <c r="B638" s="5"/>
      <c r="H638" s="16"/>
    </row>
    <row r="639" spans="2:8">
      <c r="B639" s="5"/>
      <c r="H639" s="16"/>
    </row>
    <row r="640" spans="2:8">
      <c r="B640" s="5"/>
      <c r="H640" s="16"/>
    </row>
    <row r="641" spans="2:8">
      <c r="B641" s="5"/>
      <c r="H641" s="16"/>
    </row>
    <row r="642" spans="2:8">
      <c r="B642" s="5"/>
      <c r="H642" s="16"/>
    </row>
    <row r="643" spans="2:8">
      <c r="B643" s="5"/>
      <c r="H643" s="16"/>
    </row>
    <row r="644" spans="2:8">
      <c r="B644" s="5"/>
      <c r="H644" s="16"/>
    </row>
    <row r="645" spans="2:8">
      <c r="B645" s="5"/>
      <c r="H645" s="16"/>
    </row>
    <row r="646" spans="2:8">
      <c r="B646" s="5"/>
      <c r="H646" s="16"/>
    </row>
    <row r="647" spans="2:8">
      <c r="B647" s="5"/>
      <c r="H647" s="16"/>
    </row>
    <row r="648" spans="2:8">
      <c r="B648" s="5"/>
      <c r="H648" s="16"/>
    </row>
    <row r="649" spans="2:8">
      <c r="B649" s="5"/>
      <c r="H649" s="16"/>
    </row>
    <row r="650" spans="2:8">
      <c r="B650" s="5"/>
      <c r="H650" s="16"/>
    </row>
    <row r="651" spans="2:8">
      <c r="B651" s="5"/>
      <c r="H651" s="16"/>
    </row>
    <row r="652" spans="2:8">
      <c r="B652" s="5"/>
      <c r="H652" s="16"/>
    </row>
    <row r="653" spans="2:8">
      <c r="B653" s="5"/>
      <c r="H653" s="16"/>
    </row>
    <row r="654" spans="2:8">
      <c r="B654" s="5"/>
      <c r="H654" s="16"/>
    </row>
    <row r="655" spans="2:8">
      <c r="B655" s="5"/>
      <c r="H655" s="16"/>
    </row>
    <row r="656" spans="2:8">
      <c r="B656" s="5"/>
      <c r="H656" s="16"/>
    </row>
    <row r="657" spans="2:8">
      <c r="B657" s="5"/>
      <c r="H657" s="16"/>
    </row>
    <row r="658" spans="2:8">
      <c r="B658" s="5"/>
      <c r="H658" s="16"/>
    </row>
    <row r="659" spans="2:8">
      <c r="B659" s="5"/>
      <c r="H659" s="16"/>
    </row>
    <row r="660" spans="2:8">
      <c r="B660" s="5"/>
      <c r="H660" s="16"/>
    </row>
    <row r="661" spans="2:8">
      <c r="B661" s="5"/>
      <c r="H661" s="16"/>
    </row>
    <row r="662" spans="2:8">
      <c r="B662" s="5"/>
      <c r="H662" s="16"/>
    </row>
    <row r="663" spans="2:8">
      <c r="B663" s="5"/>
      <c r="H663" s="16"/>
    </row>
    <row r="664" spans="2:8">
      <c r="B664" s="5"/>
      <c r="H664" s="16"/>
    </row>
    <row r="665" spans="2:8">
      <c r="B665" s="5"/>
      <c r="H665" s="16"/>
    </row>
    <row r="666" spans="2:8">
      <c r="B666" s="5"/>
      <c r="H666" s="16"/>
    </row>
    <row r="667" spans="2:8">
      <c r="B667" s="5"/>
      <c r="H667" s="16"/>
    </row>
    <row r="668" spans="2:8">
      <c r="B668" s="5"/>
      <c r="H668" s="16"/>
    </row>
    <row r="669" spans="2:8">
      <c r="B669" s="5"/>
      <c r="H669" s="16"/>
    </row>
    <row r="670" spans="2:8">
      <c r="B670" s="5"/>
      <c r="H670" s="16"/>
    </row>
    <row r="671" spans="2:8">
      <c r="B671" s="5"/>
      <c r="H671" s="16"/>
    </row>
    <row r="672" spans="2:8">
      <c r="B672" s="5"/>
      <c r="H672" s="16"/>
    </row>
    <row r="673" spans="2:8">
      <c r="B673" s="5"/>
      <c r="H673" s="16"/>
    </row>
    <row r="674" spans="2:8">
      <c r="B674" s="5"/>
      <c r="H674" s="16"/>
    </row>
    <row r="675" spans="2:8">
      <c r="B675" s="5"/>
      <c r="H675" s="16"/>
    </row>
    <row r="676" spans="2:8">
      <c r="B676" s="5"/>
      <c r="H676" s="16"/>
    </row>
    <row r="677" spans="2:8">
      <c r="B677" s="5"/>
      <c r="H677" s="16"/>
    </row>
    <row r="678" spans="2:8">
      <c r="B678" s="5"/>
      <c r="H678" s="16"/>
    </row>
    <row r="679" spans="2:8">
      <c r="B679" s="5"/>
      <c r="H679" s="16"/>
    </row>
    <row r="680" spans="2:8">
      <c r="B680" s="5"/>
      <c r="H680" s="16"/>
    </row>
    <row r="681" spans="2:8">
      <c r="B681" s="5"/>
      <c r="H681" s="16"/>
    </row>
    <row r="682" spans="2:8">
      <c r="B682" s="5"/>
      <c r="H682" s="16"/>
    </row>
    <row r="683" spans="2:8">
      <c r="B683" s="5"/>
      <c r="H683" s="16"/>
    </row>
    <row r="684" spans="2:8">
      <c r="B684" s="5"/>
      <c r="H684" s="16"/>
    </row>
    <row r="685" spans="2:8">
      <c r="B685" s="5"/>
      <c r="H685" s="16"/>
    </row>
    <row r="686" spans="2:8">
      <c r="B686" s="5"/>
      <c r="H686" s="16"/>
    </row>
    <row r="687" spans="2:8">
      <c r="B687" s="5"/>
      <c r="H687" s="16"/>
    </row>
    <row r="688" spans="2:8">
      <c r="B688" s="5"/>
      <c r="H688" s="16"/>
    </row>
    <row r="689" spans="2:8">
      <c r="B689" s="5"/>
      <c r="H689" s="16"/>
    </row>
    <row r="690" spans="2:8">
      <c r="B690" s="5"/>
      <c r="H690" s="16"/>
    </row>
    <row r="691" spans="2:8">
      <c r="B691" s="5"/>
      <c r="H691" s="16"/>
    </row>
    <row r="692" spans="2:8">
      <c r="B692" s="5"/>
      <c r="H692" s="16"/>
    </row>
    <row r="693" spans="2:8">
      <c r="B693" s="5"/>
      <c r="H693" s="16"/>
    </row>
    <row r="694" spans="2:8">
      <c r="B694" s="5"/>
      <c r="H694" s="16"/>
    </row>
    <row r="695" spans="2:8">
      <c r="B695" s="5"/>
      <c r="H695" s="16"/>
    </row>
    <row r="696" spans="2:8">
      <c r="B696" s="5"/>
      <c r="H696" s="16"/>
    </row>
    <row r="697" spans="2:8">
      <c r="B697" s="5"/>
      <c r="H697" s="16"/>
    </row>
    <row r="698" spans="2:8">
      <c r="B698" s="5"/>
      <c r="H698" s="16"/>
    </row>
    <row r="699" spans="2:8">
      <c r="B699" s="5"/>
      <c r="H699" s="16"/>
    </row>
    <row r="700" spans="2:8">
      <c r="B700" s="5"/>
      <c r="H700" s="16"/>
    </row>
    <row r="701" spans="2:8">
      <c r="B701" s="5"/>
      <c r="H701" s="16"/>
    </row>
    <row r="702" spans="2:8">
      <c r="B702" s="5"/>
      <c r="H702" s="16"/>
    </row>
    <row r="703" spans="2:8">
      <c r="B703" s="5"/>
      <c r="H703" s="16"/>
    </row>
    <row r="704" spans="2:8">
      <c r="B704" s="5"/>
      <c r="H704" s="16"/>
    </row>
    <row r="705" spans="2:8">
      <c r="B705" s="5"/>
      <c r="H705" s="16"/>
    </row>
    <row r="706" spans="2:8">
      <c r="B706" s="5"/>
      <c r="H706" s="16"/>
    </row>
    <row r="707" spans="2:8">
      <c r="B707" s="5"/>
      <c r="H707" s="16"/>
    </row>
    <row r="708" spans="2:8">
      <c r="B708" s="5"/>
      <c r="H708" s="16"/>
    </row>
    <row r="709" spans="2:8">
      <c r="B709" s="5"/>
      <c r="H709" s="16"/>
    </row>
    <row r="710" spans="2:8">
      <c r="B710" s="5"/>
      <c r="H710" s="16"/>
    </row>
    <row r="711" spans="2:8">
      <c r="B711" s="5"/>
      <c r="H711" s="16"/>
    </row>
    <row r="712" spans="2:8">
      <c r="B712" s="5"/>
      <c r="H712" s="16"/>
    </row>
    <row r="713" spans="2:8">
      <c r="B713" s="5"/>
      <c r="H713" s="16"/>
    </row>
    <row r="714" spans="2:8">
      <c r="B714" s="5"/>
      <c r="H714" s="16"/>
    </row>
    <row r="715" spans="2:8">
      <c r="B715" s="5"/>
      <c r="H715" s="16"/>
    </row>
    <row r="716" spans="2:8">
      <c r="B716" s="5"/>
      <c r="H716" s="16"/>
    </row>
    <row r="717" spans="2:8">
      <c r="B717" s="5"/>
      <c r="H717" s="16"/>
    </row>
    <row r="718" spans="2:8">
      <c r="B718" s="5"/>
      <c r="H718" s="16"/>
    </row>
    <row r="719" spans="2:8">
      <c r="B719" s="5"/>
      <c r="H719" s="16"/>
    </row>
    <row r="720" spans="2:8">
      <c r="B720" s="5"/>
      <c r="H720" s="16"/>
    </row>
    <row r="721" spans="2:8">
      <c r="B721" s="5"/>
      <c r="H721" s="16"/>
    </row>
    <row r="722" spans="2:8">
      <c r="B722" s="5"/>
      <c r="H722" s="16"/>
    </row>
    <row r="723" spans="2:8">
      <c r="B723" s="5"/>
      <c r="H723" s="16"/>
    </row>
    <row r="724" spans="2:8">
      <c r="B724" s="5"/>
      <c r="H724" s="16"/>
    </row>
    <row r="725" spans="2:8">
      <c r="B725" s="5"/>
      <c r="H725" s="16"/>
    </row>
    <row r="726" spans="2:8">
      <c r="B726" s="5"/>
      <c r="H726" s="16"/>
    </row>
    <row r="727" spans="2:8">
      <c r="B727" s="5"/>
      <c r="H727" s="16"/>
    </row>
    <row r="728" spans="2:8">
      <c r="B728" s="5"/>
      <c r="H728" s="16"/>
    </row>
    <row r="729" spans="2:8">
      <c r="B729" s="5"/>
      <c r="H729" s="16"/>
    </row>
    <row r="730" spans="2:8">
      <c r="B730" s="5"/>
      <c r="H730" s="16"/>
    </row>
    <row r="731" spans="2:8">
      <c r="B731" s="5"/>
      <c r="H731" s="16"/>
    </row>
    <row r="732" spans="2:8">
      <c r="B732" s="5"/>
      <c r="H732" s="16"/>
    </row>
    <row r="733" spans="2:8">
      <c r="B733" s="5"/>
      <c r="H733" s="16"/>
    </row>
    <row r="734" spans="2:8">
      <c r="B734" s="5"/>
      <c r="H734" s="16"/>
    </row>
    <row r="735" spans="2:8">
      <c r="B735" s="5"/>
      <c r="H735" s="16"/>
    </row>
    <row r="736" spans="2:8">
      <c r="B736" s="5"/>
      <c r="H736" s="16"/>
    </row>
    <row r="737" spans="2:8">
      <c r="B737" s="5"/>
      <c r="H737" s="16"/>
    </row>
    <row r="738" spans="2:8">
      <c r="B738" s="5"/>
      <c r="H738" s="16"/>
    </row>
    <row r="739" spans="2:8">
      <c r="B739" s="5"/>
      <c r="H739" s="16"/>
    </row>
    <row r="740" spans="2:8">
      <c r="B740" s="5"/>
      <c r="H740" s="16"/>
    </row>
    <row r="741" spans="2:8">
      <c r="B741" s="5"/>
      <c r="H741" s="16"/>
    </row>
    <row r="742" spans="2:8">
      <c r="B742" s="5"/>
      <c r="H742" s="16"/>
    </row>
    <row r="743" spans="2:8">
      <c r="B743" s="5"/>
      <c r="H743" s="16"/>
    </row>
    <row r="744" spans="2:8">
      <c r="B744" s="5"/>
      <c r="H744" s="16"/>
    </row>
    <row r="745" spans="2:8">
      <c r="B745" s="5"/>
      <c r="H745" s="16"/>
    </row>
    <row r="746" spans="2:8">
      <c r="B746" s="5"/>
      <c r="H746" s="16"/>
    </row>
    <row r="747" spans="2:8">
      <c r="B747" s="5"/>
      <c r="H747" s="16"/>
    </row>
    <row r="748" spans="2:8">
      <c r="B748" s="5"/>
      <c r="H748" s="16"/>
    </row>
    <row r="749" spans="2:8">
      <c r="B749" s="5"/>
      <c r="H749" s="16"/>
    </row>
    <row r="750" spans="2:8">
      <c r="B750" s="5"/>
      <c r="H750" s="16"/>
    </row>
    <row r="751" spans="2:8">
      <c r="B751" s="5"/>
      <c r="H751" s="16"/>
    </row>
    <row r="752" spans="2:8">
      <c r="B752" s="5"/>
      <c r="H752" s="16"/>
    </row>
    <row r="753" spans="2:8">
      <c r="B753" s="5"/>
      <c r="H753" s="16"/>
    </row>
    <row r="754" spans="2:8">
      <c r="B754" s="5"/>
      <c r="H754" s="16"/>
    </row>
    <row r="755" spans="2:8">
      <c r="B755" s="5"/>
      <c r="H755" s="16"/>
    </row>
    <row r="756" spans="2:8">
      <c r="B756" s="5"/>
      <c r="H756" s="16"/>
    </row>
    <row r="757" spans="2:8">
      <c r="B757" s="5"/>
      <c r="H757" s="16"/>
    </row>
    <row r="758" spans="2:8">
      <c r="B758" s="5"/>
      <c r="H758" s="16"/>
    </row>
    <row r="759" spans="2:8">
      <c r="B759" s="5"/>
      <c r="H759" s="16"/>
    </row>
    <row r="760" spans="2:8">
      <c r="B760" s="5"/>
      <c r="H760" s="16"/>
    </row>
    <row r="761" spans="2:8">
      <c r="B761" s="5"/>
      <c r="H761" s="16"/>
    </row>
    <row r="762" spans="2:8">
      <c r="B762" s="5"/>
      <c r="H762" s="16"/>
    </row>
    <row r="763" spans="2:8">
      <c r="B763" s="5"/>
      <c r="H763" s="16"/>
    </row>
    <row r="764" spans="2:8">
      <c r="B764" s="5"/>
      <c r="H764" s="16"/>
    </row>
    <row r="765" spans="2:8">
      <c r="B765" s="5"/>
      <c r="H765" s="16"/>
    </row>
    <row r="766" spans="2:8">
      <c r="B766" s="5"/>
      <c r="H766" s="16"/>
    </row>
    <row r="767" spans="2:8">
      <c r="B767" s="5"/>
      <c r="H767" s="16"/>
    </row>
    <row r="768" spans="2:8">
      <c r="B768" s="5"/>
      <c r="H768" s="16"/>
    </row>
    <row r="769" spans="2:8">
      <c r="B769" s="5"/>
      <c r="H769" s="16"/>
    </row>
    <row r="770" spans="2:8">
      <c r="B770" s="5"/>
      <c r="H770" s="16"/>
    </row>
    <row r="771" spans="2:8">
      <c r="B771" s="5"/>
      <c r="H771" s="16"/>
    </row>
    <row r="772" spans="2:8">
      <c r="B772" s="5"/>
      <c r="H772" s="16"/>
    </row>
    <row r="773" spans="2:8">
      <c r="B773" s="5"/>
      <c r="H773" s="16"/>
    </row>
    <row r="774" spans="2:8">
      <c r="B774" s="5"/>
      <c r="H774" s="16"/>
    </row>
    <row r="775" spans="2:8">
      <c r="B775" s="5"/>
      <c r="H775" s="16"/>
    </row>
    <row r="776" spans="2:8">
      <c r="B776" s="5"/>
      <c r="H776" s="16"/>
    </row>
    <row r="777" spans="2:8">
      <c r="B777" s="5"/>
      <c r="H777" s="16"/>
    </row>
    <row r="778" spans="2:8">
      <c r="B778" s="5"/>
      <c r="H778" s="16"/>
    </row>
    <row r="779" spans="2:8">
      <c r="B779" s="5"/>
      <c r="H779" s="16"/>
    </row>
    <row r="780" spans="2:8">
      <c r="B780" s="5"/>
      <c r="H780" s="16"/>
    </row>
    <row r="781" spans="2:8">
      <c r="B781" s="5"/>
      <c r="H781" s="16"/>
    </row>
    <row r="782" spans="2:8">
      <c r="B782" s="5"/>
      <c r="H782" s="16"/>
    </row>
    <row r="783" spans="2:8">
      <c r="B783" s="5"/>
      <c r="H783" s="16"/>
    </row>
    <row r="784" spans="2:8">
      <c r="B784" s="5"/>
      <c r="H784" s="16"/>
    </row>
    <row r="785" spans="2:8">
      <c r="B785" s="5"/>
      <c r="H785" s="16"/>
    </row>
    <row r="786" spans="2:8">
      <c r="B786" s="5"/>
      <c r="H786" s="16"/>
    </row>
    <row r="787" spans="2:8">
      <c r="B787" s="5"/>
      <c r="H787" s="16"/>
    </row>
    <row r="788" spans="2:8">
      <c r="B788" s="5"/>
      <c r="H788" s="16"/>
    </row>
    <row r="789" spans="2:8">
      <c r="B789" s="5"/>
      <c r="H789" s="16"/>
    </row>
    <row r="790" spans="2:8">
      <c r="B790" s="5"/>
      <c r="H790" s="16"/>
    </row>
    <row r="791" spans="2:8">
      <c r="B791" s="5"/>
      <c r="H791" s="16"/>
    </row>
    <row r="792" spans="2:8">
      <c r="B792" s="5"/>
      <c r="H792" s="16"/>
    </row>
    <row r="793" spans="2:8">
      <c r="B793" s="5"/>
      <c r="H793" s="16"/>
    </row>
    <row r="794" spans="2:8">
      <c r="B794" s="5"/>
      <c r="H794" s="16"/>
    </row>
    <row r="795" spans="2:8">
      <c r="B795" s="5"/>
      <c r="H795" s="16"/>
    </row>
    <row r="796" spans="2:8">
      <c r="B796" s="5"/>
      <c r="H796" s="16"/>
    </row>
    <row r="797" spans="2:8">
      <c r="B797" s="5"/>
      <c r="H797" s="16"/>
    </row>
    <row r="798" spans="2:8">
      <c r="B798" s="5"/>
      <c r="H798" s="16"/>
    </row>
    <row r="799" spans="2:8">
      <c r="B799" s="5"/>
      <c r="H799" s="16"/>
    </row>
    <row r="800" spans="2:8">
      <c r="B800" s="5"/>
      <c r="H800" s="16"/>
    </row>
    <row r="801" spans="2:8">
      <c r="B801" s="5"/>
      <c r="H801" s="16"/>
    </row>
    <row r="802" spans="2:8">
      <c r="B802" s="5"/>
      <c r="H802" s="16"/>
    </row>
    <row r="803" spans="2:8">
      <c r="B803" s="5"/>
      <c r="H803" s="16"/>
    </row>
    <row r="804" spans="2:8">
      <c r="B804" s="5"/>
      <c r="H804" s="16"/>
    </row>
    <row r="805" spans="2:8">
      <c r="B805" s="5"/>
      <c r="H805" s="16"/>
    </row>
    <row r="806" spans="2:8">
      <c r="B806" s="5"/>
      <c r="H806" s="16"/>
    </row>
    <row r="807" spans="2:8">
      <c r="B807" s="5"/>
      <c r="H807" s="16"/>
    </row>
    <row r="808" spans="2:8">
      <c r="B808" s="5"/>
      <c r="H808" s="16"/>
    </row>
    <row r="809" spans="2:8">
      <c r="B809" s="5"/>
      <c r="H809" s="16"/>
    </row>
    <row r="810" spans="2:8">
      <c r="B810" s="5"/>
      <c r="H810" s="16"/>
    </row>
    <row r="811" spans="2:8">
      <c r="B811" s="5"/>
      <c r="H811" s="16"/>
    </row>
    <row r="812" spans="2:8">
      <c r="B812" s="5"/>
      <c r="H812" s="16"/>
    </row>
    <row r="813" spans="2:8">
      <c r="B813" s="5"/>
      <c r="H813" s="16"/>
    </row>
    <row r="814" spans="2:8">
      <c r="B814" s="5"/>
      <c r="H814" s="16"/>
    </row>
    <row r="815" spans="2:8">
      <c r="B815" s="5"/>
      <c r="H815" s="16"/>
    </row>
    <row r="816" spans="2:8">
      <c r="B816" s="5"/>
      <c r="H816" s="16"/>
    </row>
    <row r="817" spans="2:8">
      <c r="B817" s="5"/>
      <c r="H817" s="16"/>
    </row>
    <row r="818" spans="2:8">
      <c r="B818" s="5"/>
      <c r="H818" s="16"/>
    </row>
    <row r="819" spans="2:8">
      <c r="B819" s="5"/>
      <c r="H819" s="16"/>
    </row>
    <row r="820" spans="2:8">
      <c r="B820" s="5"/>
      <c r="H820" s="16"/>
    </row>
    <row r="821" spans="2:8">
      <c r="B821" s="5"/>
      <c r="H821" s="16"/>
    </row>
    <row r="822" spans="2:8">
      <c r="B822" s="5"/>
      <c r="H822" s="16"/>
    </row>
    <row r="823" spans="2:8">
      <c r="B823" s="5"/>
      <c r="H823" s="16"/>
    </row>
    <row r="824" spans="2:8">
      <c r="B824" s="5"/>
      <c r="H824" s="16"/>
    </row>
    <row r="825" spans="2:8">
      <c r="B825" s="5"/>
      <c r="H825" s="16"/>
    </row>
    <row r="826" spans="2:8">
      <c r="B826" s="5"/>
      <c r="H826" s="16"/>
    </row>
    <row r="827" spans="2:8">
      <c r="B827" s="5"/>
      <c r="H827" s="16"/>
    </row>
    <row r="828" spans="2:8">
      <c r="B828" s="5"/>
      <c r="H828" s="16"/>
    </row>
    <row r="829" spans="2:8">
      <c r="B829" s="5"/>
      <c r="H829" s="16"/>
    </row>
    <row r="830" spans="2:8">
      <c r="B830" s="5"/>
      <c r="H830" s="16"/>
    </row>
    <row r="831" spans="2:8">
      <c r="B831" s="5"/>
      <c r="H831" s="16"/>
    </row>
    <row r="832" spans="2:8">
      <c r="B832" s="5"/>
      <c r="H832" s="16"/>
    </row>
    <row r="833" spans="2:8">
      <c r="B833" s="5"/>
      <c r="H833" s="16"/>
    </row>
    <row r="834" spans="2:8">
      <c r="B834" s="5"/>
      <c r="H834" s="16"/>
    </row>
    <row r="835" spans="2:8">
      <c r="B835" s="5"/>
      <c r="H835" s="16"/>
    </row>
    <row r="836" spans="2:8">
      <c r="B836" s="5"/>
      <c r="H836" s="16"/>
    </row>
    <row r="837" spans="2:8">
      <c r="B837" s="5"/>
      <c r="H837" s="16"/>
    </row>
    <row r="838" spans="2:8">
      <c r="B838" s="5"/>
      <c r="H838" s="16"/>
    </row>
    <row r="839" spans="2:8">
      <c r="B839" s="5"/>
      <c r="H839" s="16"/>
    </row>
    <row r="840" spans="2:8">
      <c r="B840" s="5"/>
      <c r="H840" s="16"/>
    </row>
    <row r="841" spans="2:8">
      <c r="B841" s="5"/>
      <c r="H841" s="16"/>
    </row>
    <row r="842" spans="2:8">
      <c r="B842" s="5"/>
      <c r="H842" s="16"/>
    </row>
    <row r="843" spans="2:8">
      <c r="B843" s="5"/>
      <c r="H843" s="16"/>
    </row>
    <row r="844" spans="2:8">
      <c r="B844" s="5"/>
      <c r="H844" s="16"/>
    </row>
    <row r="845" spans="2:8">
      <c r="B845" s="5"/>
      <c r="H845" s="16"/>
    </row>
    <row r="846" spans="2:8">
      <c r="B846" s="5"/>
      <c r="H846" s="16"/>
    </row>
    <row r="847" spans="2:8">
      <c r="B847" s="5"/>
      <c r="H847" s="16"/>
    </row>
    <row r="848" spans="2:8">
      <c r="B848" s="5"/>
      <c r="H848" s="16"/>
    </row>
    <row r="849" spans="2:8">
      <c r="B849" s="5"/>
      <c r="H849" s="16"/>
    </row>
    <row r="850" spans="2:8">
      <c r="B850" s="5"/>
      <c r="H850" s="16"/>
    </row>
    <row r="851" spans="2:8">
      <c r="B851" s="5"/>
      <c r="H851" s="16"/>
    </row>
    <row r="852" spans="2:8">
      <c r="B852" s="5"/>
      <c r="H852" s="16"/>
    </row>
    <row r="853" spans="2:8">
      <c r="B853" s="5"/>
      <c r="H853" s="16"/>
    </row>
    <row r="854" spans="2:8">
      <c r="B854" s="5"/>
      <c r="H854" s="16"/>
    </row>
    <row r="855" spans="2:8">
      <c r="B855" s="5"/>
      <c r="H855" s="16"/>
    </row>
    <row r="856" spans="2:8">
      <c r="B856" s="5"/>
      <c r="H856" s="16"/>
    </row>
    <row r="857" spans="2:8">
      <c r="B857" s="5"/>
      <c r="H857" s="16"/>
    </row>
    <row r="858" spans="2:8">
      <c r="B858" s="5"/>
      <c r="H858" s="16"/>
    </row>
    <row r="859" spans="2:8">
      <c r="B859" s="5"/>
      <c r="H859" s="16"/>
    </row>
    <row r="860" spans="2:8">
      <c r="B860" s="5"/>
      <c r="H860" s="16"/>
    </row>
    <row r="861" spans="2:8">
      <c r="B861" s="5"/>
      <c r="H861" s="16"/>
    </row>
    <row r="862" spans="2:8">
      <c r="B862" s="5"/>
      <c r="H862" s="16"/>
    </row>
    <row r="863" spans="2:8">
      <c r="B863" s="5"/>
      <c r="H863" s="16"/>
    </row>
    <row r="864" spans="2:8">
      <c r="B864" s="5"/>
      <c r="H864" s="16"/>
    </row>
    <row r="865" spans="2:8">
      <c r="B865" s="5"/>
      <c r="H865" s="16"/>
    </row>
    <row r="866" spans="2:8">
      <c r="B866" s="5"/>
      <c r="H866" s="16"/>
    </row>
    <row r="867" spans="2:8">
      <c r="B867" s="5"/>
      <c r="H867" s="16"/>
    </row>
    <row r="868" spans="2:8">
      <c r="B868" s="5"/>
      <c r="H868" s="16"/>
    </row>
    <row r="869" spans="2:8">
      <c r="B869" s="5"/>
      <c r="H869" s="16"/>
    </row>
    <row r="870" spans="2:8">
      <c r="B870" s="5"/>
      <c r="H870" s="16"/>
    </row>
    <row r="871" spans="2:8">
      <c r="B871" s="5"/>
      <c r="H871" s="16"/>
    </row>
    <row r="872" spans="2:8">
      <c r="B872" s="5"/>
      <c r="H872" s="16"/>
    </row>
    <row r="873" spans="2:8">
      <c r="B873" s="5"/>
      <c r="H873" s="16"/>
    </row>
    <row r="874" spans="2:8">
      <c r="B874" s="5"/>
      <c r="H874" s="16"/>
    </row>
    <row r="875" spans="2:8">
      <c r="B875" s="5"/>
      <c r="H875" s="16"/>
    </row>
    <row r="876" spans="2:8">
      <c r="B876" s="5"/>
      <c r="H876" s="16"/>
    </row>
    <row r="877" spans="2:8">
      <c r="B877" s="5"/>
      <c r="H877" s="16"/>
    </row>
    <row r="878" spans="2:8">
      <c r="B878" s="5"/>
      <c r="H878" s="16"/>
    </row>
    <row r="879" spans="2:8">
      <c r="B879" s="5"/>
      <c r="H879" s="16"/>
    </row>
    <row r="880" spans="2:8">
      <c r="B880" s="5"/>
      <c r="H880" s="16"/>
    </row>
    <row r="881" spans="2:8">
      <c r="B881" s="5"/>
      <c r="H881" s="16"/>
    </row>
    <row r="882" spans="2:8">
      <c r="B882" s="5"/>
      <c r="H882" s="16"/>
    </row>
    <row r="883" spans="2:8">
      <c r="B883" s="5"/>
      <c r="H883" s="16"/>
    </row>
    <row r="884" spans="2:8">
      <c r="B884" s="5"/>
      <c r="H884" s="16"/>
    </row>
    <row r="885" spans="2:8">
      <c r="B885" s="5"/>
      <c r="H885" s="16"/>
    </row>
    <row r="886" spans="2:8">
      <c r="B886" s="5"/>
      <c r="H886" s="16"/>
    </row>
    <row r="887" spans="2:8">
      <c r="B887" s="5"/>
      <c r="H887" s="16"/>
    </row>
    <row r="888" spans="2:8">
      <c r="B888" s="5"/>
      <c r="H888" s="16"/>
    </row>
    <row r="889" spans="2:8">
      <c r="B889" s="5"/>
      <c r="H889" s="16"/>
    </row>
    <row r="890" spans="2:8">
      <c r="B890" s="5"/>
      <c r="H890" s="16"/>
    </row>
    <row r="891" spans="2:8">
      <c r="B891" s="5"/>
      <c r="H891" s="16"/>
    </row>
    <row r="892" spans="2:8">
      <c r="B892" s="5"/>
      <c r="H892" s="16"/>
    </row>
  </sheetData>
  <mergeCells count="22">
    <mergeCell ref="C50:F50"/>
    <mergeCell ref="C45:F45"/>
    <mergeCell ref="C46:F46"/>
    <mergeCell ref="C47:F47"/>
    <mergeCell ref="C48:F48"/>
    <mergeCell ref="C49:F49"/>
    <mergeCell ref="G50:H50"/>
    <mergeCell ref="G45:H45"/>
    <mergeCell ref="G47:H47"/>
    <mergeCell ref="G49:H49"/>
    <mergeCell ref="A4:H4"/>
    <mergeCell ref="A39:F39"/>
    <mergeCell ref="C42:F42"/>
    <mergeCell ref="C43:F43"/>
    <mergeCell ref="C44:F44"/>
    <mergeCell ref="A10:F10"/>
    <mergeCell ref="A17:F17"/>
    <mergeCell ref="A23:F23"/>
    <mergeCell ref="A30:F30"/>
    <mergeCell ref="A36:F36"/>
    <mergeCell ref="G42:H42"/>
    <mergeCell ref="G43:H43"/>
  </mergeCells>
  <phoneticPr fontId="24" type="noConversion"/>
  <dataValidations count="1">
    <dataValidation type="list" allowBlank="1" showInputMessage="1" showErrorMessage="1" sqref="B43:B49" xr:uid="{00000000-0002-0000-0700-000000000000}">
      <formula1>$L$42:$L$46</formula1>
    </dataValidation>
  </dataValidations>
  <printOptions horizontalCentered="1"/>
  <pageMargins left="0.45" right="0.45" top="0.5" bottom="0.5" header="0.3" footer="0.3"/>
  <pageSetup scale="57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891"/>
  <sheetViews>
    <sheetView showZeros="0" zoomScale="75" zoomScaleNormal="75" workbookViewId="0">
      <selection activeCell="A11" sqref="A11"/>
    </sheetView>
  </sheetViews>
  <sheetFormatPr defaultColWidth="10.875" defaultRowHeight="18.95"/>
  <cols>
    <col min="1" max="1" width="35.625" customWidth="1"/>
    <col min="2" max="2" width="14.625" style="16" customWidth="1"/>
    <col min="3" max="7" width="15.875" style="5" customWidth="1"/>
    <col min="8" max="8" width="15.875" style="17" customWidth="1"/>
    <col min="9" max="9" width="10.875" style="5"/>
    <col min="10" max="12" width="0" style="5" hidden="1" customWidth="1"/>
    <col min="13" max="16384" width="10.875" style="5"/>
  </cols>
  <sheetData>
    <row r="1" spans="1:10" customFormat="1" ht="15.95">
      <c r="A1" s="41"/>
      <c r="B1" s="42"/>
      <c r="C1" s="43"/>
      <c r="D1" s="43"/>
      <c r="E1" s="45" t="s">
        <v>25</v>
      </c>
      <c r="F1" s="43"/>
      <c r="G1" s="45" t="s">
        <v>26</v>
      </c>
      <c r="H1" s="44"/>
    </row>
    <row r="2" spans="1:10">
      <c r="A2" s="30"/>
      <c r="B2" s="18" t="s">
        <v>27</v>
      </c>
      <c r="C2" s="18" t="s">
        <v>28</v>
      </c>
      <c r="D2" s="18" t="s">
        <v>65</v>
      </c>
      <c r="E2" s="18" t="s">
        <v>30</v>
      </c>
      <c r="F2" s="18" t="s">
        <v>66</v>
      </c>
      <c r="G2" s="18" t="s">
        <v>32</v>
      </c>
      <c r="H2" s="18" t="s">
        <v>33</v>
      </c>
    </row>
    <row r="3" spans="1:10" ht="21" customHeight="1">
      <c r="A3" s="31" t="s">
        <v>7</v>
      </c>
      <c r="B3" s="6">
        <f>'Week 7'!H3+1</f>
        <v>45942</v>
      </c>
      <c r="C3" s="6">
        <f t="shared" ref="C3:H3" si="0">B3+1</f>
        <v>45943</v>
      </c>
      <c r="D3" s="6">
        <f t="shared" si="0"/>
        <v>45944</v>
      </c>
      <c r="E3" s="6">
        <f t="shared" si="0"/>
        <v>45945</v>
      </c>
      <c r="F3" s="6">
        <f t="shared" si="0"/>
        <v>45946</v>
      </c>
      <c r="G3" s="6">
        <f t="shared" si="0"/>
        <v>45947</v>
      </c>
      <c r="H3" s="6">
        <f t="shared" si="0"/>
        <v>45948</v>
      </c>
    </row>
    <row r="4" spans="1:10" s="7" customFormat="1">
      <c r="A4" s="181" t="s">
        <v>92</v>
      </c>
      <c r="B4" s="181"/>
      <c r="C4" s="181"/>
      <c r="D4" s="181"/>
      <c r="E4" s="181"/>
      <c r="F4" s="181"/>
      <c r="G4" s="181"/>
      <c r="H4" s="181"/>
    </row>
    <row r="5" spans="1:10" s="7" customFormat="1" ht="26.1" customHeight="1">
      <c r="A5" s="32" t="s">
        <v>8</v>
      </c>
      <c r="B5" s="27"/>
      <c r="C5" s="27"/>
      <c r="D5" s="27"/>
      <c r="E5" s="27"/>
      <c r="F5" s="27"/>
      <c r="G5" s="27"/>
      <c r="H5" s="27"/>
    </row>
    <row r="6" spans="1:10" s="7" customFormat="1" ht="26.1" customHeight="1">
      <c r="A6" s="4" t="s">
        <v>23</v>
      </c>
      <c r="B6" s="62"/>
      <c r="C6" s="62"/>
      <c r="D6" s="62"/>
      <c r="E6" s="62"/>
      <c r="F6" s="62"/>
      <c r="G6" s="62"/>
      <c r="H6" s="62"/>
    </row>
    <row r="7" spans="1:10" s="7" customFormat="1" ht="21.95" customHeight="1">
      <c r="A7" s="32" t="s">
        <v>35</v>
      </c>
      <c r="B7" s="27"/>
      <c r="C7" s="28"/>
      <c r="D7" s="28"/>
      <c r="E7" s="28"/>
      <c r="F7" s="28"/>
      <c r="G7" s="28"/>
      <c r="H7" s="27"/>
    </row>
    <row r="8" spans="1:10" s="7" customFormat="1" ht="24.95" customHeight="1" thickBot="1">
      <c r="A8" s="83" t="s">
        <v>36</v>
      </c>
      <c r="B8" s="84">
        <f t="shared" ref="B8:H8" si="1">B5+B6+B7</f>
        <v>0</v>
      </c>
      <c r="C8" s="84">
        <f t="shared" si="1"/>
        <v>0</v>
      </c>
      <c r="D8" s="84">
        <f t="shared" si="1"/>
        <v>0</v>
      </c>
      <c r="E8" s="84">
        <f t="shared" si="1"/>
        <v>0</v>
      </c>
      <c r="F8" s="84">
        <f t="shared" si="1"/>
        <v>0</v>
      </c>
      <c r="G8" s="84">
        <f t="shared" si="1"/>
        <v>0</v>
      </c>
      <c r="H8" s="84">
        <f t="shared" si="1"/>
        <v>0</v>
      </c>
    </row>
    <row r="9" spans="1:10" s="7" customFormat="1" ht="24.95" customHeight="1" thickBot="1">
      <c r="A9" s="33"/>
      <c r="B9" s="29"/>
      <c r="C9" s="29"/>
      <c r="D9" s="29"/>
      <c r="E9" s="29"/>
      <c r="F9" s="29"/>
      <c r="G9" s="63" t="s">
        <v>37</v>
      </c>
      <c r="H9" s="64">
        <f>SUM(B8:H8)</f>
        <v>0</v>
      </c>
    </row>
    <row r="10" spans="1:10" s="7" customFormat="1" ht="21" thickTop="1" thickBot="1">
      <c r="A10" s="182" t="s">
        <v>38</v>
      </c>
      <c r="B10" s="183"/>
      <c r="C10" s="183"/>
      <c r="D10" s="183"/>
      <c r="E10" s="183"/>
      <c r="F10" s="183"/>
      <c r="G10" s="65" t="s">
        <v>39</v>
      </c>
      <c r="H10" s="66">
        <v>-0.08</v>
      </c>
      <c r="I10" s="5"/>
      <c r="J10" s="26"/>
    </row>
    <row r="11" spans="1:10" s="7" customFormat="1" ht="30" customHeight="1">
      <c r="A11" s="39" t="s">
        <v>8</v>
      </c>
      <c r="B11" s="9"/>
      <c r="C11" s="9"/>
      <c r="D11" s="67"/>
      <c r="E11" s="67"/>
      <c r="F11" s="9"/>
      <c r="G11" s="68"/>
      <c r="H11" s="69"/>
    </row>
    <row r="12" spans="1:10" s="7" customFormat="1" ht="30" customHeight="1">
      <c r="A12" s="70" t="s">
        <v>23</v>
      </c>
      <c r="B12" s="59"/>
      <c r="C12" s="58"/>
      <c r="D12" s="58"/>
      <c r="E12" s="58"/>
      <c r="F12" s="58"/>
      <c r="G12" s="58"/>
      <c r="H12" s="59"/>
    </row>
    <row r="13" spans="1:10" s="7" customFormat="1" ht="30" customHeight="1">
      <c r="A13" s="3" t="s">
        <v>35</v>
      </c>
      <c r="B13" s="8"/>
      <c r="C13" s="8"/>
      <c r="D13" s="8"/>
      <c r="E13" s="8"/>
      <c r="F13" s="8"/>
      <c r="G13" s="8"/>
      <c r="H13" s="8"/>
    </row>
    <row r="14" spans="1:10" s="7" customFormat="1" ht="27" customHeight="1" thickBot="1">
      <c r="A14" s="85" t="s">
        <v>36</v>
      </c>
      <c r="B14" s="87">
        <f t="shared" ref="B14:H14" si="2">SUM(B11:B13)</f>
        <v>0</v>
      </c>
      <c r="C14" s="87">
        <f t="shared" si="2"/>
        <v>0</v>
      </c>
      <c r="D14" s="87">
        <f t="shared" si="2"/>
        <v>0</v>
      </c>
      <c r="E14" s="87">
        <f t="shared" si="2"/>
        <v>0</v>
      </c>
      <c r="F14" s="87">
        <f t="shared" si="2"/>
        <v>0</v>
      </c>
      <c r="G14" s="87">
        <f t="shared" si="2"/>
        <v>0</v>
      </c>
      <c r="H14" s="87">
        <f t="shared" si="2"/>
        <v>0</v>
      </c>
    </row>
    <row r="15" spans="1:10" s="7" customFormat="1" ht="24.95" customHeight="1" thickBot="1">
      <c r="A15" s="86" t="s">
        <v>40</v>
      </c>
      <c r="B15" s="92" t="e">
        <f t="shared" ref="B15:H15" si="3">(B14-B8)/B8</f>
        <v>#DIV/0!</v>
      </c>
      <c r="C15" s="93" t="e">
        <f t="shared" si="3"/>
        <v>#DIV/0!</v>
      </c>
      <c r="D15" s="93" t="e">
        <f t="shared" si="3"/>
        <v>#DIV/0!</v>
      </c>
      <c r="E15" s="93" t="e">
        <f t="shared" si="3"/>
        <v>#DIV/0!</v>
      </c>
      <c r="F15" s="93" t="e">
        <f t="shared" si="3"/>
        <v>#DIV/0!</v>
      </c>
      <c r="G15" s="93" t="e">
        <f t="shared" si="3"/>
        <v>#DIV/0!</v>
      </c>
      <c r="H15" s="94" t="e">
        <f t="shared" si="3"/>
        <v>#DIV/0!</v>
      </c>
      <c r="I15" s="71"/>
    </row>
    <row r="16" spans="1:10" ht="30" customHeight="1" thickBot="1">
      <c r="B16" s="88"/>
      <c r="C16" s="88"/>
      <c r="D16" s="88"/>
      <c r="E16" s="88"/>
      <c r="F16" s="89"/>
      <c r="G16" s="90" t="s">
        <v>37</v>
      </c>
      <c r="H16" s="91">
        <f>SUM(B14:H14)</f>
        <v>0</v>
      </c>
    </row>
    <row r="17" spans="1:8" s="7" customFormat="1" ht="21.95" thickTop="1" thickBot="1">
      <c r="A17" s="184" t="s">
        <v>41</v>
      </c>
      <c r="B17" s="185"/>
      <c r="C17" s="185"/>
      <c r="D17" s="185"/>
      <c r="E17" s="185"/>
      <c r="F17" s="185"/>
      <c r="G17" s="72" t="s">
        <v>42</v>
      </c>
      <c r="H17" s="66" t="e">
        <f>(H16-H9)/H9</f>
        <v>#DIV/0!</v>
      </c>
    </row>
    <row r="18" spans="1:8" s="7" customFormat="1" ht="30" customHeight="1">
      <c r="A18" s="35" t="s">
        <v>43</v>
      </c>
      <c r="B18" s="12"/>
      <c r="C18" s="12"/>
      <c r="D18" s="73"/>
      <c r="E18" s="73"/>
      <c r="F18" s="12"/>
      <c r="G18" s="24"/>
      <c r="H18" s="74"/>
    </row>
    <row r="19" spans="1:8" s="7" customFormat="1" ht="30" customHeight="1">
      <c r="A19" s="35" t="str">
        <f>'Week 7'!A32</f>
        <v>Non Meal Plan Meals</v>
      </c>
      <c r="B19" s="12"/>
      <c r="C19" s="12"/>
      <c r="D19" s="73"/>
      <c r="E19" s="73"/>
      <c r="F19" s="12"/>
      <c r="G19" s="24"/>
      <c r="H19" s="74"/>
    </row>
    <row r="20" spans="1:8" s="7" customFormat="1" ht="30" customHeight="1">
      <c r="A20" s="35" t="str">
        <f>'Week 7'!A33</f>
        <v xml:space="preserve">Meal numbers </v>
      </c>
      <c r="B20" s="95"/>
      <c r="C20" s="95"/>
      <c r="D20" s="67"/>
      <c r="E20" s="67"/>
      <c r="F20" s="95"/>
      <c r="G20" s="95"/>
      <c r="H20" s="75"/>
    </row>
    <row r="21" spans="1:8" s="7" customFormat="1" ht="24.95" customHeight="1" thickBot="1">
      <c r="A21" s="36" t="s">
        <v>45</v>
      </c>
      <c r="B21" s="77">
        <f t="shared" ref="B21:H21" si="4">SUM(B18:B20)</f>
        <v>0</v>
      </c>
      <c r="C21" s="77">
        <f t="shared" si="4"/>
        <v>0</v>
      </c>
      <c r="D21" s="123">
        <f t="shared" si="4"/>
        <v>0</v>
      </c>
      <c r="E21" s="123">
        <f t="shared" si="4"/>
        <v>0</v>
      </c>
      <c r="F21" s="77">
        <f t="shared" si="4"/>
        <v>0</v>
      </c>
      <c r="G21" s="77">
        <f t="shared" si="4"/>
        <v>0</v>
      </c>
      <c r="H21" s="77">
        <f t="shared" si="4"/>
        <v>0</v>
      </c>
    </row>
    <row r="22" spans="1:8" s="7" customFormat="1" ht="24.95" customHeight="1" thickBot="1">
      <c r="A22" s="34" t="s">
        <v>40</v>
      </c>
      <c r="B22" s="92" t="e">
        <f>(B21-B5)/B5</f>
        <v>#DIV/0!</v>
      </c>
      <c r="C22" s="93" t="e">
        <f>(C21-C5)/C5</f>
        <v>#DIV/0!</v>
      </c>
      <c r="D22" s="99"/>
      <c r="E22" s="99"/>
      <c r="F22" s="93" t="e">
        <f>(F21-F5)/F5</f>
        <v>#DIV/0!</v>
      </c>
      <c r="G22" s="93" t="e">
        <f>(G21-G5)/G5</f>
        <v>#DIV/0!</v>
      </c>
      <c r="H22" s="94" t="e">
        <f>(H21-H5)/H5</f>
        <v>#DIV/0!</v>
      </c>
    </row>
    <row r="23" spans="1:8" s="7" customFormat="1">
      <c r="A23" s="186" t="s">
        <v>46</v>
      </c>
      <c r="B23" s="187"/>
      <c r="C23" s="187"/>
      <c r="D23" s="187"/>
      <c r="E23" s="187"/>
      <c r="F23" s="188" t="s">
        <v>47</v>
      </c>
      <c r="G23" s="97"/>
      <c r="H23" s="98"/>
    </row>
    <row r="24" spans="1:8" s="7" customFormat="1" ht="30" customHeight="1">
      <c r="A24" s="35" t="s">
        <v>43</v>
      </c>
      <c r="B24" s="11"/>
      <c r="C24" s="12"/>
      <c r="D24" s="12"/>
      <c r="E24" s="12"/>
      <c r="F24" s="12"/>
      <c r="G24" s="12"/>
      <c r="H24" s="11"/>
    </row>
    <row r="25" spans="1:8" s="7" customFormat="1" ht="30" customHeight="1">
      <c r="A25" s="35" t="str">
        <f>A19</f>
        <v>Non Meal Plan Meals</v>
      </c>
      <c r="B25" s="117"/>
      <c r="C25" s="117"/>
      <c r="D25" s="117"/>
      <c r="E25" s="117"/>
      <c r="F25" s="117"/>
      <c r="G25" s="117"/>
      <c r="H25" s="117"/>
    </row>
    <row r="26" spans="1:8" s="7" customFormat="1" ht="30" customHeight="1">
      <c r="A26" s="35" t="str">
        <f>A20</f>
        <v xml:space="preserve">Meal numbers </v>
      </c>
      <c r="B26" s="11"/>
      <c r="C26" s="11"/>
      <c r="D26" s="11"/>
      <c r="E26" s="11"/>
      <c r="F26" s="11"/>
      <c r="G26" s="11"/>
      <c r="H26" s="11"/>
    </row>
    <row r="27" spans="1:8" s="7" customFormat="1" ht="27.95" customHeight="1" thickBot="1">
      <c r="A27" s="36" t="s">
        <v>50</v>
      </c>
      <c r="B27" s="100">
        <f t="shared" ref="B27:H27" si="5">SUM(B24:B26)</f>
        <v>0</v>
      </c>
      <c r="C27" s="100">
        <f t="shared" si="5"/>
        <v>0</v>
      </c>
      <c r="D27" s="100">
        <f t="shared" si="5"/>
        <v>0</v>
      </c>
      <c r="E27" s="100">
        <f t="shared" si="5"/>
        <v>0</v>
      </c>
      <c r="F27" s="100">
        <f t="shared" si="5"/>
        <v>0</v>
      </c>
      <c r="G27" s="100">
        <f t="shared" si="5"/>
        <v>0</v>
      </c>
      <c r="H27" s="100">
        <f t="shared" si="5"/>
        <v>0</v>
      </c>
    </row>
    <row r="28" spans="1:8" s="7" customFormat="1" ht="24.95" customHeight="1" thickBot="1">
      <c r="A28" s="34" t="s">
        <v>40</v>
      </c>
      <c r="B28" s="92" t="e">
        <f t="shared" ref="B28:H28" si="6">(B27-B6)/B6</f>
        <v>#DIV/0!</v>
      </c>
      <c r="C28" s="93" t="e">
        <f t="shared" si="6"/>
        <v>#DIV/0!</v>
      </c>
      <c r="D28" s="93" t="e">
        <f t="shared" si="6"/>
        <v>#DIV/0!</v>
      </c>
      <c r="E28" s="93" t="e">
        <f t="shared" si="6"/>
        <v>#DIV/0!</v>
      </c>
      <c r="F28" s="93" t="e">
        <f t="shared" si="6"/>
        <v>#DIV/0!</v>
      </c>
      <c r="G28" s="93" t="e">
        <f t="shared" si="6"/>
        <v>#DIV/0!</v>
      </c>
      <c r="H28" s="94" t="e">
        <f t="shared" si="6"/>
        <v>#DIV/0!</v>
      </c>
    </row>
    <row r="29" spans="1:8" s="7" customFormat="1">
      <c r="A29" s="189" t="s">
        <v>51</v>
      </c>
      <c r="B29" s="190"/>
      <c r="C29" s="190"/>
      <c r="D29" s="190"/>
      <c r="E29" s="190"/>
      <c r="F29" s="191" t="s">
        <v>35</v>
      </c>
      <c r="G29" s="101"/>
      <c r="H29" s="102"/>
    </row>
    <row r="30" spans="1:8" s="7" customFormat="1" ht="30" customHeight="1">
      <c r="A30" s="35" t="s">
        <v>43</v>
      </c>
      <c r="B30" s="10"/>
      <c r="C30" s="9"/>
      <c r="D30" s="9"/>
      <c r="E30" s="9"/>
      <c r="F30" s="9"/>
      <c r="G30" s="9"/>
      <c r="H30" s="10"/>
    </row>
    <row r="31" spans="1:8" s="7" customFormat="1" ht="30" customHeight="1">
      <c r="A31" s="35" t="str">
        <f>A25</f>
        <v>Non Meal Plan Meals</v>
      </c>
      <c r="B31" s="60"/>
      <c r="C31" s="60"/>
      <c r="D31" s="60"/>
      <c r="E31" s="60"/>
      <c r="F31" s="60"/>
      <c r="G31" s="60"/>
      <c r="H31" s="60"/>
    </row>
    <row r="32" spans="1:8" s="7" customFormat="1" ht="30" customHeight="1">
      <c r="A32" s="35" t="str">
        <f>A26</f>
        <v xml:space="preserve">Meal numbers </v>
      </c>
      <c r="B32" s="10"/>
      <c r="C32" s="10"/>
      <c r="D32" s="10"/>
      <c r="E32" s="10"/>
      <c r="F32" s="10"/>
      <c r="G32" s="10"/>
      <c r="H32" s="10"/>
    </row>
    <row r="33" spans="1:12" s="7" customFormat="1" ht="30.95" customHeight="1" thickBot="1">
      <c r="A33" s="36" t="s">
        <v>53</v>
      </c>
      <c r="B33" s="103">
        <f t="shared" ref="B33:H33" si="7">SUM(B30:B32)</f>
        <v>0</v>
      </c>
      <c r="C33" s="103">
        <f t="shared" si="7"/>
        <v>0</v>
      </c>
      <c r="D33" s="103">
        <f t="shared" si="7"/>
        <v>0</v>
      </c>
      <c r="E33" s="103">
        <f t="shared" si="7"/>
        <v>0</v>
      </c>
      <c r="F33" s="103">
        <f t="shared" si="7"/>
        <v>0</v>
      </c>
      <c r="G33" s="103">
        <f t="shared" si="7"/>
        <v>0</v>
      </c>
      <c r="H33" s="103">
        <f t="shared" si="7"/>
        <v>0</v>
      </c>
    </row>
    <row r="34" spans="1:12" s="7" customFormat="1" ht="24.95" customHeight="1" thickBot="1">
      <c r="A34" s="34" t="s">
        <v>40</v>
      </c>
      <c r="B34" s="92" t="e">
        <f t="shared" ref="B34:H34" si="8">(B33-B7)/B7</f>
        <v>#DIV/0!</v>
      </c>
      <c r="C34" s="93" t="e">
        <f t="shared" si="8"/>
        <v>#DIV/0!</v>
      </c>
      <c r="D34" s="93" t="e">
        <f t="shared" si="8"/>
        <v>#DIV/0!</v>
      </c>
      <c r="E34" s="93" t="e">
        <f t="shared" si="8"/>
        <v>#DIV/0!</v>
      </c>
      <c r="F34" s="93" t="e">
        <f t="shared" si="8"/>
        <v>#DIV/0!</v>
      </c>
      <c r="G34" s="93" t="e">
        <f t="shared" si="8"/>
        <v>#DIV/0!</v>
      </c>
      <c r="H34" s="94" t="e">
        <f t="shared" si="8"/>
        <v>#DIV/0!</v>
      </c>
    </row>
    <row r="35" spans="1:12" s="7" customFormat="1">
      <c r="A35" s="192" t="s">
        <v>54</v>
      </c>
      <c r="B35" s="193"/>
      <c r="C35" s="193"/>
      <c r="D35" s="193"/>
      <c r="E35" s="193"/>
      <c r="F35" s="194" t="s">
        <v>35</v>
      </c>
      <c r="G35" s="104"/>
      <c r="H35" s="105"/>
    </row>
    <row r="36" spans="1:12" s="7" customFormat="1" ht="30.95" customHeight="1" thickBot="1">
      <c r="A36" s="78" t="s">
        <v>55</v>
      </c>
      <c r="B36" s="77">
        <f t="shared" ref="B36:H36" si="9">B33+B27+B21</f>
        <v>0</v>
      </c>
      <c r="C36" s="77">
        <f t="shared" si="9"/>
        <v>0</v>
      </c>
      <c r="D36" s="77">
        <f t="shared" si="9"/>
        <v>0</v>
      </c>
      <c r="E36" s="77">
        <f t="shared" si="9"/>
        <v>0</v>
      </c>
      <c r="F36" s="77">
        <f t="shared" si="9"/>
        <v>0</v>
      </c>
      <c r="G36" s="77">
        <f t="shared" si="9"/>
        <v>0</v>
      </c>
      <c r="H36" s="77">
        <f t="shared" si="9"/>
        <v>0</v>
      </c>
    </row>
    <row r="37" spans="1:12" s="7" customFormat="1" ht="24.95" customHeight="1" thickBot="1">
      <c r="A37" s="34" t="s">
        <v>40</v>
      </c>
      <c r="B37" s="92" t="e">
        <f t="shared" ref="B37:H37" si="10">(B36-B8)/B8</f>
        <v>#DIV/0!</v>
      </c>
      <c r="C37" s="93" t="e">
        <f t="shared" si="10"/>
        <v>#DIV/0!</v>
      </c>
      <c r="D37" s="93" t="e">
        <f t="shared" si="10"/>
        <v>#DIV/0!</v>
      </c>
      <c r="E37" s="93" t="e">
        <f t="shared" si="10"/>
        <v>#DIV/0!</v>
      </c>
      <c r="F37" s="93" t="e">
        <f t="shared" si="10"/>
        <v>#DIV/0!</v>
      </c>
      <c r="G37" s="93" t="e">
        <f t="shared" si="10"/>
        <v>#DIV/0!</v>
      </c>
      <c r="H37" s="94" t="e">
        <f t="shared" si="10"/>
        <v>#DIV/0!</v>
      </c>
    </row>
    <row r="38" spans="1:12" ht="30" customHeight="1" thickBot="1">
      <c r="A38" s="195"/>
      <c r="B38" s="196"/>
      <c r="C38" s="196"/>
      <c r="D38" s="196"/>
      <c r="E38" s="196"/>
      <c r="F38" s="196"/>
      <c r="G38" s="106" t="s">
        <v>37</v>
      </c>
      <c r="H38" s="107">
        <f>SUM(B36:H36)</f>
        <v>0</v>
      </c>
    </row>
    <row r="39" spans="1:12" s="7" customFormat="1" ht="24.95" customHeight="1" thickTop="1">
      <c r="A39" s="37"/>
      <c r="B39" s="25"/>
      <c r="C39" s="25"/>
      <c r="D39" s="25"/>
      <c r="E39" s="25"/>
      <c r="F39" s="25"/>
      <c r="G39" s="79" t="s">
        <v>40</v>
      </c>
      <c r="H39" s="80" t="e">
        <f>(H38-H9)/H9</f>
        <v>#DIV/0!</v>
      </c>
    </row>
    <row r="40" spans="1:12" s="7" customFormat="1" ht="24.95" customHeight="1" thickBot="1">
      <c r="A40" s="37"/>
      <c r="B40" s="25"/>
      <c r="C40" s="25"/>
      <c r="D40" s="25"/>
      <c r="E40" s="25"/>
      <c r="F40" s="25"/>
      <c r="G40" s="81" t="s">
        <v>56</v>
      </c>
      <c r="H40" s="82" t="e">
        <f>(H38-H16)/H16</f>
        <v>#DIV/0!</v>
      </c>
    </row>
    <row r="41" spans="1:12" s="46" customFormat="1" ht="23.1" customHeight="1">
      <c r="A41" s="40"/>
      <c r="B41" s="47" t="s">
        <v>57</v>
      </c>
      <c r="C41" s="197" t="s">
        <v>58</v>
      </c>
      <c r="D41" s="197"/>
      <c r="E41" s="197"/>
      <c r="F41" s="197"/>
      <c r="G41" s="198">
        <v>2020</v>
      </c>
      <c r="H41" s="199"/>
    </row>
    <row r="42" spans="1:12" ht="30" customHeight="1">
      <c r="A42" s="1" t="s">
        <v>0</v>
      </c>
      <c r="B42" s="57" t="s">
        <v>59</v>
      </c>
      <c r="C42" s="180"/>
      <c r="D42" s="180"/>
      <c r="E42" s="180"/>
      <c r="F42" s="180"/>
      <c r="G42" s="206"/>
      <c r="H42" s="210"/>
      <c r="I42" s="46"/>
      <c r="J42" s="132"/>
      <c r="L42" s="7" t="s">
        <v>61</v>
      </c>
    </row>
    <row r="43" spans="1:12" ht="30" customHeight="1">
      <c r="A43" s="1" t="s">
        <v>1</v>
      </c>
      <c r="B43" s="57" t="s">
        <v>59</v>
      </c>
      <c r="C43" s="175"/>
      <c r="D43" s="175"/>
      <c r="E43" s="175"/>
      <c r="F43" s="175"/>
      <c r="G43" s="126"/>
      <c r="H43" s="126"/>
      <c r="I43" s="46"/>
      <c r="J43" s="126"/>
      <c r="L43" s="5" t="s">
        <v>62</v>
      </c>
    </row>
    <row r="44" spans="1:12" ht="30" customHeight="1">
      <c r="A44" s="1" t="s">
        <v>2</v>
      </c>
      <c r="B44" s="57" t="s">
        <v>59</v>
      </c>
      <c r="C44" s="175"/>
      <c r="D44" s="175"/>
      <c r="E44" s="175"/>
      <c r="F44" s="175"/>
      <c r="G44" s="206"/>
      <c r="H44" s="210"/>
      <c r="I44" s="46"/>
      <c r="J44" s="126"/>
      <c r="L44" s="5" t="s">
        <v>63</v>
      </c>
    </row>
    <row r="45" spans="1:12" ht="30" customHeight="1">
      <c r="A45" s="1" t="s">
        <v>3</v>
      </c>
      <c r="B45" s="57" t="s">
        <v>59</v>
      </c>
      <c r="C45" s="175"/>
      <c r="D45" s="175"/>
      <c r="E45" s="175"/>
      <c r="F45" s="175"/>
      <c r="G45" s="206"/>
      <c r="H45" s="210"/>
      <c r="I45" s="46"/>
      <c r="J45" s="126"/>
      <c r="L45" s="5" t="s">
        <v>64</v>
      </c>
    </row>
    <row r="46" spans="1:12" ht="30.95" customHeight="1">
      <c r="A46" s="1" t="s">
        <v>4</v>
      </c>
      <c r="B46" s="57" t="s">
        <v>59</v>
      </c>
      <c r="C46" s="175"/>
      <c r="D46" s="175"/>
      <c r="E46" s="175"/>
      <c r="F46" s="175"/>
      <c r="G46" s="126"/>
      <c r="H46" s="126"/>
      <c r="I46" s="46"/>
      <c r="J46" s="126"/>
    </row>
    <row r="47" spans="1:12" ht="30" customHeight="1">
      <c r="A47" s="1" t="s">
        <v>5</v>
      </c>
      <c r="B47" s="57" t="s">
        <v>59</v>
      </c>
      <c r="C47" s="175"/>
      <c r="D47" s="175"/>
      <c r="E47" s="175"/>
      <c r="F47" s="175"/>
      <c r="G47" s="206"/>
      <c r="H47" s="210"/>
      <c r="I47" s="46"/>
      <c r="J47" s="126"/>
    </row>
    <row r="48" spans="1:12" ht="30" customHeight="1">
      <c r="A48" s="1" t="s">
        <v>6</v>
      </c>
      <c r="B48" s="57" t="s">
        <v>59</v>
      </c>
      <c r="C48" s="175"/>
      <c r="D48" s="175"/>
      <c r="E48" s="175"/>
      <c r="F48" s="175"/>
      <c r="G48" s="206"/>
      <c r="H48" s="210"/>
      <c r="I48" s="46"/>
      <c r="J48" s="126"/>
    </row>
    <row r="49" spans="1:9" ht="15.75" customHeight="1">
      <c r="A49" s="1"/>
      <c r="B49" s="14"/>
      <c r="C49" s="175"/>
      <c r="D49" s="175"/>
      <c r="E49" s="175"/>
      <c r="F49" s="175"/>
      <c r="G49" s="176"/>
      <c r="H49" s="177"/>
      <c r="I49" s="46"/>
    </row>
    <row r="50" spans="1:9">
      <c r="A50" s="30"/>
      <c r="B50" s="18" t="s">
        <v>27</v>
      </c>
      <c r="C50" s="18" t="s">
        <v>28</v>
      </c>
      <c r="D50" s="18" t="s">
        <v>65</v>
      </c>
      <c r="E50" s="18" t="s">
        <v>30</v>
      </c>
      <c r="F50" s="18" t="s">
        <v>66</v>
      </c>
      <c r="G50" s="18" t="s">
        <v>32</v>
      </c>
      <c r="H50" s="18" t="s">
        <v>33</v>
      </c>
    </row>
    <row r="51" spans="1:9" ht="27" customHeight="1">
      <c r="A51" s="38" t="s">
        <v>91</v>
      </c>
      <c r="B51" s="10"/>
      <c r="C51" s="10"/>
      <c r="D51" s="10"/>
      <c r="E51" s="10"/>
      <c r="F51" s="10"/>
      <c r="G51" s="10"/>
      <c r="H51" s="10"/>
    </row>
    <row r="52" spans="1:9" customFormat="1" ht="15.95">
      <c r="A52" s="48"/>
      <c r="B52" s="22"/>
      <c r="C52" s="21"/>
      <c r="D52" s="21"/>
      <c r="E52" s="21"/>
      <c r="F52" s="21"/>
      <c r="G52" s="23" t="s">
        <v>37</v>
      </c>
      <c r="H52" s="23">
        <f>SUM(B51:H51)</f>
        <v>0</v>
      </c>
    </row>
    <row r="53" spans="1:9">
      <c r="A53" s="30"/>
      <c r="B53" s="18" t="s">
        <v>27</v>
      </c>
      <c r="C53" s="18" t="s">
        <v>28</v>
      </c>
      <c r="D53" s="18" t="s">
        <v>65</v>
      </c>
      <c r="E53" s="18" t="s">
        <v>30</v>
      </c>
      <c r="F53" s="18" t="s">
        <v>66</v>
      </c>
      <c r="G53" s="18" t="s">
        <v>32</v>
      </c>
      <c r="H53" s="18" t="s">
        <v>33</v>
      </c>
    </row>
    <row r="54" spans="1:9">
      <c r="A54" s="38" t="s">
        <v>69</v>
      </c>
      <c r="B54" s="51"/>
      <c r="C54" s="52"/>
      <c r="D54" s="52"/>
      <c r="E54" s="52"/>
      <c r="F54" s="52"/>
      <c r="G54" s="20"/>
      <c r="H54" s="15"/>
    </row>
    <row r="55" spans="1:9" customFormat="1" ht="15.95">
      <c r="A55" s="49" t="s">
        <v>70</v>
      </c>
      <c r="B55" s="53"/>
      <c r="C55" s="53" t="s">
        <v>71</v>
      </c>
      <c r="D55" s="54"/>
      <c r="E55" s="54"/>
      <c r="F55" s="55"/>
      <c r="G55" s="50" t="s">
        <v>37</v>
      </c>
      <c r="H55" s="23"/>
    </row>
    <row r="56" spans="1:9">
      <c r="H56" s="16"/>
    </row>
    <row r="57" spans="1:9">
      <c r="H57" s="16"/>
    </row>
    <row r="58" spans="1:9">
      <c r="H58" s="16"/>
    </row>
    <row r="59" spans="1:9">
      <c r="H59" s="16"/>
    </row>
    <row r="60" spans="1:9">
      <c r="H60" s="16"/>
    </row>
    <row r="61" spans="1:9">
      <c r="H61" s="16"/>
    </row>
    <row r="62" spans="1:9">
      <c r="H62" s="16"/>
    </row>
    <row r="63" spans="1:9">
      <c r="B63" s="5"/>
      <c r="H63" s="16"/>
    </row>
    <row r="64" spans="1:9">
      <c r="B64" s="5"/>
      <c r="H64" s="16"/>
    </row>
    <row r="65" spans="2:8">
      <c r="B65" s="5"/>
      <c r="H65" s="16"/>
    </row>
    <row r="66" spans="2:8">
      <c r="B66" s="5"/>
      <c r="H66" s="16"/>
    </row>
    <row r="67" spans="2:8">
      <c r="B67" s="5"/>
      <c r="H67" s="16"/>
    </row>
    <row r="68" spans="2:8">
      <c r="B68" s="5"/>
      <c r="H68" s="16"/>
    </row>
    <row r="69" spans="2:8">
      <c r="B69" s="5"/>
      <c r="H69" s="16"/>
    </row>
    <row r="70" spans="2:8">
      <c r="B70" s="5"/>
      <c r="H70" s="16"/>
    </row>
    <row r="71" spans="2:8">
      <c r="B71" s="5"/>
      <c r="H71" s="16"/>
    </row>
    <row r="72" spans="2:8">
      <c r="B72" s="5"/>
      <c r="H72" s="16"/>
    </row>
    <row r="73" spans="2:8">
      <c r="B73" s="5"/>
      <c r="H73" s="16"/>
    </row>
    <row r="74" spans="2:8">
      <c r="B74" s="5"/>
      <c r="H74" s="16"/>
    </row>
    <row r="75" spans="2:8">
      <c r="B75" s="5"/>
      <c r="H75" s="16"/>
    </row>
    <row r="76" spans="2:8">
      <c r="B76" s="5"/>
      <c r="H76" s="16"/>
    </row>
    <row r="77" spans="2:8">
      <c r="B77" s="5"/>
      <c r="H77" s="16"/>
    </row>
    <row r="78" spans="2:8">
      <c r="B78" s="5"/>
      <c r="H78" s="16"/>
    </row>
    <row r="79" spans="2:8">
      <c r="B79" s="5"/>
      <c r="H79" s="16"/>
    </row>
    <row r="80" spans="2:8">
      <c r="B80" s="5"/>
      <c r="H80" s="16"/>
    </row>
    <row r="81" spans="2:8">
      <c r="B81" s="5"/>
      <c r="H81" s="16"/>
    </row>
    <row r="82" spans="2:8">
      <c r="B82" s="5"/>
      <c r="H82" s="16"/>
    </row>
    <row r="83" spans="2:8">
      <c r="B83" s="5"/>
      <c r="H83" s="16"/>
    </row>
    <row r="84" spans="2:8">
      <c r="B84" s="5"/>
      <c r="H84" s="16"/>
    </row>
    <row r="85" spans="2:8">
      <c r="B85" s="5"/>
      <c r="H85" s="16"/>
    </row>
    <row r="86" spans="2:8">
      <c r="B86" s="5"/>
      <c r="H86" s="16"/>
    </row>
    <row r="87" spans="2:8">
      <c r="B87" s="5"/>
      <c r="H87" s="16"/>
    </row>
    <row r="88" spans="2:8">
      <c r="B88" s="5"/>
      <c r="H88" s="16"/>
    </row>
    <row r="89" spans="2:8">
      <c r="B89" s="5"/>
      <c r="H89" s="16"/>
    </row>
    <row r="90" spans="2:8">
      <c r="B90" s="5"/>
      <c r="H90" s="16"/>
    </row>
    <row r="91" spans="2:8">
      <c r="B91" s="5"/>
      <c r="H91" s="16"/>
    </row>
    <row r="92" spans="2:8">
      <c r="B92" s="5"/>
      <c r="H92" s="16"/>
    </row>
    <row r="93" spans="2:8">
      <c r="B93" s="5"/>
      <c r="H93" s="16"/>
    </row>
    <row r="94" spans="2:8">
      <c r="B94" s="5"/>
      <c r="H94" s="16"/>
    </row>
    <row r="95" spans="2:8">
      <c r="B95" s="5"/>
      <c r="H95" s="16"/>
    </row>
    <row r="96" spans="2:8">
      <c r="B96" s="5"/>
      <c r="H96" s="16"/>
    </row>
    <row r="97" spans="2:8">
      <c r="B97" s="5"/>
      <c r="H97" s="16"/>
    </row>
    <row r="98" spans="2:8">
      <c r="B98" s="5"/>
      <c r="H98" s="16"/>
    </row>
    <row r="99" spans="2:8">
      <c r="B99" s="5"/>
      <c r="H99" s="16"/>
    </row>
    <row r="100" spans="2:8">
      <c r="B100" s="5"/>
      <c r="H100" s="16"/>
    </row>
    <row r="101" spans="2:8">
      <c r="B101" s="5"/>
      <c r="H101" s="16"/>
    </row>
    <row r="102" spans="2:8">
      <c r="B102" s="5"/>
      <c r="H102" s="16"/>
    </row>
    <row r="103" spans="2:8">
      <c r="B103" s="5"/>
      <c r="H103" s="16"/>
    </row>
    <row r="104" spans="2:8">
      <c r="B104" s="5"/>
      <c r="H104" s="16"/>
    </row>
    <row r="105" spans="2:8">
      <c r="B105" s="5"/>
      <c r="H105" s="16"/>
    </row>
    <row r="106" spans="2:8">
      <c r="B106" s="5"/>
      <c r="H106" s="16"/>
    </row>
    <row r="107" spans="2:8">
      <c r="B107" s="5"/>
      <c r="H107" s="16"/>
    </row>
    <row r="108" spans="2:8">
      <c r="B108" s="5"/>
      <c r="H108" s="16"/>
    </row>
    <row r="109" spans="2:8">
      <c r="B109" s="5"/>
      <c r="H109" s="16"/>
    </row>
    <row r="110" spans="2:8">
      <c r="B110" s="5"/>
      <c r="H110" s="16"/>
    </row>
    <row r="111" spans="2:8">
      <c r="B111" s="5"/>
      <c r="H111" s="16"/>
    </row>
    <row r="112" spans="2:8">
      <c r="B112" s="5"/>
      <c r="H112" s="16"/>
    </row>
    <row r="113" spans="2:8">
      <c r="B113" s="5"/>
      <c r="H113" s="16"/>
    </row>
    <row r="114" spans="2:8">
      <c r="B114" s="5"/>
      <c r="H114" s="16"/>
    </row>
    <row r="115" spans="2:8">
      <c r="B115" s="5"/>
      <c r="H115" s="16"/>
    </row>
    <row r="116" spans="2:8">
      <c r="B116" s="5"/>
      <c r="H116" s="16"/>
    </row>
    <row r="117" spans="2:8">
      <c r="B117" s="5"/>
      <c r="H117" s="16"/>
    </row>
    <row r="118" spans="2:8">
      <c r="B118" s="5"/>
      <c r="H118" s="16"/>
    </row>
    <row r="119" spans="2:8">
      <c r="B119" s="5"/>
      <c r="H119" s="16"/>
    </row>
    <row r="120" spans="2:8">
      <c r="B120" s="5"/>
      <c r="H120" s="16"/>
    </row>
    <row r="121" spans="2:8">
      <c r="B121" s="5"/>
      <c r="H121" s="16"/>
    </row>
    <row r="122" spans="2:8">
      <c r="B122" s="5"/>
      <c r="H122" s="16"/>
    </row>
    <row r="123" spans="2:8">
      <c r="B123" s="5"/>
      <c r="H123" s="16"/>
    </row>
    <row r="124" spans="2:8">
      <c r="B124" s="5"/>
      <c r="H124" s="16"/>
    </row>
    <row r="125" spans="2:8">
      <c r="B125" s="5"/>
      <c r="H125" s="16"/>
    </row>
    <row r="126" spans="2:8">
      <c r="B126" s="5"/>
      <c r="H126" s="16"/>
    </row>
    <row r="127" spans="2:8">
      <c r="B127" s="5"/>
      <c r="H127" s="16"/>
    </row>
    <row r="128" spans="2:8">
      <c r="B128" s="5"/>
      <c r="H128" s="16"/>
    </row>
    <row r="129" spans="2:8">
      <c r="B129" s="5"/>
      <c r="H129" s="16"/>
    </row>
    <row r="130" spans="2:8">
      <c r="B130" s="5"/>
      <c r="H130" s="16"/>
    </row>
    <row r="131" spans="2:8">
      <c r="B131" s="5"/>
      <c r="H131" s="16"/>
    </row>
    <row r="132" spans="2:8">
      <c r="B132" s="5"/>
      <c r="H132" s="16"/>
    </row>
    <row r="133" spans="2:8">
      <c r="B133" s="5"/>
      <c r="H133" s="16"/>
    </row>
    <row r="134" spans="2:8">
      <c r="B134" s="5"/>
      <c r="H134" s="16"/>
    </row>
    <row r="135" spans="2:8">
      <c r="B135" s="5"/>
      <c r="H135" s="16"/>
    </row>
    <row r="136" spans="2:8">
      <c r="B136" s="5"/>
      <c r="H136" s="16"/>
    </row>
    <row r="137" spans="2:8">
      <c r="B137" s="5"/>
      <c r="H137" s="16"/>
    </row>
    <row r="138" spans="2:8">
      <c r="B138" s="5"/>
      <c r="H138" s="16"/>
    </row>
    <row r="139" spans="2:8">
      <c r="B139" s="5"/>
      <c r="H139" s="16"/>
    </row>
    <row r="140" spans="2:8">
      <c r="B140" s="5"/>
      <c r="H140" s="16"/>
    </row>
    <row r="141" spans="2:8">
      <c r="B141" s="5"/>
      <c r="H141" s="16"/>
    </row>
    <row r="142" spans="2:8">
      <c r="B142" s="5"/>
      <c r="H142" s="16"/>
    </row>
    <row r="143" spans="2:8">
      <c r="B143" s="5"/>
      <c r="H143" s="16"/>
    </row>
    <row r="144" spans="2:8">
      <c r="B144" s="5"/>
      <c r="H144" s="16"/>
    </row>
    <row r="145" spans="2:8">
      <c r="B145" s="5"/>
      <c r="H145" s="16"/>
    </row>
    <row r="146" spans="2:8">
      <c r="B146" s="5"/>
      <c r="H146" s="16"/>
    </row>
    <row r="147" spans="2:8">
      <c r="B147" s="5"/>
      <c r="H147" s="16"/>
    </row>
    <row r="148" spans="2:8">
      <c r="B148" s="5"/>
      <c r="H148" s="16"/>
    </row>
    <row r="149" spans="2:8">
      <c r="B149" s="5"/>
      <c r="H149" s="16"/>
    </row>
    <row r="150" spans="2:8">
      <c r="B150" s="5"/>
      <c r="H150" s="16"/>
    </row>
    <row r="151" spans="2:8">
      <c r="B151" s="5"/>
      <c r="H151" s="16"/>
    </row>
    <row r="152" spans="2:8">
      <c r="B152" s="5"/>
      <c r="H152" s="16"/>
    </row>
    <row r="153" spans="2:8">
      <c r="B153" s="5"/>
      <c r="H153" s="16"/>
    </row>
    <row r="154" spans="2:8">
      <c r="B154" s="5"/>
      <c r="H154" s="16"/>
    </row>
    <row r="155" spans="2:8">
      <c r="B155" s="5"/>
      <c r="H155" s="16"/>
    </row>
    <row r="156" spans="2:8">
      <c r="B156" s="5"/>
      <c r="H156" s="16"/>
    </row>
    <row r="157" spans="2:8">
      <c r="B157" s="5"/>
      <c r="H157" s="16"/>
    </row>
    <row r="158" spans="2:8">
      <c r="B158" s="5"/>
      <c r="H158" s="16"/>
    </row>
    <row r="159" spans="2:8">
      <c r="B159" s="5"/>
      <c r="H159" s="16"/>
    </row>
    <row r="160" spans="2:8">
      <c r="B160" s="5"/>
      <c r="H160" s="16"/>
    </row>
    <row r="161" spans="2:8">
      <c r="B161" s="5"/>
      <c r="H161" s="16"/>
    </row>
    <row r="162" spans="2:8">
      <c r="B162" s="5"/>
      <c r="H162" s="16"/>
    </row>
    <row r="163" spans="2:8">
      <c r="B163" s="5"/>
      <c r="H163" s="16"/>
    </row>
    <row r="164" spans="2:8">
      <c r="B164" s="5"/>
      <c r="H164" s="16"/>
    </row>
    <row r="165" spans="2:8">
      <c r="B165" s="5"/>
      <c r="H165" s="16"/>
    </row>
    <row r="166" spans="2:8">
      <c r="B166" s="5"/>
      <c r="H166" s="16"/>
    </row>
    <row r="167" spans="2:8">
      <c r="B167" s="5"/>
      <c r="H167" s="16"/>
    </row>
    <row r="168" spans="2:8">
      <c r="B168" s="5"/>
      <c r="H168" s="16"/>
    </row>
    <row r="169" spans="2:8">
      <c r="B169" s="5"/>
      <c r="H169" s="16"/>
    </row>
    <row r="170" spans="2:8">
      <c r="B170" s="5"/>
      <c r="H170" s="16"/>
    </row>
    <row r="171" spans="2:8">
      <c r="B171" s="5"/>
      <c r="H171" s="16"/>
    </row>
    <row r="172" spans="2:8">
      <c r="B172" s="5"/>
      <c r="H172" s="16"/>
    </row>
    <row r="173" spans="2:8">
      <c r="B173" s="5"/>
      <c r="H173" s="16"/>
    </row>
    <row r="174" spans="2:8">
      <c r="B174" s="5"/>
      <c r="H174" s="16"/>
    </row>
    <row r="175" spans="2:8">
      <c r="B175" s="5"/>
      <c r="H175" s="16"/>
    </row>
    <row r="176" spans="2:8">
      <c r="B176" s="5"/>
      <c r="H176" s="16"/>
    </row>
    <row r="177" spans="2:8">
      <c r="B177" s="5"/>
      <c r="H177" s="16"/>
    </row>
    <row r="178" spans="2:8">
      <c r="B178" s="5"/>
      <c r="H178" s="16"/>
    </row>
    <row r="179" spans="2:8">
      <c r="B179" s="5"/>
      <c r="H179" s="16"/>
    </row>
    <row r="180" spans="2:8">
      <c r="B180" s="5"/>
      <c r="H180" s="16"/>
    </row>
    <row r="181" spans="2:8">
      <c r="B181" s="5"/>
      <c r="H181" s="16"/>
    </row>
    <row r="182" spans="2:8">
      <c r="B182" s="5"/>
      <c r="H182" s="16"/>
    </row>
    <row r="183" spans="2:8">
      <c r="B183" s="5"/>
      <c r="H183" s="16"/>
    </row>
    <row r="184" spans="2:8">
      <c r="B184" s="5"/>
      <c r="H184" s="16"/>
    </row>
    <row r="185" spans="2:8">
      <c r="B185" s="5"/>
      <c r="H185" s="16"/>
    </row>
    <row r="186" spans="2:8">
      <c r="B186" s="5"/>
      <c r="H186" s="16"/>
    </row>
    <row r="187" spans="2:8">
      <c r="B187" s="5"/>
      <c r="H187" s="16"/>
    </row>
    <row r="188" spans="2:8">
      <c r="B188" s="5"/>
      <c r="H188" s="16"/>
    </row>
    <row r="189" spans="2:8">
      <c r="B189" s="5"/>
      <c r="H189" s="16"/>
    </row>
    <row r="190" spans="2:8">
      <c r="B190" s="5"/>
      <c r="H190" s="16"/>
    </row>
    <row r="191" spans="2:8">
      <c r="B191" s="5"/>
      <c r="H191" s="16"/>
    </row>
    <row r="192" spans="2:8">
      <c r="B192" s="5"/>
      <c r="H192" s="16"/>
    </row>
    <row r="193" spans="2:8">
      <c r="B193" s="5"/>
      <c r="H193" s="16"/>
    </row>
    <row r="194" spans="2:8">
      <c r="B194" s="5"/>
      <c r="H194" s="16"/>
    </row>
    <row r="195" spans="2:8">
      <c r="B195" s="5"/>
      <c r="H195" s="16"/>
    </row>
    <row r="196" spans="2:8">
      <c r="B196" s="5"/>
      <c r="H196" s="16"/>
    </row>
    <row r="197" spans="2:8">
      <c r="B197" s="5"/>
      <c r="H197" s="16"/>
    </row>
    <row r="198" spans="2:8">
      <c r="B198" s="5"/>
      <c r="H198" s="16"/>
    </row>
    <row r="199" spans="2:8">
      <c r="B199" s="5"/>
      <c r="H199" s="16"/>
    </row>
    <row r="200" spans="2:8">
      <c r="B200" s="5"/>
      <c r="H200" s="16"/>
    </row>
    <row r="201" spans="2:8">
      <c r="B201" s="5"/>
      <c r="H201" s="16"/>
    </row>
    <row r="202" spans="2:8">
      <c r="B202" s="5"/>
      <c r="H202" s="16"/>
    </row>
    <row r="203" spans="2:8">
      <c r="B203" s="5"/>
      <c r="H203" s="16"/>
    </row>
    <row r="204" spans="2:8">
      <c r="B204" s="5"/>
      <c r="H204" s="16"/>
    </row>
    <row r="205" spans="2:8">
      <c r="B205" s="5"/>
      <c r="H205" s="16"/>
    </row>
    <row r="206" spans="2:8">
      <c r="B206" s="5"/>
      <c r="H206" s="16"/>
    </row>
    <row r="207" spans="2:8">
      <c r="B207" s="5"/>
      <c r="H207" s="16"/>
    </row>
    <row r="208" spans="2:8">
      <c r="B208" s="5"/>
      <c r="H208" s="16"/>
    </row>
    <row r="209" spans="2:8">
      <c r="B209" s="5"/>
      <c r="H209" s="16"/>
    </row>
    <row r="210" spans="2:8">
      <c r="B210" s="5"/>
      <c r="H210" s="16"/>
    </row>
    <row r="211" spans="2:8">
      <c r="B211" s="5"/>
      <c r="H211" s="16"/>
    </row>
    <row r="212" spans="2:8">
      <c r="B212" s="5"/>
      <c r="H212" s="16"/>
    </row>
    <row r="213" spans="2:8">
      <c r="B213" s="5"/>
      <c r="H213" s="16"/>
    </row>
    <row r="214" spans="2:8">
      <c r="B214" s="5"/>
      <c r="H214" s="16"/>
    </row>
    <row r="215" spans="2:8">
      <c r="B215" s="5"/>
      <c r="H215" s="16"/>
    </row>
    <row r="216" spans="2:8">
      <c r="B216" s="5"/>
      <c r="H216" s="16"/>
    </row>
    <row r="217" spans="2:8">
      <c r="B217" s="5"/>
      <c r="H217" s="16"/>
    </row>
    <row r="218" spans="2:8">
      <c r="B218" s="5"/>
      <c r="H218" s="16"/>
    </row>
    <row r="219" spans="2:8">
      <c r="B219" s="5"/>
      <c r="H219" s="16"/>
    </row>
    <row r="220" spans="2:8">
      <c r="B220" s="5"/>
      <c r="H220" s="16"/>
    </row>
    <row r="221" spans="2:8">
      <c r="B221" s="5"/>
      <c r="H221" s="16"/>
    </row>
    <row r="222" spans="2:8">
      <c r="B222" s="5"/>
      <c r="H222" s="16"/>
    </row>
    <row r="223" spans="2:8">
      <c r="B223" s="5"/>
      <c r="H223" s="16"/>
    </row>
    <row r="224" spans="2:8">
      <c r="B224" s="5"/>
      <c r="H224" s="16"/>
    </row>
    <row r="225" spans="2:8">
      <c r="B225" s="5"/>
      <c r="H225" s="16"/>
    </row>
    <row r="226" spans="2:8">
      <c r="B226" s="5"/>
      <c r="H226" s="16"/>
    </row>
    <row r="227" spans="2:8">
      <c r="B227" s="5"/>
      <c r="H227" s="16"/>
    </row>
    <row r="228" spans="2:8">
      <c r="B228" s="5"/>
      <c r="H228" s="16"/>
    </row>
    <row r="229" spans="2:8">
      <c r="B229" s="5"/>
      <c r="H229" s="16"/>
    </row>
    <row r="230" spans="2:8">
      <c r="B230" s="5"/>
      <c r="H230" s="16"/>
    </row>
    <row r="231" spans="2:8">
      <c r="B231" s="5"/>
      <c r="H231" s="16"/>
    </row>
    <row r="232" spans="2:8">
      <c r="B232" s="5"/>
      <c r="H232" s="16"/>
    </row>
    <row r="233" spans="2:8">
      <c r="B233" s="5"/>
      <c r="H233" s="16"/>
    </row>
    <row r="234" spans="2:8">
      <c r="B234" s="5"/>
      <c r="H234" s="16"/>
    </row>
    <row r="235" spans="2:8">
      <c r="B235" s="5"/>
      <c r="H235" s="16"/>
    </row>
    <row r="236" spans="2:8">
      <c r="B236" s="5"/>
      <c r="H236" s="16"/>
    </row>
    <row r="237" spans="2:8">
      <c r="B237" s="5"/>
      <c r="H237" s="16"/>
    </row>
    <row r="238" spans="2:8">
      <c r="B238" s="5"/>
      <c r="H238" s="16"/>
    </row>
    <row r="239" spans="2:8">
      <c r="B239" s="5"/>
      <c r="H239" s="16"/>
    </row>
    <row r="240" spans="2:8">
      <c r="B240" s="5"/>
      <c r="H240" s="16"/>
    </row>
    <row r="241" spans="2:8">
      <c r="B241" s="5"/>
      <c r="H241" s="16"/>
    </row>
    <row r="242" spans="2:8">
      <c r="B242" s="5"/>
      <c r="H242" s="16"/>
    </row>
    <row r="243" spans="2:8">
      <c r="B243" s="5"/>
      <c r="H243" s="16"/>
    </row>
    <row r="244" spans="2:8">
      <c r="B244" s="5"/>
      <c r="H244" s="16"/>
    </row>
    <row r="245" spans="2:8">
      <c r="B245" s="5"/>
      <c r="H245" s="16"/>
    </row>
    <row r="246" spans="2:8">
      <c r="B246" s="5"/>
      <c r="H246" s="16"/>
    </row>
    <row r="247" spans="2:8">
      <c r="B247" s="5"/>
      <c r="H247" s="16"/>
    </row>
    <row r="248" spans="2:8">
      <c r="B248" s="5"/>
      <c r="H248" s="16"/>
    </row>
    <row r="249" spans="2:8">
      <c r="B249" s="5"/>
      <c r="H249" s="16"/>
    </row>
    <row r="250" spans="2:8">
      <c r="B250" s="5"/>
      <c r="H250" s="16"/>
    </row>
    <row r="251" spans="2:8">
      <c r="B251" s="5"/>
      <c r="H251" s="16"/>
    </row>
    <row r="252" spans="2:8">
      <c r="B252" s="5"/>
      <c r="H252" s="16"/>
    </row>
    <row r="253" spans="2:8">
      <c r="B253" s="5"/>
      <c r="H253" s="16"/>
    </row>
    <row r="254" spans="2:8">
      <c r="B254" s="5"/>
      <c r="H254" s="16"/>
    </row>
    <row r="255" spans="2:8">
      <c r="B255" s="5"/>
      <c r="H255" s="16"/>
    </row>
    <row r="256" spans="2:8">
      <c r="B256" s="5"/>
      <c r="H256" s="16"/>
    </row>
    <row r="257" spans="2:8">
      <c r="B257" s="5"/>
      <c r="H257" s="16"/>
    </row>
    <row r="258" spans="2:8">
      <c r="B258" s="5"/>
      <c r="H258" s="16"/>
    </row>
    <row r="259" spans="2:8">
      <c r="B259" s="5"/>
      <c r="H259" s="16"/>
    </row>
    <row r="260" spans="2:8">
      <c r="B260" s="5"/>
      <c r="H260" s="16"/>
    </row>
    <row r="261" spans="2:8">
      <c r="B261" s="5"/>
      <c r="H261" s="16"/>
    </row>
    <row r="262" spans="2:8">
      <c r="B262" s="5"/>
      <c r="H262" s="16"/>
    </row>
    <row r="263" spans="2:8">
      <c r="B263" s="5"/>
      <c r="H263" s="16"/>
    </row>
    <row r="264" spans="2:8">
      <c r="B264" s="5"/>
      <c r="H264" s="16"/>
    </row>
    <row r="265" spans="2:8">
      <c r="B265" s="5"/>
      <c r="H265" s="16"/>
    </row>
    <row r="266" spans="2:8">
      <c r="B266" s="5"/>
      <c r="H266" s="16"/>
    </row>
    <row r="267" spans="2:8">
      <c r="B267" s="5"/>
      <c r="H267" s="16"/>
    </row>
    <row r="268" spans="2:8">
      <c r="B268" s="5"/>
      <c r="H268" s="16"/>
    </row>
    <row r="269" spans="2:8">
      <c r="B269" s="5"/>
      <c r="H269" s="16"/>
    </row>
    <row r="270" spans="2:8">
      <c r="B270" s="5"/>
      <c r="H270" s="16"/>
    </row>
    <row r="271" spans="2:8">
      <c r="B271" s="5"/>
      <c r="H271" s="16"/>
    </row>
    <row r="272" spans="2:8">
      <c r="B272" s="5"/>
      <c r="H272" s="16"/>
    </row>
    <row r="273" spans="2:8">
      <c r="B273" s="5"/>
      <c r="H273" s="16"/>
    </row>
    <row r="274" spans="2:8">
      <c r="B274" s="5"/>
      <c r="H274" s="16"/>
    </row>
    <row r="275" spans="2:8">
      <c r="B275" s="5"/>
      <c r="H275" s="16"/>
    </row>
    <row r="276" spans="2:8">
      <c r="B276" s="5"/>
      <c r="H276" s="16"/>
    </row>
    <row r="277" spans="2:8">
      <c r="B277" s="5"/>
      <c r="H277" s="16"/>
    </row>
    <row r="278" spans="2:8">
      <c r="B278" s="5"/>
      <c r="H278" s="16"/>
    </row>
    <row r="279" spans="2:8">
      <c r="B279" s="5"/>
      <c r="H279" s="16"/>
    </row>
    <row r="280" spans="2:8">
      <c r="B280" s="5"/>
      <c r="H280" s="16"/>
    </row>
    <row r="281" spans="2:8">
      <c r="B281" s="5"/>
      <c r="H281" s="16"/>
    </row>
    <row r="282" spans="2:8">
      <c r="B282" s="5"/>
      <c r="H282" s="16"/>
    </row>
    <row r="283" spans="2:8">
      <c r="B283" s="5"/>
      <c r="H283" s="16"/>
    </row>
    <row r="284" spans="2:8">
      <c r="B284" s="5"/>
      <c r="H284" s="16"/>
    </row>
    <row r="285" spans="2:8">
      <c r="B285" s="5"/>
      <c r="H285" s="16"/>
    </row>
    <row r="286" spans="2:8">
      <c r="B286" s="5"/>
      <c r="H286" s="16"/>
    </row>
    <row r="287" spans="2:8">
      <c r="B287" s="5"/>
      <c r="H287" s="16"/>
    </row>
    <row r="288" spans="2:8">
      <c r="B288" s="5"/>
      <c r="H288" s="16"/>
    </row>
    <row r="289" spans="2:8">
      <c r="B289" s="5"/>
      <c r="H289" s="16"/>
    </row>
    <row r="290" spans="2:8">
      <c r="B290" s="5"/>
      <c r="H290" s="16"/>
    </row>
    <row r="291" spans="2:8">
      <c r="B291" s="5"/>
      <c r="H291" s="16"/>
    </row>
    <row r="292" spans="2:8">
      <c r="B292" s="5"/>
      <c r="H292" s="16"/>
    </row>
    <row r="293" spans="2:8">
      <c r="B293" s="5"/>
      <c r="H293" s="16"/>
    </row>
    <row r="294" spans="2:8">
      <c r="B294" s="5"/>
      <c r="H294" s="16"/>
    </row>
    <row r="295" spans="2:8">
      <c r="B295" s="5"/>
      <c r="H295" s="16"/>
    </row>
    <row r="296" spans="2:8">
      <c r="B296" s="5"/>
      <c r="H296" s="16"/>
    </row>
    <row r="297" spans="2:8">
      <c r="B297" s="5"/>
      <c r="H297" s="16"/>
    </row>
    <row r="298" spans="2:8">
      <c r="B298" s="5"/>
      <c r="H298" s="16"/>
    </row>
    <row r="299" spans="2:8">
      <c r="B299" s="5"/>
      <c r="H299" s="16"/>
    </row>
    <row r="300" spans="2:8">
      <c r="B300" s="5"/>
      <c r="H300" s="16"/>
    </row>
    <row r="301" spans="2:8">
      <c r="B301" s="5"/>
      <c r="H301" s="16"/>
    </row>
    <row r="302" spans="2:8">
      <c r="B302" s="5"/>
      <c r="H302" s="16"/>
    </row>
    <row r="303" spans="2:8">
      <c r="B303" s="5"/>
      <c r="H303" s="16"/>
    </row>
    <row r="304" spans="2:8">
      <c r="B304" s="5"/>
      <c r="H304" s="16"/>
    </row>
    <row r="305" spans="2:8">
      <c r="B305" s="5"/>
      <c r="H305" s="16"/>
    </row>
    <row r="306" spans="2:8">
      <c r="B306" s="5"/>
      <c r="H306" s="16"/>
    </row>
    <row r="307" spans="2:8">
      <c r="B307" s="5"/>
      <c r="H307" s="16"/>
    </row>
    <row r="308" spans="2:8">
      <c r="B308" s="5"/>
      <c r="H308" s="16"/>
    </row>
    <row r="309" spans="2:8">
      <c r="B309" s="5"/>
      <c r="H309" s="16"/>
    </row>
    <row r="310" spans="2:8">
      <c r="B310" s="5"/>
      <c r="H310" s="16"/>
    </row>
    <row r="311" spans="2:8">
      <c r="B311" s="5"/>
      <c r="H311" s="16"/>
    </row>
    <row r="312" spans="2:8">
      <c r="B312" s="5"/>
      <c r="H312" s="16"/>
    </row>
    <row r="313" spans="2:8">
      <c r="B313" s="5"/>
      <c r="H313" s="16"/>
    </row>
    <row r="314" spans="2:8">
      <c r="B314" s="5"/>
      <c r="H314" s="16"/>
    </row>
    <row r="315" spans="2:8">
      <c r="B315" s="5"/>
      <c r="H315" s="16"/>
    </row>
    <row r="316" spans="2:8">
      <c r="B316" s="5"/>
      <c r="H316" s="16"/>
    </row>
    <row r="317" spans="2:8">
      <c r="B317" s="5"/>
      <c r="H317" s="16"/>
    </row>
    <row r="318" spans="2:8">
      <c r="B318" s="5"/>
      <c r="H318" s="16"/>
    </row>
    <row r="319" spans="2:8">
      <c r="B319" s="5"/>
      <c r="H319" s="16"/>
    </row>
    <row r="320" spans="2:8">
      <c r="B320" s="5"/>
      <c r="H320" s="16"/>
    </row>
    <row r="321" spans="2:8">
      <c r="B321" s="5"/>
      <c r="H321" s="16"/>
    </row>
    <row r="322" spans="2:8">
      <c r="B322" s="5"/>
      <c r="H322" s="16"/>
    </row>
    <row r="323" spans="2:8">
      <c r="B323" s="5"/>
      <c r="H323" s="16"/>
    </row>
    <row r="324" spans="2:8">
      <c r="B324" s="5"/>
      <c r="H324" s="16"/>
    </row>
    <row r="325" spans="2:8">
      <c r="B325" s="5"/>
      <c r="H325" s="16"/>
    </row>
    <row r="326" spans="2:8">
      <c r="B326" s="5"/>
      <c r="H326" s="16"/>
    </row>
    <row r="327" spans="2:8">
      <c r="B327" s="5"/>
      <c r="H327" s="16"/>
    </row>
    <row r="328" spans="2:8">
      <c r="B328" s="5"/>
      <c r="H328" s="16"/>
    </row>
    <row r="329" spans="2:8">
      <c r="B329" s="5"/>
      <c r="H329" s="16"/>
    </row>
    <row r="330" spans="2:8">
      <c r="B330" s="5"/>
      <c r="H330" s="16"/>
    </row>
    <row r="331" spans="2:8">
      <c r="B331" s="5"/>
      <c r="H331" s="16"/>
    </row>
    <row r="332" spans="2:8">
      <c r="B332" s="5"/>
      <c r="H332" s="16"/>
    </row>
    <row r="333" spans="2:8">
      <c r="B333" s="5"/>
      <c r="H333" s="16"/>
    </row>
    <row r="334" spans="2:8">
      <c r="B334" s="5"/>
      <c r="H334" s="16"/>
    </row>
    <row r="335" spans="2:8">
      <c r="B335" s="5"/>
      <c r="H335" s="16"/>
    </row>
    <row r="336" spans="2:8">
      <c r="B336" s="5"/>
      <c r="H336" s="16"/>
    </row>
    <row r="337" spans="2:8">
      <c r="B337" s="5"/>
      <c r="H337" s="16"/>
    </row>
    <row r="338" spans="2:8">
      <c r="B338" s="5"/>
      <c r="H338" s="16"/>
    </row>
    <row r="339" spans="2:8">
      <c r="B339" s="5"/>
      <c r="H339" s="16"/>
    </row>
    <row r="340" spans="2:8">
      <c r="B340" s="5"/>
      <c r="H340" s="16"/>
    </row>
    <row r="341" spans="2:8">
      <c r="B341" s="5"/>
      <c r="H341" s="16"/>
    </row>
    <row r="342" spans="2:8">
      <c r="B342" s="5"/>
      <c r="H342" s="16"/>
    </row>
    <row r="343" spans="2:8">
      <c r="B343" s="5"/>
      <c r="H343" s="16"/>
    </row>
    <row r="344" spans="2:8">
      <c r="B344" s="5"/>
      <c r="H344" s="16"/>
    </row>
    <row r="345" spans="2:8">
      <c r="B345" s="5"/>
      <c r="H345" s="16"/>
    </row>
    <row r="346" spans="2:8">
      <c r="B346" s="5"/>
      <c r="H346" s="16"/>
    </row>
    <row r="347" spans="2:8">
      <c r="B347" s="5"/>
      <c r="H347" s="16"/>
    </row>
    <row r="348" spans="2:8">
      <c r="B348" s="5"/>
      <c r="H348" s="16"/>
    </row>
    <row r="349" spans="2:8">
      <c r="B349" s="5"/>
      <c r="H349" s="16"/>
    </row>
    <row r="350" spans="2:8">
      <c r="B350" s="5"/>
      <c r="H350" s="16"/>
    </row>
    <row r="351" spans="2:8">
      <c r="B351" s="5"/>
      <c r="H351" s="16"/>
    </row>
    <row r="352" spans="2:8">
      <c r="B352" s="5"/>
      <c r="H352" s="16"/>
    </row>
    <row r="353" spans="2:8">
      <c r="B353" s="5"/>
      <c r="H353" s="16"/>
    </row>
    <row r="354" spans="2:8">
      <c r="B354" s="5"/>
      <c r="H354" s="16"/>
    </row>
    <row r="355" spans="2:8">
      <c r="B355" s="5"/>
      <c r="H355" s="16"/>
    </row>
    <row r="356" spans="2:8">
      <c r="B356" s="5"/>
      <c r="H356" s="16"/>
    </row>
    <row r="357" spans="2:8">
      <c r="B357" s="5"/>
      <c r="H357" s="16"/>
    </row>
    <row r="358" spans="2:8">
      <c r="B358" s="5"/>
      <c r="H358" s="16"/>
    </row>
    <row r="359" spans="2:8">
      <c r="B359" s="5"/>
      <c r="H359" s="16"/>
    </row>
    <row r="360" spans="2:8">
      <c r="B360" s="5"/>
      <c r="H360" s="16"/>
    </row>
    <row r="361" spans="2:8">
      <c r="B361" s="5"/>
      <c r="H361" s="16"/>
    </row>
    <row r="362" spans="2:8">
      <c r="B362" s="5"/>
      <c r="H362" s="16"/>
    </row>
    <row r="363" spans="2:8">
      <c r="B363" s="5"/>
      <c r="H363" s="16"/>
    </row>
    <row r="364" spans="2:8">
      <c r="B364" s="5"/>
      <c r="H364" s="16"/>
    </row>
    <row r="365" spans="2:8">
      <c r="B365" s="5"/>
      <c r="H365" s="16"/>
    </row>
    <row r="366" spans="2:8">
      <c r="B366" s="5"/>
      <c r="H366" s="16"/>
    </row>
    <row r="367" spans="2:8">
      <c r="B367" s="5"/>
      <c r="H367" s="16"/>
    </row>
    <row r="368" spans="2:8">
      <c r="B368" s="5"/>
      <c r="H368" s="16"/>
    </row>
    <row r="369" spans="2:8">
      <c r="B369" s="5"/>
      <c r="H369" s="16"/>
    </row>
    <row r="370" spans="2:8">
      <c r="B370" s="5"/>
      <c r="H370" s="16"/>
    </row>
    <row r="371" spans="2:8">
      <c r="B371" s="5"/>
      <c r="H371" s="16"/>
    </row>
    <row r="372" spans="2:8">
      <c r="B372" s="5"/>
      <c r="H372" s="16"/>
    </row>
    <row r="373" spans="2:8">
      <c r="B373" s="5"/>
      <c r="H373" s="16"/>
    </row>
    <row r="374" spans="2:8">
      <c r="B374" s="5"/>
      <c r="H374" s="16"/>
    </row>
    <row r="375" spans="2:8">
      <c r="B375" s="5"/>
      <c r="H375" s="16"/>
    </row>
    <row r="376" spans="2:8">
      <c r="B376" s="5"/>
      <c r="H376" s="16"/>
    </row>
    <row r="377" spans="2:8">
      <c r="B377" s="5"/>
      <c r="H377" s="16"/>
    </row>
    <row r="378" spans="2:8">
      <c r="B378" s="5"/>
      <c r="H378" s="16"/>
    </row>
    <row r="379" spans="2:8">
      <c r="B379" s="5"/>
      <c r="H379" s="16"/>
    </row>
    <row r="380" spans="2:8">
      <c r="B380" s="5"/>
      <c r="H380" s="16"/>
    </row>
    <row r="381" spans="2:8">
      <c r="B381" s="5"/>
      <c r="H381" s="16"/>
    </row>
    <row r="382" spans="2:8">
      <c r="B382" s="5"/>
      <c r="H382" s="16"/>
    </row>
    <row r="383" spans="2:8">
      <c r="B383" s="5"/>
      <c r="H383" s="16"/>
    </row>
    <row r="384" spans="2:8">
      <c r="B384" s="5"/>
      <c r="H384" s="16"/>
    </row>
    <row r="385" spans="2:8">
      <c r="B385" s="5"/>
      <c r="H385" s="16"/>
    </row>
    <row r="386" spans="2:8">
      <c r="B386" s="5"/>
      <c r="H386" s="16"/>
    </row>
    <row r="387" spans="2:8">
      <c r="B387" s="5"/>
      <c r="H387" s="16"/>
    </row>
    <row r="388" spans="2:8">
      <c r="B388" s="5"/>
      <c r="H388" s="16"/>
    </row>
    <row r="389" spans="2:8">
      <c r="B389" s="5"/>
      <c r="H389" s="16"/>
    </row>
    <row r="390" spans="2:8">
      <c r="B390" s="5"/>
      <c r="H390" s="16"/>
    </row>
    <row r="391" spans="2:8">
      <c r="B391" s="5"/>
      <c r="H391" s="16"/>
    </row>
    <row r="392" spans="2:8">
      <c r="B392" s="5"/>
      <c r="H392" s="16"/>
    </row>
    <row r="393" spans="2:8">
      <c r="B393" s="5"/>
      <c r="H393" s="16"/>
    </row>
    <row r="394" spans="2:8">
      <c r="B394" s="5"/>
      <c r="H394" s="16"/>
    </row>
    <row r="395" spans="2:8">
      <c r="B395" s="5"/>
      <c r="H395" s="16"/>
    </row>
    <row r="396" spans="2:8">
      <c r="B396" s="5"/>
      <c r="H396" s="16"/>
    </row>
    <row r="397" spans="2:8">
      <c r="B397" s="5"/>
      <c r="H397" s="16"/>
    </row>
    <row r="398" spans="2:8">
      <c r="B398" s="5"/>
      <c r="H398" s="16"/>
    </row>
    <row r="399" spans="2:8">
      <c r="B399" s="5"/>
      <c r="H399" s="16"/>
    </row>
    <row r="400" spans="2:8">
      <c r="B400" s="5"/>
      <c r="H400" s="16"/>
    </row>
    <row r="401" spans="2:8">
      <c r="B401" s="5"/>
      <c r="H401" s="16"/>
    </row>
    <row r="402" spans="2:8">
      <c r="B402" s="5"/>
      <c r="H402" s="16"/>
    </row>
    <row r="403" spans="2:8">
      <c r="B403" s="5"/>
      <c r="H403" s="16"/>
    </row>
    <row r="404" spans="2:8">
      <c r="B404" s="5"/>
      <c r="H404" s="16"/>
    </row>
    <row r="405" spans="2:8">
      <c r="B405" s="5"/>
      <c r="H405" s="16"/>
    </row>
    <row r="406" spans="2:8">
      <c r="B406" s="5"/>
      <c r="H406" s="16"/>
    </row>
    <row r="407" spans="2:8">
      <c r="B407" s="5"/>
      <c r="H407" s="16"/>
    </row>
    <row r="408" spans="2:8">
      <c r="B408" s="5"/>
      <c r="H408" s="16"/>
    </row>
    <row r="409" spans="2:8">
      <c r="B409" s="5"/>
      <c r="H409" s="16"/>
    </row>
    <row r="410" spans="2:8">
      <c r="B410" s="5"/>
      <c r="H410" s="16"/>
    </row>
    <row r="411" spans="2:8">
      <c r="B411" s="5"/>
      <c r="H411" s="16"/>
    </row>
    <row r="412" spans="2:8">
      <c r="B412" s="5"/>
      <c r="H412" s="16"/>
    </row>
    <row r="413" spans="2:8">
      <c r="B413" s="5"/>
      <c r="H413" s="16"/>
    </row>
    <row r="414" spans="2:8">
      <c r="B414" s="5"/>
      <c r="H414" s="16"/>
    </row>
    <row r="415" spans="2:8">
      <c r="B415" s="5"/>
      <c r="H415" s="16"/>
    </row>
    <row r="416" spans="2:8">
      <c r="B416" s="5"/>
      <c r="H416" s="16"/>
    </row>
    <row r="417" spans="2:8">
      <c r="B417" s="5"/>
      <c r="H417" s="16"/>
    </row>
    <row r="418" spans="2:8">
      <c r="B418" s="5"/>
      <c r="H418" s="16"/>
    </row>
    <row r="419" spans="2:8">
      <c r="B419" s="5"/>
      <c r="H419" s="16"/>
    </row>
    <row r="420" spans="2:8">
      <c r="B420" s="5"/>
      <c r="H420" s="16"/>
    </row>
    <row r="421" spans="2:8">
      <c r="B421" s="5"/>
      <c r="H421" s="16"/>
    </row>
    <row r="422" spans="2:8">
      <c r="B422" s="5"/>
      <c r="H422" s="16"/>
    </row>
    <row r="423" spans="2:8">
      <c r="B423" s="5"/>
      <c r="H423" s="16"/>
    </row>
    <row r="424" spans="2:8">
      <c r="B424" s="5"/>
      <c r="H424" s="16"/>
    </row>
    <row r="425" spans="2:8">
      <c r="B425" s="5"/>
      <c r="H425" s="16"/>
    </row>
    <row r="426" spans="2:8">
      <c r="B426" s="5"/>
      <c r="H426" s="16"/>
    </row>
    <row r="427" spans="2:8">
      <c r="B427" s="5"/>
      <c r="H427" s="16"/>
    </row>
    <row r="428" spans="2:8">
      <c r="B428" s="5"/>
      <c r="H428" s="16"/>
    </row>
    <row r="429" spans="2:8">
      <c r="B429" s="5"/>
      <c r="H429" s="16"/>
    </row>
    <row r="430" spans="2:8">
      <c r="B430" s="5"/>
      <c r="H430" s="16"/>
    </row>
    <row r="431" spans="2:8">
      <c r="B431" s="5"/>
      <c r="H431" s="16"/>
    </row>
    <row r="432" spans="2:8">
      <c r="B432" s="5"/>
      <c r="H432" s="16"/>
    </row>
    <row r="433" spans="2:8">
      <c r="B433" s="5"/>
      <c r="H433" s="16"/>
    </row>
    <row r="434" spans="2:8">
      <c r="B434" s="5"/>
      <c r="H434" s="16"/>
    </row>
    <row r="435" spans="2:8">
      <c r="B435" s="5"/>
      <c r="H435" s="16"/>
    </row>
    <row r="436" spans="2:8">
      <c r="B436" s="5"/>
      <c r="H436" s="16"/>
    </row>
    <row r="437" spans="2:8">
      <c r="B437" s="5"/>
      <c r="H437" s="16"/>
    </row>
    <row r="438" spans="2:8">
      <c r="B438" s="5"/>
      <c r="H438" s="16"/>
    </row>
    <row r="439" spans="2:8">
      <c r="B439" s="5"/>
      <c r="H439" s="16"/>
    </row>
    <row r="440" spans="2:8">
      <c r="B440" s="5"/>
      <c r="H440" s="16"/>
    </row>
    <row r="441" spans="2:8">
      <c r="B441" s="5"/>
      <c r="H441" s="16"/>
    </row>
    <row r="442" spans="2:8">
      <c r="B442" s="5"/>
      <c r="H442" s="16"/>
    </row>
    <row r="443" spans="2:8">
      <c r="B443" s="5"/>
      <c r="H443" s="16"/>
    </row>
    <row r="444" spans="2:8">
      <c r="B444" s="5"/>
      <c r="H444" s="16"/>
    </row>
    <row r="445" spans="2:8">
      <c r="B445" s="5"/>
      <c r="H445" s="16"/>
    </row>
    <row r="446" spans="2:8">
      <c r="B446" s="5"/>
      <c r="H446" s="16"/>
    </row>
    <row r="447" spans="2:8">
      <c r="B447" s="5"/>
      <c r="H447" s="16"/>
    </row>
    <row r="448" spans="2:8">
      <c r="B448" s="5"/>
      <c r="H448" s="16"/>
    </row>
    <row r="449" spans="2:8">
      <c r="B449" s="5"/>
      <c r="H449" s="16"/>
    </row>
    <row r="450" spans="2:8">
      <c r="B450" s="5"/>
      <c r="H450" s="16"/>
    </row>
    <row r="451" spans="2:8">
      <c r="B451" s="5"/>
      <c r="H451" s="16"/>
    </row>
    <row r="452" spans="2:8">
      <c r="B452" s="5"/>
      <c r="H452" s="16"/>
    </row>
    <row r="453" spans="2:8">
      <c r="B453" s="5"/>
      <c r="H453" s="16"/>
    </row>
    <row r="454" spans="2:8">
      <c r="B454" s="5"/>
      <c r="H454" s="16"/>
    </row>
    <row r="455" spans="2:8">
      <c r="B455" s="5"/>
      <c r="H455" s="16"/>
    </row>
    <row r="456" spans="2:8">
      <c r="B456" s="5"/>
      <c r="H456" s="16"/>
    </row>
    <row r="457" spans="2:8">
      <c r="B457" s="5"/>
      <c r="H457" s="16"/>
    </row>
    <row r="458" spans="2:8">
      <c r="B458" s="5"/>
      <c r="H458" s="16"/>
    </row>
    <row r="459" spans="2:8">
      <c r="B459" s="5"/>
      <c r="H459" s="16"/>
    </row>
    <row r="460" spans="2:8">
      <c r="B460" s="5"/>
      <c r="H460" s="16"/>
    </row>
    <row r="461" spans="2:8">
      <c r="B461" s="5"/>
      <c r="H461" s="16"/>
    </row>
    <row r="462" spans="2:8">
      <c r="B462" s="5"/>
      <c r="H462" s="16"/>
    </row>
    <row r="463" spans="2:8">
      <c r="B463" s="5"/>
      <c r="H463" s="16"/>
    </row>
    <row r="464" spans="2:8">
      <c r="B464" s="5"/>
      <c r="H464" s="16"/>
    </row>
    <row r="465" spans="2:8">
      <c r="B465" s="5"/>
      <c r="H465" s="16"/>
    </row>
    <row r="466" spans="2:8">
      <c r="B466" s="5"/>
      <c r="H466" s="16"/>
    </row>
    <row r="467" spans="2:8">
      <c r="B467" s="5"/>
      <c r="H467" s="16"/>
    </row>
    <row r="468" spans="2:8">
      <c r="B468" s="5"/>
      <c r="H468" s="16"/>
    </row>
    <row r="469" spans="2:8">
      <c r="B469" s="5"/>
      <c r="H469" s="16"/>
    </row>
    <row r="470" spans="2:8">
      <c r="B470" s="5"/>
      <c r="H470" s="16"/>
    </row>
    <row r="471" spans="2:8">
      <c r="B471" s="5"/>
      <c r="H471" s="16"/>
    </row>
    <row r="472" spans="2:8">
      <c r="B472" s="5"/>
      <c r="H472" s="16"/>
    </row>
    <row r="473" spans="2:8">
      <c r="B473" s="5"/>
      <c r="H473" s="16"/>
    </row>
    <row r="474" spans="2:8">
      <c r="B474" s="5"/>
      <c r="H474" s="16"/>
    </row>
    <row r="475" spans="2:8">
      <c r="B475" s="5"/>
      <c r="H475" s="16"/>
    </row>
    <row r="476" spans="2:8">
      <c r="B476" s="5"/>
      <c r="H476" s="16"/>
    </row>
    <row r="477" spans="2:8">
      <c r="B477" s="5"/>
      <c r="H477" s="16"/>
    </row>
    <row r="478" spans="2:8">
      <c r="B478" s="5"/>
      <c r="H478" s="16"/>
    </row>
    <row r="479" spans="2:8">
      <c r="B479" s="5"/>
      <c r="H479" s="16"/>
    </row>
    <row r="480" spans="2:8">
      <c r="B480" s="5"/>
      <c r="H480" s="16"/>
    </row>
    <row r="481" spans="2:8">
      <c r="B481" s="5"/>
      <c r="H481" s="16"/>
    </row>
    <row r="482" spans="2:8">
      <c r="B482" s="5"/>
      <c r="H482" s="16"/>
    </row>
    <row r="483" spans="2:8">
      <c r="B483" s="5"/>
      <c r="H483" s="16"/>
    </row>
    <row r="484" spans="2:8">
      <c r="B484" s="5"/>
      <c r="H484" s="16"/>
    </row>
    <row r="485" spans="2:8">
      <c r="B485" s="5"/>
      <c r="H485" s="16"/>
    </row>
    <row r="486" spans="2:8">
      <c r="B486" s="5"/>
      <c r="H486" s="16"/>
    </row>
    <row r="487" spans="2:8">
      <c r="B487" s="5"/>
      <c r="H487" s="16"/>
    </row>
    <row r="488" spans="2:8">
      <c r="B488" s="5"/>
      <c r="H488" s="16"/>
    </row>
    <row r="489" spans="2:8">
      <c r="B489" s="5"/>
      <c r="H489" s="16"/>
    </row>
    <row r="490" spans="2:8">
      <c r="B490" s="5"/>
      <c r="H490" s="16"/>
    </row>
    <row r="491" spans="2:8">
      <c r="B491" s="5"/>
      <c r="H491" s="16"/>
    </row>
    <row r="492" spans="2:8">
      <c r="B492" s="5"/>
      <c r="H492" s="16"/>
    </row>
    <row r="493" spans="2:8">
      <c r="B493" s="5"/>
      <c r="H493" s="16"/>
    </row>
    <row r="494" spans="2:8">
      <c r="B494" s="5"/>
      <c r="H494" s="16"/>
    </row>
    <row r="495" spans="2:8">
      <c r="B495" s="5"/>
      <c r="H495" s="16"/>
    </row>
    <row r="496" spans="2:8">
      <c r="B496" s="5"/>
      <c r="H496" s="16"/>
    </row>
    <row r="497" spans="2:8">
      <c r="B497" s="5"/>
      <c r="H497" s="16"/>
    </row>
    <row r="498" spans="2:8">
      <c r="B498" s="5"/>
      <c r="H498" s="16"/>
    </row>
    <row r="499" spans="2:8">
      <c r="B499" s="5"/>
      <c r="H499" s="16"/>
    </row>
    <row r="500" spans="2:8">
      <c r="B500" s="5"/>
      <c r="H500" s="16"/>
    </row>
    <row r="501" spans="2:8">
      <c r="B501" s="5"/>
      <c r="H501" s="16"/>
    </row>
    <row r="502" spans="2:8">
      <c r="B502" s="5"/>
      <c r="H502" s="16"/>
    </row>
    <row r="503" spans="2:8">
      <c r="B503" s="5"/>
      <c r="H503" s="16"/>
    </row>
    <row r="504" spans="2:8">
      <c r="B504" s="5"/>
      <c r="H504" s="16"/>
    </row>
    <row r="505" spans="2:8">
      <c r="B505" s="5"/>
      <c r="H505" s="16"/>
    </row>
    <row r="506" spans="2:8">
      <c r="B506" s="5"/>
      <c r="H506" s="16"/>
    </row>
    <row r="507" spans="2:8">
      <c r="B507" s="5"/>
      <c r="H507" s="16"/>
    </row>
    <row r="508" spans="2:8">
      <c r="B508" s="5"/>
      <c r="H508" s="16"/>
    </row>
    <row r="509" spans="2:8">
      <c r="B509" s="5"/>
      <c r="H509" s="16"/>
    </row>
    <row r="510" spans="2:8">
      <c r="B510" s="5"/>
      <c r="H510" s="16"/>
    </row>
    <row r="511" spans="2:8">
      <c r="B511" s="5"/>
      <c r="H511" s="16"/>
    </row>
    <row r="512" spans="2:8">
      <c r="B512" s="5"/>
      <c r="H512" s="16"/>
    </row>
    <row r="513" spans="2:8">
      <c r="B513" s="5"/>
      <c r="H513" s="16"/>
    </row>
    <row r="514" spans="2:8">
      <c r="B514" s="5"/>
      <c r="H514" s="16"/>
    </row>
    <row r="515" spans="2:8">
      <c r="B515" s="5"/>
      <c r="H515" s="16"/>
    </row>
    <row r="516" spans="2:8">
      <c r="B516" s="5"/>
      <c r="H516" s="16"/>
    </row>
    <row r="517" spans="2:8">
      <c r="B517" s="5"/>
      <c r="H517" s="16"/>
    </row>
    <row r="518" spans="2:8">
      <c r="B518" s="5"/>
      <c r="H518" s="16"/>
    </row>
    <row r="519" spans="2:8">
      <c r="B519" s="5"/>
      <c r="H519" s="16"/>
    </row>
    <row r="520" spans="2:8">
      <c r="B520" s="5"/>
      <c r="H520" s="16"/>
    </row>
    <row r="521" spans="2:8">
      <c r="B521" s="5"/>
      <c r="H521" s="16"/>
    </row>
    <row r="522" spans="2:8">
      <c r="B522" s="5"/>
      <c r="H522" s="16"/>
    </row>
    <row r="523" spans="2:8">
      <c r="B523" s="5"/>
      <c r="H523" s="16"/>
    </row>
    <row r="524" spans="2:8">
      <c r="B524" s="5"/>
      <c r="H524" s="16"/>
    </row>
    <row r="525" spans="2:8">
      <c r="B525" s="5"/>
      <c r="H525" s="16"/>
    </row>
    <row r="526" spans="2:8">
      <c r="B526" s="5"/>
      <c r="H526" s="16"/>
    </row>
    <row r="527" spans="2:8">
      <c r="B527" s="5"/>
      <c r="H527" s="16"/>
    </row>
    <row r="528" spans="2:8">
      <c r="B528" s="5"/>
      <c r="H528" s="16"/>
    </row>
    <row r="529" spans="2:8">
      <c r="B529" s="5"/>
      <c r="H529" s="16"/>
    </row>
    <row r="530" spans="2:8">
      <c r="B530" s="5"/>
      <c r="H530" s="16"/>
    </row>
    <row r="531" spans="2:8">
      <c r="B531" s="5"/>
      <c r="H531" s="16"/>
    </row>
    <row r="532" spans="2:8">
      <c r="B532" s="5"/>
      <c r="H532" s="16"/>
    </row>
    <row r="533" spans="2:8">
      <c r="B533" s="5"/>
      <c r="H533" s="16"/>
    </row>
    <row r="534" spans="2:8">
      <c r="B534" s="5"/>
      <c r="H534" s="16"/>
    </row>
    <row r="535" spans="2:8">
      <c r="B535" s="5"/>
      <c r="H535" s="16"/>
    </row>
    <row r="536" spans="2:8">
      <c r="B536" s="5"/>
      <c r="H536" s="16"/>
    </row>
    <row r="537" spans="2:8">
      <c r="B537" s="5"/>
      <c r="H537" s="16"/>
    </row>
    <row r="538" spans="2:8">
      <c r="B538" s="5"/>
      <c r="H538" s="16"/>
    </row>
    <row r="539" spans="2:8">
      <c r="B539" s="5"/>
      <c r="H539" s="16"/>
    </row>
    <row r="540" spans="2:8">
      <c r="B540" s="5"/>
      <c r="H540" s="16"/>
    </row>
    <row r="541" spans="2:8">
      <c r="B541" s="5"/>
      <c r="H541" s="16"/>
    </row>
    <row r="542" spans="2:8">
      <c r="B542" s="5"/>
      <c r="H542" s="16"/>
    </row>
    <row r="543" spans="2:8">
      <c r="B543" s="5"/>
      <c r="H543" s="16"/>
    </row>
    <row r="544" spans="2:8">
      <c r="B544" s="5"/>
      <c r="H544" s="16"/>
    </row>
    <row r="545" spans="2:8">
      <c r="B545" s="5"/>
      <c r="H545" s="16"/>
    </row>
    <row r="546" spans="2:8">
      <c r="B546" s="5"/>
      <c r="H546" s="16"/>
    </row>
    <row r="547" spans="2:8">
      <c r="B547" s="5"/>
      <c r="H547" s="16"/>
    </row>
    <row r="548" spans="2:8">
      <c r="B548" s="5"/>
      <c r="H548" s="16"/>
    </row>
    <row r="549" spans="2:8">
      <c r="B549" s="5"/>
      <c r="H549" s="16"/>
    </row>
    <row r="550" spans="2:8">
      <c r="B550" s="5"/>
      <c r="H550" s="16"/>
    </row>
    <row r="551" spans="2:8">
      <c r="B551" s="5"/>
      <c r="H551" s="16"/>
    </row>
    <row r="552" spans="2:8">
      <c r="B552" s="5"/>
      <c r="H552" s="16"/>
    </row>
    <row r="553" spans="2:8">
      <c r="B553" s="5"/>
      <c r="H553" s="16"/>
    </row>
    <row r="554" spans="2:8">
      <c r="B554" s="5"/>
      <c r="H554" s="16"/>
    </row>
    <row r="555" spans="2:8">
      <c r="B555" s="5"/>
      <c r="H555" s="16"/>
    </row>
    <row r="556" spans="2:8">
      <c r="B556" s="5"/>
      <c r="H556" s="16"/>
    </row>
    <row r="557" spans="2:8">
      <c r="B557" s="5"/>
      <c r="H557" s="16"/>
    </row>
    <row r="558" spans="2:8">
      <c r="B558" s="5"/>
      <c r="H558" s="16"/>
    </row>
    <row r="559" spans="2:8">
      <c r="B559" s="5"/>
      <c r="H559" s="16"/>
    </row>
    <row r="560" spans="2:8">
      <c r="B560" s="5"/>
      <c r="H560" s="16"/>
    </row>
    <row r="561" spans="2:8">
      <c r="B561" s="5"/>
      <c r="H561" s="16"/>
    </row>
    <row r="562" spans="2:8">
      <c r="B562" s="5"/>
      <c r="H562" s="16"/>
    </row>
    <row r="563" spans="2:8">
      <c r="B563" s="5"/>
      <c r="H563" s="16"/>
    </row>
    <row r="564" spans="2:8">
      <c r="B564" s="5"/>
      <c r="H564" s="16"/>
    </row>
    <row r="565" spans="2:8">
      <c r="B565" s="5"/>
      <c r="H565" s="16"/>
    </row>
    <row r="566" spans="2:8">
      <c r="B566" s="5"/>
      <c r="H566" s="16"/>
    </row>
    <row r="567" spans="2:8">
      <c r="B567" s="5"/>
      <c r="H567" s="16"/>
    </row>
    <row r="568" spans="2:8">
      <c r="B568" s="5"/>
      <c r="H568" s="16"/>
    </row>
    <row r="569" spans="2:8">
      <c r="B569" s="5"/>
      <c r="H569" s="16"/>
    </row>
    <row r="570" spans="2:8">
      <c r="B570" s="5"/>
      <c r="H570" s="16"/>
    </row>
    <row r="571" spans="2:8">
      <c r="B571" s="5"/>
      <c r="H571" s="16"/>
    </row>
    <row r="572" spans="2:8">
      <c r="B572" s="5"/>
      <c r="H572" s="16"/>
    </row>
    <row r="573" spans="2:8">
      <c r="B573" s="5"/>
      <c r="H573" s="16"/>
    </row>
    <row r="574" spans="2:8">
      <c r="B574" s="5"/>
      <c r="H574" s="16"/>
    </row>
    <row r="575" spans="2:8">
      <c r="B575" s="5"/>
      <c r="H575" s="16"/>
    </row>
    <row r="576" spans="2:8">
      <c r="B576" s="5"/>
      <c r="H576" s="16"/>
    </row>
    <row r="577" spans="2:8">
      <c r="B577" s="5"/>
      <c r="H577" s="16"/>
    </row>
    <row r="578" spans="2:8">
      <c r="B578" s="5"/>
      <c r="H578" s="16"/>
    </row>
    <row r="579" spans="2:8">
      <c r="B579" s="5"/>
      <c r="H579" s="16"/>
    </row>
    <row r="580" spans="2:8">
      <c r="B580" s="5"/>
      <c r="H580" s="16"/>
    </row>
    <row r="581" spans="2:8">
      <c r="B581" s="5"/>
      <c r="H581" s="16"/>
    </row>
    <row r="582" spans="2:8">
      <c r="B582" s="5"/>
      <c r="H582" s="16"/>
    </row>
    <row r="583" spans="2:8">
      <c r="B583" s="5"/>
      <c r="H583" s="16"/>
    </row>
    <row r="584" spans="2:8">
      <c r="B584" s="5"/>
      <c r="H584" s="16"/>
    </row>
    <row r="585" spans="2:8">
      <c r="B585" s="5"/>
      <c r="H585" s="16"/>
    </row>
    <row r="586" spans="2:8">
      <c r="B586" s="5"/>
      <c r="H586" s="16"/>
    </row>
    <row r="587" spans="2:8">
      <c r="B587" s="5"/>
      <c r="H587" s="16"/>
    </row>
    <row r="588" spans="2:8">
      <c r="B588" s="5"/>
      <c r="H588" s="16"/>
    </row>
    <row r="589" spans="2:8">
      <c r="B589" s="5"/>
      <c r="H589" s="16"/>
    </row>
    <row r="590" spans="2:8">
      <c r="B590" s="5"/>
      <c r="H590" s="16"/>
    </row>
    <row r="591" spans="2:8">
      <c r="B591" s="5"/>
      <c r="H591" s="16"/>
    </row>
    <row r="592" spans="2:8">
      <c r="B592" s="5"/>
      <c r="H592" s="16"/>
    </row>
    <row r="593" spans="2:8">
      <c r="B593" s="5"/>
      <c r="H593" s="16"/>
    </row>
    <row r="594" spans="2:8">
      <c r="B594" s="5"/>
      <c r="H594" s="16"/>
    </row>
    <row r="595" spans="2:8">
      <c r="B595" s="5"/>
      <c r="H595" s="16"/>
    </row>
    <row r="596" spans="2:8">
      <c r="B596" s="5"/>
      <c r="H596" s="16"/>
    </row>
    <row r="597" spans="2:8">
      <c r="B597" s="5"/>
      <c r="H597" s="16"/>
    </row>
    <row r="598" spans="2:8">
      <c r="B598" s="5"/>
      <c r="H598" s="16"/>
    </row>
    <row r="599" spans="2:8">
      <c r="B599" s="5"/>
      <c r="H599" s="16"/>
    </row>
    <row r="600" spans="2:8">
      <c r="B600" s="5"/>
      <c r="H600" s="16"/>
    </row>
    <row r="601" spans="2:8">
      <c r="B601" s="5"/>
      <c r="H601" s="16"/>
    </row>
    <row r="602" spans="2:8">
      <c r="B602" s="5"/>
      <c r="H602" s="16"/>
    </row>
    <row r="603" spans="2:8">
      <c r="B603" s="5"/>
      <c r="H603" s="16"/>
    </row>
    <row r="604" spans="2:8">
      <c r="B604" s="5"/>
      <c r="H604" s="16"/>
    </row>
    <row r="605" spans="2:8">
      <c r="B605" s="5"/>
      <c r="H605" s="16"/>
    </row>
    <row r="606" spans="2:8">
      <c r="B606" s="5"/>
      <c r="H606" s="16"/>
    </row>
    <row r="607" spans="2:8">
      <c r="B607" s="5"/>
      <c r="H607" s="16"/>
    </row>
    <row r="608" spans="2:8">
      <c r="B608" s="5"/>
      <c r="H608" s="16"/>
    </row>
    <row r="609" spans="2:8">
      <c r="B609" s="5"/>
      <c r="H609" s="16"/>
    </row>
    <row r="610" spans="2:8">
      <c r="B610" s="5"/>
      <c r="H610" s="16"/>
    </row>
    <row r="611" spans="2:8">
      <c r="B611" s="5"/>
      <c r="H611" s="16"/>
    </row>
    <row r="612" spans="2:8">
      <c r="B612" s="5"/>
      <c r="H612" s="16"/>
    </row>
    <row r="613" spans="2:8">
      <c r="B613" s="5"/>
      <c r="H613" s="16"/>
    </row>
    <row r="614" spans="2:8">
      <c r="B614" s="5"/>
      <c r="H614" s="16"/>
    </row>
    <row r="615" spans="2:8">
      <c r="B615" s="5"/>
      <c r="H615" s="16"/>
    </row>
    <row r="616" spans="2:8">
      <c r="B616" s="5"/>
      <c r="H616" s="16"/>
    </row>
    <row r="617" spans="2:8">
      <c r="B617" s="5"/>
      <c r="H617" s="16"/>
    </row>
    <row r="618" spans="2:8">
      <c r="B618" s="5"/>
      <c r="H618" s="16"/>
    </row>
    <row r="619" spans="2:8">
      <c r="B619" s="5"/>
      <c r="H619" s="16"/>
    </row>
    <row r="620" spans="2:8">
      <c r="B620" s="5"/>
      <c r="H620" s="16"/>
    </row>
    <row r="621" spans="2:8">
      <c r="B621" s="5"/>
      <c r="H621" s="16"/>
    </row>
    <row r="622" spans="2:8">
      <c r="B622" s="5"/>
      <c r="H622" s="16"/>
    </row>
    <row r="623" spans="2:8">
      <c r="B623" s="5"/>
      <c r="H623" s="16"/>
    </row>
    <row r="624" spans="2:8">
      <c r="B624" s="5"/>
      <c r="H624" s="16"/>
    </row>
    <row r="625" spans="2:8">
      <c r="B625" s="5"/>
      <c r="H625" s="16"/>
    </row>
    <row r="626" spans="2:8">
      <c r="B626" s="5"/>
      <c r="H626" s="16"/>
    </row>
    <row r="627" spans="2:8">
      <c r="B627" s="5"/>
      <c r="H627" s="16"/>
    </row>
    <row r="628" spans="2:8">
      <c r="B628" s="5"/>
      <c r="H628" s="16"/>
    </row>
    <row r="629" spans="2:8">
      <c r="B629" s="5"/>
      <c r="H629" s="16"/>
    </row>
    <row r="630" spans="2:8">
      <c r="B630" s="5"/>
      <c r="H630" s="16"/>
    </row>
    <row r="631" spans="2:8">
      <c r="B631" s="5"/>
      <c r="H631" s="16"/>
    </row>
    <row r="632" spans="2:8">
      <c r="B632" s="5"/>
      <c r="H632" s="16"/>
    </row>
    <row r="633" spans="2:8">
      <c r="B633" s="5"/>
      <c r="H633" s="16"/>
    </row>
    <row r="634" spans="2:8">
      <c r="B634" s="5"/>
      <c r="H634" s="16"/>
    </row>
    <row r="635" spans="2:8">
      <c r="B635" s="5"/>
      <c r="H635" s="16"/>
    </row>
    <row r="636" spans="2:8">
      <c r="B636" s="5"/>
      <c r="H636" s="16"/>
    </row>
    <row r="637" spans="2:8">
      <c r="B637" s="5"/>
      <c r="H637" s="16"/>
    </row>
    <row r="638" spans="2:8">
      <c r="B638" s="5"/>
      <c r="H638" s="16"/>
    </row>
    <row r="639" spans="2:8">
      <c r="B639" s="5"/>
      <c r="H639" s="16"/>
    </row>
    <row r="640" spans="2:8">
      <c r="B640" s="5"/>
      <c r="H640" s="16"/>
    </row>
    <row r="641" spans="2:8">
      <c r="B641" s="5"/>
      <c r="H641" s="16"/>
    </row>
    <row r="642" spans="2:8">
      <c r="B642" s="5"/>
      <c r="H642" s="16"/>
    </row>
    <row r="643" spans="2:8">
      <c r="B643" s="5"/>
      <c r="H643" s="16"/>
    </row>
    <row r="644" spans="2:8">
      <c r="B644" s="5"/>
      <c r="H644" s="16"/>
    </row>
    <row r="645" spans="2:8">
      <c r="B645" s="5"/>
      <c r="H645" s="16"/>
    </row>
    <row r="646" spans="2:8">
      <c r="B646" s="5"/>
      <c r="H646" s="16"/>
    </row>
    <row r="647" spans="2:8">
      <c r="B647" s="5"/>
      <c r="H647" s="16"/>
    </row>
    <row r="648" spans="2:8">
      <c r="B648" s="5"/>
      <c r="H648" s="16"/>
    </row>
    <row r="649" spans="2:8">
      <c r="B649" s="5"/>
      <c r="H649" s="16"/>
    </row>
    <row r="650" spans="2:8">
      <c r="B650" s="5"/>
      <c r="H650" s="16"/>
    </row>
    <row r="651" spans="2:8">
      <c r="B651" s="5"/>
      <c r="H651" s="16"/>
    </row>
    <row r="652" spans="2:8">
      <c r="B652" s="5"/>
      <c r="H652" s="16"/>
    </row>
    <row r="653" spans="2:8">
      <c r="B653" s="5"/>
      <c r="H653" s="16"/>
    </row>
    <row r="654" spans="2:8">
      <c r="B654" s="5"/>
      <c r="H654" s="16"/>
    </row>
    <row r="655" spans="2:8">
      <c r="B655" s="5"/>
      <c r="H655" s="16"/>
    </row>
    <row r="656" spans="2:8">
      <c r="B656" s="5"/>
      <c r="H656" s="16"/>
    </row>
    <row r="657" spans="2:8">
      <c r="B657" s="5"/>
      <c r="H657" s="16"/>
    </row>
    <row r="658" spans="2:8">
      <c r="B658" s="5"/>
      <c r="H658" s="16"/>
    </row>
    <row r="659" spans="2:8">
      <c r="B659" s="5"/>
      <c r="H659" s="16"/>
    </row>
    <row r="660" spans="2:8">
      <c r="B660" s="5"/>
      <c r="H660" s="16"/>
    </row>
    <row r="661" spans="2:8">
      <c r="B661" s="5"/>
      <c r="H661" s="16"/>
    </row>
    <row r="662" spans="2:8">
      <c r="B662" s="5"/>
      <c r="H662" s="16"/>
    </row>
    <row r="663" spans="2:8">
      <c r="B663" s="5"/>
      <c r="H663" s="16"/>
    </row>
    <row r="664" spans="2:8">
      <c r="B664" s="5"/>
      <c r="H664" s="16"/>
    </row>
    <row r="665" spans="2:8">
      <c r="B665" s="5"/>
      <c r="H665" s="16"/>
    </row>
    <row r="666" spans="2:8">
      <c r="B666" s="5"/>
      <c r="H666" s="16"/>
    </row>
    <row r="667" spans="2:8">
      <c r="B667" s="5"/>
      <c r="H667" s="16"/>
    </row>
    <row r="668" spans="2:8">
      <c r="B668" s="5"/>
      <c r="H668" s="16"/>
    </row>
    <row r="669" spans="2:8">
      <c r="B669" s="5"/>
      <c r="H669" s="16"/>
    </row>
    <row r="670" spans="2:8">
      <c r="B670" s="5"/>
      <c r="H670" s="16"/>
    </row>
    <row r="671" spans="2:8">
      <c r="B671" s="5"/>
      <c r="H671" s="16"/>
    </row>
    <row r="672" spans="2:8">
      <c r="B672" s="5"/>
      <c r="H672" s="16"/>
    </row>
    <row r="673" spans="2:8">
      <c r="B673" s="5"/>
      <c r="H673" s="16"/>
    </row>
    <row r="674" spans="2:8">
      <c r="B674" s="5"/>
      <c r="H674" s="16"/>
    </row>
    <row r="675" spans="2:8">
      <c r="B675" s="5"/>
      <c r="H675" s="16"/>
    </row>
    <row r="676" spans="2:8">
      <c r="B676" s="5"/>
      <c r="H676" s="16"/>
    </row>
    <row r="677" spans="2:8">
      <c r="B677" s="5"/>
      <c r="H677" s="16"/>
    </row>
    <row r="678" spans="2:8">
      <c r="B678" s="5"/>
      <c r="H678" s="16"/>
    </row>
    <row r="679" spans="2:8">
      <c r="B679" s="5"/>
      <c r="H679" s="16"/>
    </row>
    <row r="680" spans="2:8">
      <c r="B680" s="5"/>
      <c r="H680" s="16"/>
    </row>
    <row r="681" spans="2:8">
      <c r="B681" s="5"/>
      <c r="H681" s="16"/>
    </row>
    <row r="682" spans="2:8">
      <c r="B682" s="5"/>
      <c r="H682" s="16"/>
    </row>
    <row r="683" spans="2:8">
      <c r="B683" s="5"/>
      <c r="H683" s="16"/>
    </row>
    <row r="684" spans="2:8">
      <c r="B684" s="5"/>
      <c r="H684" s="16"/>
    </row>
    <row r="685" spans="2:8">
      <c r="B685" s="5"/>
      <c r="H685" s="16"/>
    </row>
    <row r="686" spans="2:8">
      <c r="B686" s="5"/>
      <c r="H686" s="16"/>
    </row>
    <row r="687" spans="2:8">
      <c r="B687" s="5"/>
      <c r="H687" s="16"/>
    </row>
    <row r="688" spans="2:8">
      <c r="B688" s="5"/>
      <c r="H688" s="16"/>
    </row>
    <row r="689" spans="2:8">
      <c r="B689" s="5"/>
      <c r="H689" s="16"/>
    </row>
    <row r="690" spans="2:8">
      <c r="B690" s="5"/>
      <c r="H690" s="16"/>
    </row>
    <row r="691" spans="2:8">
      <c r="B691" s="5"/>
      <c r="H691" s="16"/>
    </row>
    <row r="692" spans="2:8">
      <c r="B692" s="5"/>
      <c r="H692" s="16"/>
    </row>
    <row r="693" spans="2:8">
      <c r="B693" s="5"/>
      <c r="H693" s="16"/>
    </row>
    <row r="694" spans="2:8">
      <c r="B694" s="5"/>
      <c r="H694" s="16"/>
    </row>
    <row r="695" spans="2:8">
      <c r="B695" s="5"/>
      <c r="H695" s="16"/>
    </row>
    <row r="696" spans="2:8">
      <c r="B696" s="5"/>
      <c r="H696" s="16"/>
    </row>
    <row r="697" spans="2:8">
      <c r="B697" s="5"/>
      <c r="H697" s="16"/>
    </row>
    <row r="698" spans="2:8">
      <c r="B698" s="5"/>
      <c r="H698" s="16"/>
    </row>
    <row r="699" spans="2:8">
      <c r="B699" s="5"/>
      <c r="H699" s="16"/>
    </row>
    <row r="700" spans="2:8">
      <c r="B700" s="5"/>
      <c r="H700" s="16"/>
    </row>
    <row r="701" spans="2:8">
      <c r="B701" s="5"/>
      <c r="H701" s="16"/>
    </row>
    <row r="702" spans="2:8">
      <c r="B702" s="5"/>
      <c r="H702" s="16"/>
    </row>
    <row r="703" spans="2:8">
      <c r="B703" s="5"/>
      <c r="H703" s="16"/>
    </row>
    <row r="704" spans="2:8">
      <c r="B704" s="5"/>
      <c r="H704" s="16"/>
    </row>
    <row r="705" spans="2:8">
      <c r="B705" s="5"/>
      <c r="H705" s="16"/>
    </row>
    <row r="706" spans="2:8">
      <c r="B706" s="5"/>
      <c r="H706" s="16"/>
    </row>
    <row r="707" spans="2:8">
      <c r="B707" s="5"/>
      <c r="H707" s="16"/>
    </row>
    <row r="708" spans="2:8">
      <c r="B708" s="5"/>
      <c r="H708" s="16"/>
    </row>
    <row r="709" spans="2:8">
      <c r="B709" s="5"/>
      <c r="H709" s="16"/>
    </row>
    <row r="710" spans="2:8">
      <c r="B710" s="5"/>
      <c r="H710" s="16"/>
    </row>
    <row r="711" spans="2:8">
      <c r="B711" s="5"/>
      <c r="H711" s="16"/>
    </row>
    <row r="712" spans="2:8">
      <c r="B712" s="5"/>
      <c r="H712" s="16"/>
    </row>
    <row r="713" spans="2:8">
      <c r="B713" s="5"/>
      <c r="H713" s="16"/>
    </row>
    <row r="714" spans="2:8">
      <c r="B714" s="5"/>
      <c r="H714" s="16"/>
    </row>
    <row r="715" spans="2:8">
      <c r="B715" s="5"/>
      <c r="H715" s="16"/>
    </row>
    <row r="716" spans="2:8">
      <c r="B716" s="5"/>
      <c r="H716" s="16"/>
    </row>
    <row r="717" spans="2:8">
      <c r="B717" s="5"/>
      <c r="H717" s="16"/>
    </row>
    <row r="718" spans="2:8">
      <c r="B718" s="5"/>
      <c r="H718" s="16"/>
    </row>
    <row r="719" spans="2:8">
      <c r="B719" s="5"/>
      <c r="H719" s="16"/>
    </row>
    <row r="720" spans="2:8">
      <c r="B720" s="5"/>
      <c r="H720" s="16"/>
    </row>
    <row r="721" spans="2:8">
      <c r="B721" s="5"/>
      <c r="H721" s="16"/>
    </row>
    <row r="722" spans="2:8">
      <c r="B722" s="5"/>
      <c r="H722" s="16"/>
    </row>
    <row r="723" spans="2:8">
      <c r="B723" s="5"/>
      <c r="H723" s="16"/>
    </row>
    <row r="724" spans="2:8">
      <c r="B724" s="5"/>
      <c r="H724" s="16"/>
    </row>
    <row r="725" spans="2:8">
      <c r="B725" s="5"/>
      <c r="H725" s="16"/>
    </row>
    <row r="726" spans="2:8">
      <c r="B726" s="5"/>
      <c r="H726" s="16"/>
    </row>
    <row r="727" spans="2:8">
      <c r="B727" s="5"/>
      <c r="H727" s="16"/>
    </row>
    <row r="728" spans="2:8">
      <c r="B728" s="5"/>
      <c r="H728" s="16"/>
    </row>
    <row r="729" spans="2:8">
      <c r="B729" s="5"/>
      <c r="H729" s="16"/>
    </row>
    <row r="730" spans="2:8">
      <c r="B730" s="5"/>
      <c r="H730" s="16"/>
    </row>
    <row r="731" spans="2:8">
      <c r="B731" s="5"/>
      <c r="H731" s="16"/>
    </row>
    <row r="732" spans="2:8">
      <c r="B732" s="5"/>
      <c r="H732" s="16"/>
    </row>
    <row r="733" spans="2:8">
      <c r="B733" s="5"/>
      <c r="H733" s="16"/>
    </row>
    <row r="734" spans="2:8">
      <c r="B734" s="5"/>
      <c r="H734" s="16"/>
    </row>
    <row r="735" spans="2:8">
      <c r="B735" s="5"/>
      <c r="H735" s="16"/>
    </row>
    <row r="736" spans="2:8">
      <c r="B736" s="5"/>
      <c r="H736" s="16"/>
    </row>
    <row r="737" spans="2:8">
      <c r="B737" s="5"/>
      <c r="H737" s="16"/>
    </row>
    <row r="738" spans="2:8">
      <c r="B738" s="5"/>
      <c r="H738" s="16"/>
    </row>
    <row r="739" spans="2:8">
      <c r="B739" s="5"/>
      <c r="H739" s="16"/>
    </row>
    <row r="740" spans="2:8">
      <c r="B740" s="5"/>
      <c r="H740" s="16"/>
    </row>
    <row r="741" spans="2:8">
      <c r="B741" s="5"/>
      <c r="H741" s="16"/>
    </row>
    <row r="742" spans="2:8">
      <c r="B742" s="5"/>
      <c r="H742" s="16"/>
    </row>
    <row r="743" spans="2:8">
      <c r="B743" s="5"/>
      <c r="H743" s="16"/>
    </row>
    <row r="744" spans="2:8">
      <c r="B744" s="5"/>
      <c r="H744" s="16"/>
    </row>
    <row r="745" spans="2:8">
      <c r="B745" s="5"/>
      <c r="H745" s="16"/>
    </row>
    <row r="746" spans="2:8">
      <c r="B746" s="5"/>
      <c r="H746" s="16"/>
    </row>
    <row r="747" spans="2:8">
      <c r="B747" s="5"/>
      <c r="H747" s="16"/>
    </row>
    <row r="748" spans="2:8">
      <c r="B748" s="5"/>
      <c r="H748" s="16"/>
    </row>
    <row r="749" spans="2:8">
      <c r="B749" s="5"/>
      <c r="H749" s="16"/>
    </row>
    <row r="750" spans="2:8">
      <c r="B750" s="5"/>
      <c r="H750" s="16"/>
    </row>
    <row r="751" spans="2:8">
      <c r="B751" s="5"/>
      <c r="H751" s="16"/>
    </row>
    <row r="752" spans="2:8">
      <c r="B752" s="5"/>
      <c r="H752" s="16"/>
    </row>
    <row r="753" spans="2:8">
      <c r="B753" s="5"/>
      <c r="H753" s="16"/>
    </row>
    <row r="754" spans="2:8">
      <c r="B754" s="5"/>
      <c r="H754" s="16"/>
    </row>
    <row r="755" spans="2:8">
      <c r="B755" s="5"/>
      <c r="H755" s="16"/>
    </row>
    <row r="756" spans="2:8">
      <c r="B756" s="5"/>
      <c r="H756" s="16"/>
    </row>
    <row r="757" spans="2:8">
      <c r="B757" s="5"/>
      <c r="H757" s="16"/>
    </row>
    <row r="758" spans="2:8">
      <c r="B758" s="5"/>
      <c r="H758" s="16"/>
    </row>
    <row r="759" spans="2:8">
      <c r="B759" s="5"/>
      <c r="H759" s="16"/>
    </row>
    <row r="760" spans="2:8">
      <c r="B760" s="5"/>
      <c r="H760" s="16"/>
    </row>
    <row r="761" spans="2:8">
      <c r="B761" s="5"/>
      <c r="H761" s="16"/>
    </row>
    <row r="762" spans="2:8">
      <c r="B762" s="5"/>
      <c r="H762" s="16"/>
    </row>
    <row r="763" spans="2:8">
      <c r="B763" s="5"/>
      <c r="H763" s="16"/>
    </row>
    <row r="764" spans="2:8">
      <c r="B764" s="5"/>
      <c r="H764" s="16"/>
    </row>
    <row r="765" spans="2:8">
      <c r="B765" s="5"/>
      <c r="H765" s="16"/>
    </row>
    <row r="766" spans="2:8">
      <c r="B766" s="5"/>
      <c r="H766" s="16"/>
    </row>
    <row r="767" spans="2:8">
      <c r="B767" s="5"/>
      <c r="H767" s="16"/>
    </row>
    <row r="768" spans="2:8">
      <c r="B768" s="5"/>
      <c r="H768" s="16"/>
    </row>
    <row r="769" spans="2:8">
      <c r="B769" s="5"/>
      <c r="H769" s="16"/>
    </row>
    <row r="770" spans="2:8">
      <c r="B770" s="5"/>
      <c r="H770" s="16"/>
    </row>
    <row r="771" spans="2:8">
      <c r="B771" s="5"/>
      <c r="H771" s="16"/>
    </row>
    <row r="772" spans="2:8">
      <c r="B772" s="5"/>
      <c r="H772" s="16"/>
    </row>
    <row r="773" spans="2:8">
      <c r="B773" s="5"/>
      <c r="H773" s="16"/>
    </row>
    <row r="774" spans="2:8">
      <c r="B774" s="5"/>
      <c r="H774" s="16"/>
    </row>
    <row r="775" spans="2:8">
      <c r="B775" s="5"/>
      <c r="H775" s="16"/>
    </row>
    <row r="776" spans="2:8">
      <c r="B776" s="5"/>
      <c r="H776" s="16"/>
    </row>
    <row r="777" spans="2:8">
      <c r="B777" s="5"/>
      <c r="H777" s="16"/>
    </row>
    <row r="778" spans="2:8">
      <c r="B778" s="5"/>
      <c r="H778" s="16"/>
    </row>
    <row r="779" spans="2:8">
      <c r="B779" s="5"/>
      <c r="H779" s="16"/>
    </row>
    <row r="780" spans="2:8">
      <c r="B780" s="5"/>
      <c r="H780" s="16"/>
    </row>
    <row r="781" spans="2:8">
      <c r="B781" s="5"/>
      <c r="H781" s="16"/>
    </row>
    <row r="782" spans="2:8">
      <c r="B782" s="5"/>
      <c r="H782" s="16"/>
    </row>
    <row r="783" spans="2:8">
      <c r="B783" s="5"/>
      <c r="H783" s="16"/>
    </row>
    <row r="784" spans="2:8">
      <c r="B784" s="5"/>
      <c r="H784" s="16"/>
    </row>
    <row r="785" spans="2:8">
      <c r="B785" s="5"/>
      <c r="H785" s="16"/>
    </row>
    <row r="786" spans="2:8">
      <c r="B786" s="5"/>
      <c r="H786" s="16"/>
    </row>
    <row r="787" spans="2:8">
      <c r="B787" s="5"/>
      <c r="H787" s="16"/>
    </row>
    <row r="788" spans="2:8">
      <c r="B788" s="5"/>
      <c r="H788" s="16"/>
    </row>
    <row r="789" spans="2:8">
      <c r="B789" s="5"/>
      <c r="H789" s="16"/>
    </row>
    <row r="790" spans="2:8">
      <c r="B790" s="5"/>
      <c r="H790" s="16"/>
    </row>
    <row r="791" spans="2:8">
      <c r="B791" s="5"/>
      <c r="H791" s="16"/>
    </row>
    <row r="792" spans="2:8">
      <c r="B792" s="5"/>
      <c r="H792" s="16"/>
    </row>
    <row r="793" spans="2:8">
      <c r="B793" s="5"/>
      <c r="H793" s="16"/>
    </row>
    <row r="794" spans="2:8">
      <c r="B794" s="5"/>
      <c r="H794" s="16"/>
    </row>
    <row r="795" spans="2:8">
      <c r="B795" s="5"/>
      <c r="H795" s="16"/>
    </row>
    <row r="796" spans="2:8">
      <c r="B796" s="5"/>
      <c r="H796" s="16"/>
    </row>
    <row r="797" spans="2:8">
      <c r="B797" s="5"/>
      <c r="H797" s="16"/>
    </row>
    <row r="798" spans="2:8">
      <c r="B798" s="5"/>
      <c r="H798" s="16"/>
    </row>
    <row r="799" spans="2:8">
      <c r="B799" s="5"/>
      <c r="H799" s="16"/>
    </row>
    <row r="800" spans="2:8">
      <c r="B800" s="5"/>
      <c r="H800" s="16"/>
    </row>
    <row r="801" spans="2:8">
      <c r="B801" s="5"/>
      <c r="H801" s="16"/>
    </row>
    <row r="802" spans="2:8">
      <c r="B802" s="5"/>
      <c r="H802" s="16"/>
    </row>
    <row r="803" spans="2:8">
      <c r="B803" s="5"/>
      <c r="H803" s="16"/>
    </row>
    <row r="804" spans="2:8">
      <c r="B804" s="5"/>
      <c r="H804" s="16"/>
    </row>
    <row r="805" spans="2:8">
      <c r="B805" s="5"/>
      <c r="H805" s="16"/>
    </row>
    <row r="806" spans="2:8">
      <c r="B806" s="5"/>
      <c r="H806" s="16"/>
    </row>
    <row r="807" spans="2:8">
      <c r="B807" s="5"/>
      <c r="H807" s="16"/>
    </row>
    <row r="808" spans="2:8">
      <c r="B808" s="5"/>
      <c r="H808" s="16"/>
    </row>
    <row r="809" spans="2:8">
      <c r="B809" s="5"/>
      <c r="H809" s="16"/>
    </row>
    <row r="810" spans="2:8">
      <c r="B810" s="5"/>
      <c r="H810" s="16"/>
    </row>
    <row r="811" spans="2:8">
      <c r="B811" s="5"/>
      <c r="H811" s="16"/>
    </row>
    <row r="812" spans="2:8">
      <c r="B812" s="5"/>
      <c r="H812" s="16"/>
    </row>
    <row r="813" spans="2:8">
      <c r="B813" s="5"/>
      <c r="H813" s="16"/>
    </row>
    <row r="814" spans="2:8">
      <c r="B814" s="5"/>
      <c r="H814" s="16"/>
    </row>
    <row r="815" spans="2:8">
      <c r="B815" s="5"/>
      <c r="H815" s="16"/>
    </row>
    <row r="816" spans="2:8">
      <c r="B816" s="5"/>
      <c r="H816" s="16"/>
    </row>
    <row r="817" spans="2:8">
      <c r="B817" s="5"/>
      <c r="H817" s="16"/>
    </row>
    <row r="818" spans="2:8">
      <c r="B818" s="5"/>
      <c r="H818" s="16"/>
    </row>
    <row r="819" spans="2:8">
      <c r="B819" s="5"/>
      <c r="H819" s="16"/>
    </row>
    <row r="820" spans="2:8">
      <c r="B820" s="5"/>
      <c r="H820" s="16"/>
    </row>
    <row r="821" spans="2:8">
      <c r="B821" s="5"/>
      <c r="H821" s="16"/>
    </row>
    <row r="822" spans="2:8">
      <c r="B822" s="5"/>
      <c r="H822" s="16"/>
    </row>
    <row r="823" spans="2:8">
      <c r="B823" s="5"/>
      <c r="H823" s="16"/>
    </row>
    <row r="824" spans="2:8">
      <c r="B824" s="5"/>
      <c r="H824" s="16"/>
    </row>
    <row r="825" spans="2:8">
      <c r="B825" s="5"/>
      <c r="H825" s="16"/>
    </row>
    <row r="826" spans="2:8">
      <c r="B826" s="5"/>
      <c r="H826" s="16"/>
    </row>
    <row r="827" spans="2:8">
      <c r="B827" s="5"/>
      <c r="H827" s="16"/>
    </row>
    <row r="828" spans="2:8">
      <c r="B828" s="5"/>
      <c r="H828" s="16"/>
    </row>
    <row r="829" spans="2:8">
      <c r="B829" s="5"/>
      <c r="H829" s="16"/>
    </row>
    <row r="830" spans="2:8">
      <c r="B830" s="5"/>
      <c r="H830" s="16"/>
    </row>
    <row r="831" spans="2:8">
      <c r="B831" s="5"/>
      <c r="H831" s="16"/>
    </row>
    <row r="832" spans="2:8">
      <c r="B832" s="5"/>
      <c r="H832" s="16"/>
    </row>
    <row r="833" spans="2:8">
      <c r="B833" s="5"/>
      <c r="H833" s="16"/>
    </row>
    <row r="834" spans="2:8">
      <c r="B834" s="5"/>
      <c r="H834" s="16"/>
    </row>
    <row r="835" spans="2:8">
      <c r="B835" s="5"/>
      <c r="H835" s="16"/>
    </row>
    <row r="836" spans="2:8">
      <c r="B836" s="5"/>
      <c r="H836" s="16"/>
    </row>
    <row r="837" spans="2:8">
      <c r="B837" s="5"/>
      <c r="H837" s="16"/>
    </row>
    <row r="838" spans="2:8">
      <c r="B838" s="5"/>
      <c r="H838" s="16"/>
    </row>
    <row r="839" spans="2:8">
      <c r="B839" s="5"/>
      <c r="H839" s="16"/>
    </row>
    <row r="840" spans="2:8">
      <c r="B840" s="5"/>
      <c r="H840" s="16"/>
    </row>
    <row r="841" spans="2:8">
      <c r="B841" s="5"/>
      <c r="H841" s="16"/>
    </row>
    <row r="842" spans="2:8">
      <c r="B842" s="5"/>
      <c r="H842" s="16"/>
    </row>
    <row r="843" spans="2:8">
      <c r="B843" s="5"/>
      <c r="H843" s="16"/>
    </row>
    <row r="844" spans="2:8">
      <c r="B844" s="5"/>
      <c r="H844" s="16"/>
    </row>
    <row r="845" spans="2:8">
      <c r="B845" s="5"/>
      <c r="H845" s="16"/>
    </row>
    <row r="846" spans="2:8">
      <c r="B846" s="5"/>
      <c r="H846" s="16"/>
    </row>
    <row r="847" spans="2:8">
      <c r="B847" s="5"/>
      <c r="H847" s="16"/>
    </row>
    <row r="848" spans="2:8">
      <c r="B848" s="5"/>
      <c r="H848" s="16"/>
    </row>
    <row r="849" spans="2:8">
      <c r="B849" s="5"/>
      <c r="H849" s="16"/>
    </row>
    <row r="850" spans="2:8">
      <c r="B850" s="5"/>
      <c r="H850" s="16"/>
    </row>
    <row r="851" spans="2:8">
      <c r="B851" s="5"/>
      <c r="H851" s="16"/>
    </row>
    <row r="852" spans="2:8">
      <c r="B852" s="5"/>
      <c r="H852" s="16"/>
    </row>
    <row r="853" spans="2:8">
      <c r="B853" s="5"/>
      <c r="H853" s="16"/>
    </row>
    <row r="854" spans="2:8">
      <c r="B854" s="5"/>
      <c r="H854" s="16"/>
    </row>
    <row r="855" spans="2:8">
      <c r="B855" s="5"/>
      <c r="H855" s="16"/>
    </row>
    <row r="856" spans="2:8">
      <c r="B856" s="5"/>
      <c r="H856" s="16"/>
    </row>
    <row r="857" spans="2:8">
      <c r="B857" s="5"/>
      <c r="H857" s="16"/>
    </row>
    <row r="858" spans="2:8">
      <c r="B858" s="5"/>
      <c r="H858" s="16"/>
    </row>
    <row r="859" spans="2:8">
      <c r="B859" s="5"/>
      <c r="H859" s="16"/>
    </row>
    <row r="860" spans="2:8">
      <c r="B860" s="5"/>
      <c r="H860" s="16"/>
    </row>
    <row r="861" spans="2:8">
      <c r="B861" s="5"/>
      <c r="H861" s="16"/>
    </row>
    <row r="862" spans="2:8">
      <c r="B862" s="5"/>
      <c r="H862" s="16"/>
    </row>
    <row r="863" spans="2:8">
      <c r="B863" s="5"/>
      <c r="H863" s="16"/>
    </row>
    <row r="864" spans="2:8">
      <c r="B864" s="5"/>
      <c r="H864" s="16"/>
    </row>
    <row r="865" spans="2:8">
      <c r="B865" s="5"/>
      <c r="H865" s="16"/>
    </row>
    <row r="866" spans="2:8">
      <c r="B866" s="5"/>
      <c r="H866" s="16"/>
    </row>
    <row r="867" spans="2:8">
      <c r="B867" s="5"/>
      <c r="H867" s="16"/>
    </row>
    <row r="868" spans="2:8">
      <c r="B868" s="5"/>
      <c r="H868" s="16"/>
    </row>
    <row r="869" spans="2:8">
      <c r="B869" s="5"/>
      <c r="H869" s="16"/>
    </row>
    <row r="870" spans="2:8">
      <c r="B870" s="5"/>
      <c r="H870" s="16"/>
    </row>
    <row r="871" spans="2:8">
      <c r="B871" s="5"/>
      <c r="H871" s="16"/>
    </row>
    <row r="872" spans="2:8">
      <c r="B872" s="5"/>
      <c r="H872" s="16"/>
    </row>
    <row r="873" spans="2:8">
      <c r="B873" s="5"/>
      <c r="H873" s="16"/>
    </row>
    <row r="874" spans="2:8">
      <c r="B874" s="5"/>
      <c r="H874" s="16"/>
    </row>
    <row r="875" spans="2:8">
      <c r="B875" s="5"/>
      <c r="H875" s="16"/>
    </row>
    <row r="876" spans="2:8">
      <c r="B876" s="5"/>
      <c r="H876" s="16"/>
    </row>
    <row r="877" spans="2:8">
      <c r="B877" s="5"/>
      <c r="H877" s="16"/>
    </row>
    <row r="878" spans="2:8">
      <c r="B878" s="5"/>
      <c r="H878" s="16"/>
    </row>
    <row r="879" spans="2:8">
      <c r="B879" s="5"/>
      <c r="H879" s="16"/>
    </row>
    <row r="880" spans="2:8">
      <c r="B880" s="5"/>
      <c r="H880" s="16"/>
    </row>
    <row r="881" spans="2:8">
      <c r="B881" s="5"/>
      <c r="H881" s="16"/>
    </row>
    <row r="882" spans="2:8">
      <c r="B882" s="5"/>
      <c r="H882" s="16"/>
    </row>
    <row r="883" spans="2:8">
      <c r="B883" s="5"/>
      <c r="H883" s="16"/>
    </row>
    <row r="884" spans="2:8">
      <c r="B884" s="5"/>
      <c r="H884" s="16"/>
    </row>
    <row r="885" spans="2:8">
      <c r="B885" s="5"/>
      <c r="H885" s="16"/>
    </row>
    <row r="886" spans="2:8">
      <c r="B886" s="5"/>
      <c r="H886" s="16"/>
    </row>
    <row r="887" spans="2:8">
      <c r="B887" s="5"/>
      <c r="H887" s="16"/>
    </row>
    <row r="888" spans="2:8">
      <c r="B888" s="5"/>
      <c r="H888" s="16"/>
    </row>
    <row r="889" spans="2:8">
      <c r="B889" s="5"/>
      <c r="H889" s="16"/>
    </row>
    <row r="890" spans="2:8">
      <c r="B890" s="5"/>
      <c r="H890" s="16"/>
    </row>
    <row r="891" spans="2:8">
      <c r="B891" s="5"/>
      <c r="H891" s="16"/>
    </row>
  </sheetData>
  <mergeCells count="23">
    <mergeCell ref="C49:F49"/>
    <mergeCell ref="C44:F44"/>
    <mergeCell ref="C45:F45"/>
    <mergeCell ref="C46:F46"/>
    <mergeCell ref="C47:F47"/>
    <mergeCell ref="C48:F48"/>
    <mergeCell ref="A4:H4"/>
    <mergeCell ref="A38:F38"/>
    <mergeCell ref="C41:F41"/>
    <mergeCell ref="C42:F42"/>
    <mergeCell ref="C43:F43"/>
    <mergeCell ref="A10:F10"/>
    <mergeCell ref="A17:F17"/>
    <mergeCell ref="A23:F23"/>
    <mergeCell ref="A29:F29"/>
    <mergeCell ref="A35:F35"/>
    <mergeCell ref="G41:H41"/>
    <mergeCell ref="G42:H42"/>
    <mergeCell ref="G49:H49"/>
    <mergeCell ref="G44:H44"/>
    <mergeCell ref="G45:H45"/>
    <mergeCell ref="G47:H47"/>
    <mergeCell ref="G48:H48"/>
  </mergeCells>
  <phoneticPr fontId="24" type="noConversion"/>
  <dataValidations count="1">
    <dataValidation type="list" allowBlank="1" showInputMessage="1" showErrorMessage="1" sqref="B42:B48" xr:uid="{00000000-0002-0000-0800-000000000000}">
      <formula1>$L$41:$L$45</formula1>
    </dataValidation>
  </dataValidations>
  <printOptions horizontalCentered="1"/>
  <pageMargins left="0.45" right="0.45" top="0.5" bottom="0.5" header="0.3" footer="0.3"/>
  <pageSetup scale="5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L891"/>
  <sheetViews>
    <sheetView showZeros="0" zoomScale="65" zoomScaleNormal="65" workbookViewId="0">
      <selection activeCell="A11" sqref="A11"/>
    </sheetView>
  </sheetViews>
  <sheetFormatPr defaultColWidth="10.875" defaultRowHeight="18.95"/>
  <cols>
    <col min="1" max="1" width="35.625" customWidth="1"/>
    <col min="2" max="2" width="14.625" style="16" customWidth="1"/>
    <col min="3" max="7" width="15.875" style="5" customWidth="1"/>
    <col min="8" max="8" width="15.875" style="17" customWidth="1"/>
    <col min="9" max="9" width="10.875" style="5"/>
    <col min="10" max="12" width="0" style="5" hidden="1" customWidth="1"/>
    <col min="13" max="16384" width="10.875" style="5"/>
  </cols>
  <sheetData>
    <row r="1" spans="1:10" customFormat="1" ht="15.95">
      <c r="A1" s="41"/>
      <c r="B1" s="42"/>
      <c r="C1" s="43"/>
      <c r="D1" s="43"/>
      <c r="E1" s="45" t="s">
        <v>25</v>
      </c>
      <c r="F1" s="43"/>
      <c r="G1" s="45" t="s">
        <v>26</v>
      </c>
      <c r="H1" s="44"/>
    </row>
    <row r="2" spans="1:10">
      <c r="A2" s="30"/>
      <c r="B2" s="18" t="s">
        <v>98</v>
      </c>
      <c r="C2" s="18" t="s">
        <v>28</v>
      </c>
      <c r="D2" s="18" t="s">
        <v>65</v>
      </c>
      <c r="E2" s="18" t="s">
        <v>30</v>
      </c>
      <c r="F2" s="18" t="s">
        <v>66</v>
      </c>
      <c r="G2" s="18" t="s">
        <v>32</v>
      </c>
      <c r="H2" s="18" t="s">
        <v>33</v>
      </c>
    </row>
    <row r="3" spans="1:10" ht="21" customHeight="1">
      <c r="A3" s="31" t="s">
        <v>7</v>
      </c>
      <c r="B3" s="6">
        <f>'Week 8'!H3+1</f>
        <v>45949</v>
      </c>
      <c r="C3" s="6">
        <f t="shared" ref="C3:H3" si="0">B3+1</f>
        <v>45950</v>
      </c>
      <c r="D3" s="6">
        <f t="shared" si="0"/>
        <v>45951</v>
      </c>
      <c r="E3" s="6">
        <f t="shared" si="0"/>
        <v>45952</v>
      </c>
      <c r="F3" s="6">
        <f t="shared" si="0"/>
        <v>45953</v>
      </c>
      <c r="G3" s="6">
        <f t="shared" si="0"/>
        <v>45954</v>
      </c>
      <c r="H3" s="6">
        <f t="shared" si="0"/>
        <v>45955</v>
      </c>
    </row>
    <row r="4" spans="1:10" s="7" customFormat="1">
      <c r="A4" s="181" t="s">
        <v>99</v>
      </c>
      <c r="B4" s="181"/>
      <c r="C4" s="181"/>
      <c r="D4" s="181"/>
      <c r="E4" s="181"/>
      <c r="F4" s="181"/>
      <c r="G4" s="181"/>
      <c r="H4" s="181"/>
    </row>
    <row r="5" spans="1:10" s="7" customFormat="1" ht="26.1" customHeight="1">
      <c r="A5" s="32" t="s">
        <v>8</v>
      </c>
      <c r="B5" s="27"/>
      <c r="C5" s="27"/>
      <c r="D5" s="27"/>
      <c r="E5" s="27"/>
      <c r="F5" s="27"/>
      <c r="G5" s="27"/>
      <c r="H5" s="27"/>
    </row>
    <row r="6" spans="1:10" s="7" customFormat="1" ht="26.1" customHeight="1">
      <c r="A6" s="4" t="s">
        <v>23</v>
      </c>
      <c r="B6" s="62"/>
      <c r="C6" s="62"/>
      <c r="D6" s="62"/>
      <c r="E6" s="62"/>
      <c r="F6" s="62"/>
      <c r="G6" s="62"/>
      <c r="H6" s="62"/>
    </row>
    <row r="7" spans="1:10" s="7" customFormat="1" ht="21.95" customHeight="1">
      <c r="A7" s="32" t="s">
        <v>35</v>
      </c>
      <c r="B7" s="27"/>
      <c r="C7" s="28"/>
      <c r="D7" s="28"/>
      <c r="E7" s="28"/>
      <c r="F7" s="28"/>
      <c r="G7" s="28"/>
      <c r="H7" s="27"/>
    </row>
    <row r="8" spans="1:10" s="7" customFormat="1" ht="24.95" customHeight="1" thickBot="1">
      <c r="A8" s="83" t="s">
        <v>36</v>
      </c>
      <c r="B8" s="84">
        <f t="shared" ref="B8:H8" si="1">B5+B6+B7</f>
        <v>0</v>
      </c>
      <c r="C8" s="84">
        <f t="shared" si="1"/>
        <v>0</v>
      </c>
      <c r="D8" s="84">
        <f t="shared" si="1"/>
        <v>0</v>
      </c>
      <c r="E8" s="84">
        <f t="shared" si="1"/>
        <v>0</v>
      </c>
      <c r="F8" s="84">
        <f t="shared" si="1"/>
        <v>0</v>
      </c>
      <c r="G8" s="84">
        <f t="shared" si="1"/>
        <v>0</v>
      </c>
      <c r="H8" s="84">
        <f t="shared" si="1"/>
        <v>0</v>
      </c>
    </row>
    <row r="9" spans="1:10" s="7" customFormat="1" ht="24.95" customHeight="1" thickBot="1">
      <c r="A9" s="33"/>
      <c r="B9" s="29"/>
      <c r="C9" s="29"/>
      <c r="D9" s="29"/>
      <c r="E9" s="29"/>
      <c r="F9" s="29"/>
      <c r="G9" s="63" t="s">
        <v>37</v>
      </c>
      <c r="H9" s="64">
        <f>SUM(B8:H8)</f>
        <v>0</v>
      </c>
    </row>
    <row r="10" spans="1:10" s="7" customFormat="1" ht="21" thickTop="1" thickBot="1">
      <c r="A10" s="182" t="s">
        <v>38</v>
      </c>
      <c r="B10" s="183"/>
      <c r="C10" s="183"/>
      <c r="D10" s="183"/>
      <c r="E10" s="183"/>
      <c r="F10" s="183"/>
      <c r="G10" s="65" t="s">
        <v>39</v>
      </c>
      <c r="H10" s="66">
        <v>-0.15</v>
      </c>
      <c r="I10" s="5"/>
      <c r="J10" s="26"/>
    </row>
    <row r="11" spans="1:10" s="7" customFormat="1" ht="30" customHeight="1">
      <c r="A11" s="39" t="s">
        <v>8</v>
      </c>
      <c r="B11" s="9"/>
      <c r="C11" s="9"/>
      <c r="D11" s="67"/>
      <c r="E11" s="67"/>
      <c r="F11" s="9"/>
      <c r="G11" s="68"/>
      <c r="H11" s="69"/>
    </row>
    <row r="12" spans="1:10" s="7" customFormat="1" ht="30" customHeight="1">
      <c r="A12" s="70" t="s">
        <v>23</v>
      </c>
      <c r="B12" s="59"/>
      <c r="C12" s="58"/>
      <c r="D12" s="58"/>
      <c r="E12" s="58"/>
      <c r="F12" s="58"/>
      <c r="G12" s="58"/>
      <c r="H12" s="59"/>
    </row>
    <row r="13" spans="1:10" s="7" customFormat="1" ht="30" customHeight="1">
      <c r="A13" s="3" t="s">
        <v>35</v>
      </c>
      <c r="B13" s="8"/>
      <c r="C13" s="8"/>
      <c r="D13" s="8"/>
      <c r="E13" s="8"/>
      <c r="F13" s="8"/>
      <c r="G13" s="8"/>
      <c r="H13" s="8"/>
    </row>
    <row r="14" spans="1:10" s="7" customFormat="1" ht="27" customHeight="1" thickBot="1">
      <c r="A14" s="85" t="s">
        <v>36</v>
      </c>
      <c r="B14" s="87">
        <f t="shared" ref="B14:H14" si="2">B11+B12+B13</f>
        <v>0</v>
      </c>
      <c r="C14" s="87">
        <f t="shared" si="2"/>
        <v>0</v>
      </c>
      <c r="D14" s="87">
        <f t="shared" si="2"/>
        <v>0</v>
      </c>
      <c r="E14" s="87">
        <f t="shared" si="2"/>
        <v>0</v>
      </c>
      <c r="F14" s="87">
        <f t="shared" si="2"/>
        <v>0</v>
      </c>
      <c r="G14" s="87">
        <f t="shared" si="2"/>
        <v>0</v>
      </c>
      <c r="H14" s="87">
        <f t="shared" si="2"/>
        <v>0</v>
      </c>
    </row>
    <row r="15" spans="1:10" s="7" customFormat="1" ht="24.95" customHeight="1" thickBot="1">
      <c r="A15" s="86" t="s">
        <v>40</v>
      </c>
      <c r="B15" s="92" t="e">
        <f t="shared" ref="B15:H15" si="3">(B14-B8)/B8</f>
        <v>#DIV/0!</v>
      </c>
      <c r="C15" s="93" t="e">
        <f t="shared" si="3"/>
        <v>#DIV/0!</v>
      </c>
      <c r="D15" s="93" t="e">
        <f t="shared" si="3"/>
        <v>#DIV/0!</v>
      </c>
      <c r="E15" s="93" t="e">
        <f t="shared" si="3"/>
        <v>#DIV/0!</v>
      </c>
      <c r="F15" s="93" t="e">
        <f t="shared" si="3"/>
        <v>#DIV/0!</v>
      </c>
      <c r="G15" s="93" t="e">
        <f t="shared" si="3"/>
        <v>#DIV/0!</v>
      </c>
      <c r="H15" s="94" t="e">
        <f t="shared" si="3"/>
        <v>#DIV/0!</v>
      </c>
      <c r="I15" s="71"/>
    </row>
    <row r="16" spans="1:10" ht="30" customHeight="1">
      <c r="B16" s="88"/>
      <c r="C16" s="88"/>
      <c r="D16" s="88"/>
      <c r="E16" s="88"/>
      <c r="F16" s="89"/>
      <c r="G16" s="90" t="s">
        <v>37</v>
      </c>
      <c r="H16" s="91">
        <f>SUM(B14:H14)</f>
        <v>0</v>
      </c>
    </row>
    <row r="17" spans="1:8" s="7" customFormat="1" ht="21.95" customHeight="1">
      <c r="A17" s="184" t="s">
        <v>41</v>
      </c>
      <c r="B17" s="217"/>
      <c r="C17" s="217"/>
      <c r="D17" s="217"/>
      <c r="E17" s="217"/>
      <c r="F17" s="218"/>
      <c r="G17" s="72" t="s">
        <v>42</v>
      </c>
      <c r="H17" s="66" t="e">
        <f>(H16-H9)/H9</f>
        <v>#DIV/0!</v>
      </c>
    </row>
    <row r="18" spans="1:8" s="7" customFormat="1" ht="30" customHeight="1">
      <c r="A18" s="35" t="s">
        <v>43</v>
      </c>
      <c r="B18" s="12"/>
      <c r="C18" s="12"/>
      <c r="D18" s="73"/>
      <c r="E18" s="73"/>
      <c r="F18" s="12"/>
      <c r="G18" s="24"/>
      <c r="H18" s="74"/>
    </row>
    <row r="19" spans="1:8" s="7" customFormat="1" ht="30" customHeight="1">
      <c r="A19" s="35" t="str">
        <f>'Week 8'!A19</f>
        <v>Non Meal Plan Meals</v>
      </c>
      <c r="B19" s="12"/>
      <c r="C19" s="12"/>
      <c r="D19" s="73"/>
      <c r="E19" s="73"/>
      <c r="F19" s="12"/>
      <c r="G19" s="24"/>
      <c r="H19" s="74"/>
    </row>
    <row r="20" spans="1:8" s="7" customFormat="1" ht="30" customHeight="1">
      <c r="A20" s="35" t="str">
        <f>'Week 8'!A20</f>
        <v xml:space="preserve">Meal numbers </v>
      </c>
      <c r="B20" s="95"/>
      <c r="C20" s="95"/>
      <c r="D20" s="67"/>
      <c r="E20" s="67"/>
      <c r="F20" s="95"/>
      <c r="G20" s="95"/>
      <c r="H20" s="75"/>
    </row>
    <row r="21" spans="1:8" s="7" customFormat="1" ht="24.95" customHeight="1">
      <c r="A21" s="36" t="s">
        <v>45</v>
      </c>
      <c r="B21" s="77">
        <f t="shared" ref="B21:H21" si="4">SUM(B18:B20)</f>
        <v>0</v>
      </c>
      <c r="C21" s="77">
        <f t="shared" si="4"/>
        <v>0</v>
      </c>
      <c r="D21" s="96">
        <f t="shared" si="4"/>
        <v>0</v>
      </c>
      <c r="E21" s="96">
        <f t="shared" si="4"/>
        <v>0</v>
      </c>
      <c r="F21" s="77">
        <f t="shared" si="4"/>
        <v>0</v>
      </c>
      <c r="G21" s="77">
        <f t="shared" si="4"/>
        <v>0</v>
      </c>
      <c r="H21" s="77">
        <f t="shared" si="4"/>
        <v>0</v>
      </c>
    </row>
    <row r="22" spans="1:8" s="7" customFormat="1" ht="24.95" customHeight="1" thickBot="1">
      <c r="A22" s="34" t="s">
        <v>40</v>
      </c>
      <c r="B22" s="92" t="e">
        <f>(B21-B5)/B5</f>
        <v>#DIV/0!</v>
      </c>
      <c r="C22" s="93" t="e">
        <f>(C21-C5)/C5</f>
        <v>#DIV/0!</v>
      </c>
      <c r="D22" s="99"/>
      <c r="E22" s="99"/>
      <c r="F22" s="93" t="e">
        <f>(F21-F5)/F5</f>
        <v>#DIV/0!</v>
      </c>
      <c r="G22" s="93" t="e">
        <f>(G21-G5)/G5</f>
        <v>#DIV/0!</v>
      </c>
      <c r="H22" s="94" t="e">
        <f>(H21-H5)/H5</f>
        <v>#DIV/0!</v>
      </c>
    </row>
    <row r="23" spans="1:8" s="7" customFormat="1" ht="18.75">
      <c r="A23" s="186" t="s">
        <v>46</v>
      </c>
      <c r="B23" s="187"/>
      <c r="C23" s="187"/>
      <c r="D23" s="187"/>
      <c r="E23" s="187"/>
      <c r="F23" s="188" t="s">
        <v>47</v>
      </c>
      <c r="G23" s="97"/>
      <c r="H23" s="98"/>
    </row>
    <row r="24" spans="1:8" s="7" customFormat="1" ht="30" customHeight="1">
      <c r="A24" s="35" t="str">
        <f>A18</f>
        <v>Greeter Total</v>
      </c>
      <c r="B24" s="11"/>
      <c r="C24" s="12"/>
      <c r="D24" s="12"/>
      <c r="E24" s="12"/>
      <c r="F24" s="12"/>
      <c r="G24" s="12"/>
      <c r="H24" s="11"/>
    </row>
    <row r="25" spans="1:8" s="7" customFormat="1" ht="30" customHeight="1">
      <c r="A25" s="35" t="str">
        <f t="shared" ref="A25:A26" si="5">A19</f>
        <v>Non Meal Plan Meals</v>
      </c>
      <c r="B25" s="117"/>
      <c r="C25" s="117"/>
      <c r="D25" s="117"/>
      <c r="E25" s="117"/>
      <c r="F25" s="117"/>
      <c r="G25" s="117"/>
      <c r="H25" s="117"/>
    </row>
    <row r="26" spans="1:8" s="7" customFormat="1" ht="30" customHeight="1">
      <c r="A26" s="35" t="str">
        <f t="shared" si="5"/>
        <v xml:space="preserve">Meal numbers </v>
      </c>
      <c r="B26" s="11"/>
      <c r="C26" s="11"/>
      <c r="D26" s="11"/>
      <c r="E26" s="11"/>
      <c r="F26" s="11"/>
      <c r="G26" s="11"/>
      <c r="H26" s="11"/>
    </row>
    <row r="27" spans="1:8" s="7" customFormat="1" ht="27.95" customHeight="1">
      <c r="A27" s="36" t="s">
        <v>50</v>
      </c>
      <c r="B27" s="100">
        <f t="shared" ref="B27:H27" si="6">SUM(B24:B26)</f>
        <v>0</v>
      </c>
      <c r="C27" s="100">
        <f t="shared" si="6"/>
        <v>0</v>
      </c>
      <c r="D27" s="100">
        <f t="shared" si="6"/>
        <v>0</v>
      </c>
      <c r="E27" s="100">
        <f t="shared" si="6"/>
        <v>0</v>
      </c>
      <c r="F27" s="100">
        <f t="shared" si="6"/>
        <v>0</v>
      </c>
      <c r="G27" s="100">
        <f t="shared" si="6"/>
        <v>0</v>
      </c>
      <c r="H27" s="100">
        <f t="shared" si="6"/>
        <v>0</v>
      </c>
    </row>
    <row r="28" spans="1:8" s="7" customFormat="1" ht="24.95" customHeight="1" thickBot="1">
      <c r="A28" s="34" t="s">
        <v>40</v>
      </c>
      <c r="B28" s="92" t="e">
        <f t="shared" ref="B28:H28" si="7">(B27-B6)/B6</f>
        <v>#DIV/0!</v>
      </c>
      <c r="C28" s="93" t="e">
        <f t="shared" si="7"/>
        <v>#DIV/0!</v>
      </c>
      <c r="D28" s="93" t="e">
        <f t="shared" si="7"/>
        <v>#DIV/0!</v>
      </c>
      <c r="E28" s="93" t="e">
        <f t="shared" si="7"/>
        <v>#DIV/0!</v>
      </c>
      <c r="F28" s="93" t="e">
        <f t="shared" si="7"/>
        <v>#DIV/0!</v>
      </c>
      <c r="G28" s="93" t="e">
        <f t="shared" si="7"/>
        <v>#DIV/0!</v>
      </c>
      <c r="H28" s="94" t="e">
        <f t="shared" si="7"/>
        <v>#DIV/0!</v>
      </c>
    </row>
    <row r="29" spans="1:8" s="7" customFormat="1">
      <c r="A29" s="189" t="s">
        <v>51</v>
      </c>
      <c r="B29" s="190"/>
      <c r="C29" s="190"/>
      <c r="D29" s="190"/>
      <c r="E29" s="190"/>
      <c r="F29" s="191" t="s">
        <v>35</v>
      </c>
      <c r="G29" s="101"/>
      <c r="H29" s="102"/>
    </row>
    <row r="30" spans="1:8" s="7" customFormat="1" ht="30" customHeight="1">
      <c r="A30" s="35" t="str">
        <f>A24</f>
        <v>Greeter Total</v>
      </c>
      <c r="B30" s="10"/>
      <c r="C30" s="9"/>
      <c r="D30" s="9"/>
      <c r="E30" s="9"/>
      <c r="F30" s="9"/>
      <c r="G30" s="9"/>
      <c r="H30" s="10"/>
    </row>
    <row r="31" spans="1:8" s="7" customFormat="1" ht="30" customHeight="1">
      <c r="A31" s="35" t="str">
        <f t="shared" ref="A31:A32" si="8">A25</f>
        <v>Non Meal Plan Meals</v>
      </c>
      <c r="B31" s="60"/>
      <c r="C31" s="60"/>
      <c r="D31" s="60"/>
      <c r="E31" s="60"/>
      <c r="F31" s="60"/>
      <c r="G31" s="60"/>
      <c r="H31" s="60"/>
    </row>
    <row r="32" spans="1:8" s="7" customFormat="1" ht="30" customHeight="1">
      <c r="A32" s="35" t="str">
        <f t="shared" si="8"/>
        <v xml:space="preserve">Meal numbers </v>
      </c>
      <c r="B32" s="10"/>
      <c r="C32" s="10"/>
      <c r="D32" s="10"/>
      <c r="E32" s="10"/>
      <c r="F32" s="10"/>
      <c r="G32" s="10"/>
      <c r="H32" s="10"/>
    </row>
    <row r="33" spans="1:12" s="7" customFormat="1" ht="30.95" customHeight="1" thickBot="1">
      <c r="A33" s="36" t="s">
        <v>53</v>
      </c>
      <c r="B33" s="103">
        <f t="shared" ref="B33:H33" si="9">SUM(B30:B32)</f>
        <v>0</v>
      </c>
      <c r="C33" s="103">
        <f t="shared" si="9"/>
        <v>0</v>
      </c>
      <c r="D33" s="103">
        <f t="shared" si="9"/>
        <v>0</v>
      </c>
      <c r="E33" s="103">
        <f t="shared" si="9"/>
        <v>0</v>
      </c>
      <c r="F33" s="103">
        <f t="shared" si="9"/>
        <v>0</v>
      </c>
      <c r="G33" s="103">
        <f t="shared" si="9"/>
        <v>0</v>
      </c>
      <c r="H33" s="103">
        <f t="shared" si="9"/>
        <v>0</v>
      </c>
    </row>
    <row r="34" spans="1:12" s="7" customFormat="1" ht="24.95" customHeight="1" thickBot="1">
      <c r="A34" s="34" t="s">
        <v>40</v>
      </c>
      <c r="B34" s="92" t="e">
        <f t="shared" ref="B34:H34" si="10">(B33-B7)/B7</f>
        <v>#DIV/0!</v>
      </c>
      <c r="C34" s="93" t="e">
        <f t="shared" si="10"/>
        <v>#DIV/0!</v>
      </c>
      <c r="D34" s="93" t="e">
        <f t="shared" si="10"/>
        <v>#DIV/0!</v>
      </c>
      <c r="E34" s="93" t="e">
        <f t="shared" si="10"/>
        <v>#DIV/0!</v>
      </c>
      <c r="F34" s="93" t="e">
        <f t="shared" si="10"/>
        <v>#DIV/0!</v>
      </c>
      <c r="G34" s="93" t="e">
        <f t="shared" si="10"/>
        <v>#DIV/0!</v>
      </c>
      <c r="H34" s="94" t="e">
        <f t="shared" si="10"/>
        <v>#DIV/0!</v>
      </c>
    </row>
    <row r="35" spans="1:12" s="7" customFormat="1">
      <c r="A35" s="192" t="s">
        <v>54</v>
      </c>
      <c r="B35" s="193"/>
      <c r="C35" s="193"/>
      <c r="D35" s="193"/>
      <c r="E35" s="193"/>
      <c r="F35" s="194" t="s">
        <v>35</v>
      </c>
      <c r="G35" s="104"/>
      <c r="H35" s="105"/>
    </row>
    <row r="36" spans="1:12" s="7" customFormat="1" ht="30.95" customHeight="1" thickBot="1">
      <c r="A36" s="78" t="s">
        <v>55</v>
      </c>
      <c r="B36" s="77">
        <f t="shared" ref="B36:H36" si="11">B33+B27+B21</f>
        <v>0</v>
      </c>
      <c r="C36" s="77">
        <f t="shared" si="11"/>
        <v>0</v>
      </c>
      <c r="D36" s="77">
        <f t="shared" si="11"/>
        <v>0</v>
      </c>
      <c r="E36" s="77">
        <f t="shared" si="11"/>
        <v>0</v>
      </c>
      <c r="F36" s="77">
        <f t="shared" si="11"/>
        <v>0</v>
      </c>
      <c r="G36" s="77">
        <f t="shared" si="11"/>
        <v>0</v>
      </c>
      <c r="H36" s="77">
        <f t="shared" si="11"/>
        <v>0</v>
      </c>
    </row>
    <row r="37" spans="1:12" s="7" customFormat="1" ht="24.95" customHeight="1" thickBot="1">
      <c r="A37" s="34" t="s">
        <v>40</v>
      </c>
      <c r="B37" s="92" t="e">
        <f t="shared" ref="B37:H37" si="12">(B36-B8)/B8</f>
        <v>#DIV/0!</v>
      </c>
      <c r="C37" s="93" t="e">
        <f t="shared" si="12"/>
        <v>#DIV/0!</v>
      </c>
      <c r="D37" s="93" t="e">
        <f t="shared" si="12"/>
        <v>#DIV/0!</v>
      </c>
      <c r="E37" s="93" t="e">
        <f t="shared" si="12"/>
        <v>#DIV/0!</v>
      </c>
      <c r="F37" s="93" t="e">
        <f t="shared" si="12"/>
        <v>#DIV/0!</v>
      </c>
      <c r="G37" s="93" t="e">
        <f t="shared" si="12"/>
        <v>#DIV/0!</v>
      </c>
      <c r="H37" s="94" t="e">
        <f t="shared" si="12"/>
        <v>#DIV/0!</v>
      </c>
    </row>
    <row r="38" spans="1:12" ht="30" customHeight="1" thickBot="1">
      <c r="A38" s="195"/>
      <c r="B38" s="196"/>
      <c r="C38" s="196"/>
      <c r="D38" s="196"/>
      <c r="E38" s="196"/>
      <c r="F38" s="196"/>
      <c r="G38" s="106" t="s">
        <v>37</v>
      </c>
      <c r="H38" s="107">
        <f>SUM(B36:H36)</f>
        <v>0</v>
      </c>
    </row>
    <row r="39" spans="1:12" s="7" customFormat="1" ht="24.95" customHeight="1" thickTop="1">
      <c r="A39" s="37"/>
      <c r="B39" s="25"/>
      <c r="C39" s="25"/>
      <c r="D39" s="25"/>
      <c r="E39" s="25"/>
      <c r="F39" s="25"/>
      <c r="G39" s="79" t="s">
        <v>40</v>
      </c>
      <c r="H39" s="80" t="e">
        <f>(H38-H9)/H9</f>
        <v>#DIV/0!</v>
      </c>
    </row>
    <row r="40" spans="1:12" s="7" customFormat="1" ht="24.95" customHeight="1" thickBot="1">
      <c r="A40" s="37"/>
      <c r="B40" s="25"/>
      <c r="C40" s="25"/>
      <c r="D40" s="25"/>
      <c r="E40" s="25"/>
      <c r="F40" s="25"/>
      <c r="G40" s="81" t="s">
        <v>56</v>
      </c>
      <c r="H40" s="82" t="e">
        <f>(H38-H16)/H16</f>
        <v>#DIV/0!</v>
      </c>
    </row>
    <row r="41" spans="1:12" s="46" customFormat="1" ht="23.1" customHeight="1">
      <c r="A41" s="40"/>
      <c r="B41" s="47" t="s">
        <v>57</v>
      </c>
      <c r="C41" s="197" t="s">
        <v>58</v>
      </c>
      <c r="D41" s="197"/>
      <c r="E41" s="197"/>
      <c r="F41" s="197"/>
      <c r="G41" s="198">
        <v>2020</v>
      </c>
      <c r="H41" s="199"/>
    </row>
    <row r="42" spans="1:12" ht="30" customHeight="1">
      <c r="A42" s="1" t="s">
        <v>0</v>
      </c>
      <c r="B42" s="57" t="s">
        <v>59</v>
      </c>
      <c r="C42" s="206"/>
      <c r="D42" s="207"/>
      <c r="E42" s="207"/>
      <c r="F42" s="210"/>
      <c r="G42" s="132"/>
      <c r="H42" s="132"/>
      <c r="I42" s="46"/>
      <c r="J42" s="132"/>
      <c r="L42" s="7" t="s">
        <v>61</v>
      </c>
    </row>
    <row r="43" spans="1:12" ht="42.95" customHeight="1">
      <c r="A43" s="1" t="s">
        <v>1</v>
      </c>
      <c r="B43" s="57" t="s">
        <v>59</v>
      </c>
      <c r="C43" s="206" t="s">
        <v>100</v>
      </c>
      <c r="D43" s="207"/>
      <c r="E43" s="207"/>
      <c r="F43" s="210"/>
      <c r="G43" s="206"/>
      <c r="H43" s="210"/>
      <c r="I43" s="46"/>
      <c r="J43" s="126"/>
      <c r="L43" s="5" t="s">
        <v>62</v>
      </c>
    </row>
    <row r="44" spans="1:12" ht="30" customHeight="1">
      <c r="A44" s="1" t="s">
        <v>2</v>
      </c>
      <c r="B44" s="57" t="s">
        <v>59</v>
      </c>
      <c r="C44" s="206"/>
      <c r="D44" s="207"/>
      <c r="E44" s="207"/>
      <c r="F44" s="210"/>
      <c r="G44" s="206"/>
      <c r="H44" s="210"/>
      <c r="I44" s="46"/>
      <c r="J44" s="126"/>
      <c r="L44" s="5" t="s">
        <v>63</v>
      </c>
    </row>
    <row r="45" spans="1:12" ht="30" customHeight="1">
      <c r="A45" s="1" t="s">
        <v>3</v>
      </c>
      <c r="B45" s="57" t="s">
        <v>59</v>
      </c>
      <c r="C45" s="206"/>
      <c r="D45" s="207"/>
      <c r="E45" s="207"/>
      <c r="F45" s="210"/>
      <c r="G45" s="126"/>
      <c r="H45" s="126"/>
      <c r="I45" s="46"/>
      <c r="J45" s="126"/>
      <c r="L45" s="5" t="s">
        <v>64</v>
      </c>
    </row>
    <row r="46" spans="1:12" ht="30.95" customHeight="1">
      <c r="A46" s="1" t="s">
        <v>4</v>
      </c>
      <c r="B46" s="57" t="s">
        <v>59</v>
      </c>
      <c r="C46" s="206"/>
      <c r="D46" s="207"/>
      <c r="E46" s="207"/>
      <c r="F46" s="210"/>
      <c r="G46" s="206"/>
      <c r="H46" s="210"/>
      <c r="I46" s="46"/>
      <c r="J46" s="126"/>
    </row>
    <row r="47" spans="1:12" ht="30" customHeight="1">
      <c r="A47" s="1" t="s">
        <v>5</v>
      </c>
      <c r="B47" s="57" t="s">
        <v>59</v>
      </c>
      <c r="C47" s="206"/>
      <c r="D47" s="207"/>
      <c r="E47" s="207"/>
      <c r="F47" s="210"/>
      <c r="G47" s="206"/>
      <c r="H47" s="210"/>
      <c r="I47" s="46"/>
      <c r="J47" s="126"/>
    </row>
    <row r="48" spans="1:12" ht="30" customHeight="1">
      <c r="A48" s="1" t="s">
        <v>6</v>
      </c>
      <c r="B48" s="57" t="s">
        <v>59</v>
      </c>
      <c r="C48" s="206"/>
      <c r="D48" s="207"/>
      <c r="E48" s="207"/>
      <c r="F48" s="210"/>
      <c r="G48" s="206"/>
      <c r="H48" s="210"/>
      <c r="I48" s="46"/>
      <c r="J48" s="126"/>
    </row>
    <row r="49" spans="1:8" ht="15" customHeight="1">
      <c r="A49" s="1"/>
      <c r="B49" s="14"/>
      <c r="C49" s="175"/>
      <c r="D49" s="175"/>
      <c r="E49" s="175"/>
      <c r="F49" s="175"/>
      <c r="G49" s="176"/>
      <c r="H49" s="177"/>
    </row>
    <row r="50" spans="1:8">
      <c r="A50" s="30"/>
      <c r="B50" s="18" t="s">
        <v>27</v>
      </c>
      <c r="C50" s="18" t="s">
        <v>27</v>
      </c>
      <c r="D50" s="19" t="s">
        <v>28</v>
      </c>
      <c r="E50" s="19" t="s">
        <v>29</v>
      </c>
      <c r="F50" s="18" t="s">
        <v>30</v>
      </c>
      <c r="G50" s="18" t="s">
        <v>31</v>
      </c>
      <c r="H50" s="18" t="s">
        <v>32</v>
      </c>
    </row>
    <row r="51" spans="1:8" ht="30" customHeight="1">
      <c r="A51" s="38" t="s">
        <v>91</v>
      </c>
      <c r="B51" s="10"/>
      <c r="C51" s="10"/>
      <c r="D51" s="10"/>
      <c r="E51" s="10"/>
      <c r="F51" s="10"/>
      <c r="G51" s="10"/>
      <c r="H51" s="10"/>
    </row>
    <row r="52" spans="1:8" customFormat="1" ht="15.95">
      <c r="A52" s="48"/>
      <c r="B52" s="22"/>
      <c r="C52" s="21"/>
      <c r="D52" s="21"/>
      <c r="E52" s="21"/>
      <c r="F52" s="21"/>
      <c r="G52" s="23" t="s">
        <v>37</v>
      </c>
      <c r="H52" s="23">
        <f>SUM(B51:H51)</f>
        <v>0</v>
      </c>
    </row>
    <row r="53" spans="1:8">
      <c r="A53" s="30"/>
      <c r="B53" s="18" t="s">
        <v>27</v>
      </c>
      <c r="C53" s="18" t="s">
        <v>27</v>
      </c>
      <c r="D53" s="19" t="s">
        <v>28</v>
      </c>
      <c r="E53" s="19" t="s">
        <v>29</v>
      </c>
      <c r="F53" s="18" t="s">
        <v>30</v>
      </c>
      <c r="G53" s="18" t="s">
        <v>31</v>
      </c>
      <c r="H53" s="18" t="s">
        <v>32</v>
      </c>
    </row>
    <row r="54" spans="1:8">
      <c r="A54" s="38" t="s">
        <v>69</v>
      </c>
      <c r="B54" s="51"/>
      <c r="C54" s="52"/>
      <c r="D54" s="52"/>
      <c r="E54" s="52"/>
      <c r="F54" s="52"/>
      <c r="G54" s="20"/>
      <c r="H54" s="15"/>
    </row>
    <row r="55" spans="1:8" customFormat="1" ht="15.95">
      <c r="A55" s="49" t="s">
        <v>70</v>
      </c>
      <c r="B55" s="53"/>
      <c r="C55" s="53" t="s">
        <v>71</v>
      </c>
      <c r="D55" s="54"/>
      <c r="E55" s="54"/>
      <c r="F55" s="55"/>
      <c r="G55" s="50" t="s">
        <v>37</v>
      </c>
      <c r="H55" s="23"/>
    </row>
    <row r="56" spans="1:8">
      <c r="H56" s="16"/>
    </row>
    <row r="57" spans="1:8">
      <c r="H57" s="16"/>
    </row>
    <row r="58" spans="1:8">
      <c r="H58" s="16"/>
    </row>
    <row r="59" spans="1:8">
      <c r="H59" s="16"/>
    </row>
    <row r="60" spans="1:8">
      <c r="H60" s="16"/>
    </row>
    <row r="61" spans="1:8">
      <c r="H61" s="16"/>
    </row>
    <row r="62" spans="1:8">
      <c r="H62" s="16"/>
    </row>
    <row r="63" spans="1:8">
      <c r="B63" s="5"/>
      <c r="H63" s="16"/>
    </row>
    <row r="64" spans="1:8">
      <c r="B64" s="5"/>
      <c r="H64" s="16"/>
    </row>
    <row r="65" spans="2:8">
      <c r="B65" s="5"/>
      <c r="H65" s="16"/>
    </row>
    <row r="66" spans="2:8">
      <c r="B66" s="5"/>
      <c r="H66" s="16"/>
    </row>
    <row r="67" spans="2:8">
      <c r="B67" s="5"/>
      <c r="H67" s="16"/>
    </row>
    <row r="68" spans="2:8">
      <c r="B68" s="5"/>
      <c r="H68" s="16"/>
    </row>
    <row r="69" spans="2:8">
      <c r="B69" s="5"/>
      <c r="H69" s="16"/>
    </row>
    <row r="70" spans="2:8">
      <c r="B70" s="5"/>
      <c r="H70" s="16"/>
    </row>
    <row r="71" spans="2:8">
      <c r="B71" s="5"/>
      <c r="H71" s="16"/>
    </row>
    <row r="72" spans="2:8">
      <c r="B72" s="5"/>
      <c r="H72" s="16"/>
    </row>
    <row r="73" spans="2:8">
      <c r="B73" s="5"/>
      <c r="H73" s="16"/>
    </row>
    <row r="74" spans="2:8">
      <c r="B74" s="5"/>
      <c r="H74" s="16"/>
    </row>
    <row r="75" spans="2:8">
      <c r="B75" s="5"/>
      <c r="H75" s="16"/>
    </row>
    <row r="76" spans="2:8">
      <c r="B76" s="5"/>
      <c r="H76" s="16"/>
    </row>
    <row r="77" spans="2:8">
      <c r="B77" s="5"/>
      <c r="H77" s="16"/>
    </row>
    <row r="78" spans="2:8">
      <c r="B78" s="5"/>
      <c r="H78" s="16"/>
    </row>
    <row r="79" spans="2:8">
      <c r="B79" s="5"/>
      <c r="H79" s="16"/>
    </row>
    <row r="80" spans="2:8">
      <c r="B80" s="5"/>
      <c r="H80" s="16"/>
    </row>
    <row r="81" spans="2:8">
      <c r="B81" s="5"/>
      <c r="H81" s="16"/>
    </row>
    <row r="82" spans="2:8">
      <c r="B82" s="5"/>
      <c r="H82" s="16"/>
    </row>
    <row r="83" spans="2:8">
      <c r="B83" s="5"/>
      <c r="H83" s="16"/>
    </row>
    <row r="84" spans="2:8">
      <c r="B84" s="5"/>
      <c r="H84" s="16"/>
    </row>
    <row r="85" spans="2:8">
      <c r="B85" s="5"/>
      <c r="H85" s="16"/>
    </row>
    <row r="86" spans="2:8">
      <c r="B86" s="5"/>
      <c r="H86" s="16"/>
    </row>
    <row r="87" spans="2:8">
      <c r="B87" s="5"/>
      <c r="H87" s="16"/>
    </row>
    <row r="88" spans="2:8">
      <c r="B88" s="5"/>
      <c r="H88" s="16"/>
    </row>
    <row r="89" spans="2:8">
      <c r="B89" s="5"/>
      <c r="H89" s="16"/>
    </row>
    <row r="90" spans="2:8">
      <c r="B90" s="5"/>
      <c r="H90" s="16"/>
    </row>
    <row r="91" spans="2:8">
      <c r="B91" s="5"/>
      <c r="H91" s="16"/>
    </row>
    <row r="92" spans="2:8">
      <c r="B92" s="5"/>
      <c r="H92" s="16"/>
    </row>
    <row r="93" spans="2:8">
      <c r="B93" s="5"/>
      <c r="H93" s="16"/>
    </row>
    <row r="94" spans="2:8">
      <c r="B94" s="5"/>
      <c r="H94" s="16"/>
    </row>
    <row r="95" spans="2:8">
      <c r="B95" s="5"/>
      <c r="H95" s="16"/>
    </row>
    <row r="96" spans="2:8">
      <c r="B96" s="5"/>
      <c r="H96" s="16"/>
    </row>
    <row r="97" spans="2:8">
      <c r="B97" s="5"/>
      <c r="H97" s="16"/>
    </row>
    <row r="98" spans="2:8">
      <c r="B98" s="5"/>
      <c r="H98" s="16"/>
    </row>
    <row r="99" spans="2:8">
      <c r="B99" s="5"/>
      <c r="H99" s="16"/>
    </row>
    <row r="100" spans="2:8">
      <c r="B100" s="5"/>
      <c r="H100" s="16"/>
    </row>
    <row r="101" spans="2:8">
      <c r="B101" s="5"/>
      <c r="H101" s="16"/>
    </row>
    <row r="102" spans="2:8">
      <c r="B102" s="5"/>
      <c r="H102" s="16"/>
    </row>
    <row r="103" spans="2:8">
      <c r="B103" s="5"/>
      <c r="H103" s="16"/>
    </row>
    <row r="104" spans="2:8">
      <c r="B104" s="5"/>
      <c r="H104" s="16"/>
    </row>
    <row r="105" spans="2:8">
      <c r="B105" s="5"/>
      <c r="H105" s="16"/>
    </row>
    <row r="106" spans="2:8">
      <c r="B106" s="5"/>
      <c r="H106" s="16"/>
    </row>
    <row r="107" spans="2:8">
      <c r="B107" s="5"/>
      <c r="H107" s="16"/>
    </row>
    <row r="108" spans="2:8">
      <c r="B108" s="5"/>
      <c r="H108" s="16"/>
    </row>
    <row r="109" spans="2:8">
      <c r="B109" s="5"/>
      <c r="H109" s="16"/>
    </row>
    <row r="110" spans="2:8">
      <c r="B110" s="5"/>
      <c r="H110" s="16"/>
    </row>
    <row r="111" spans="2:8">
      <c r="B111" s="5"/>
      <c r="H111" s="16"/>
    </row>
    <row r="112" spans="2:8">
      <c r="B112" s="5"/>
      <c r="H112" s="16"/>
    </row>
    <row r="113" spans="2:8">
      <c r="B113" s="5"/>
      <c r="H113" s="16"/>
    </row>
    <row r="114" spans="2:8">
      <c r="B114" s="5"/>
      <c r="H114" s="16"/>
    </row>
    <row r="115" spans="2:8">
      <c r="B115" s="5"/>
      <c r="H115" s="16"/>
    </row>
    <row r="116" spans="2:8">
      <c r="B116" s="5"/>
      <c r="H116" s="16"/>
    </row>
    <row r="117" spans="2:8">
      <c r="B117" s="5"/>
      <c r="H117" s="16"/>
    </row>
    <row r="118" spans="2:8">
      <c r="B118" s="5"/>
      <c r="H118" s="16"/>
    </row>
    <row r="119" spans="2:8">
      <c r="B119" s="5"/>
      <c r="H119" s="16"/>
    </row>
    <row r="120" spans="2:8">
      <c r="B120" s="5"/>
      <c r="H120" s="16"/>
    </row>
    <row r="121" spans="2:8">
      <c r="B121" s="5"/>
      <c r="H121" s="16"/>
    </row>
    <row r="122" spans="2:8">
      <c r="B122" s="5"/>
      <c r="H122" s="16"/>
    </row>
    <row r="123" spans="2:8">
      <c r="B123" s="5"/>
      <c r="H123" s="16"/>
    </row>
    <row r="124" spans="2:8">
      <c r="B124" s="5"/>
      <c r="H124" s="16"/>
    </row>
    <row r="125" spans="2:8">
      <c r="B125" s="5"/>
      <c r="H125" s="16"/>
    </row>
    <row r="126" spans="2:8">
      <c r="B126" s="5"/>
      <c r="H126" s="16"/>
    </row>
    <row r="127" spans="2:8">
      <c r="B127" s="5"/>
      <c r="H127" s="16"/>
    </row>
    <row r="128" spans="2:8">
      <c r="B128" s="5"/>
      <c r="H128" s="16"/>
    </row>
    <row r="129" spans="2:8">
      <c r="B129" s="5"/>
      <c r="H129" s="16"/>
    </row>
    <row r="130" spans="2:8">
      <c r="B130" s="5"/>
      <c r="H130" s="16"/>
    </row>
    <row r="131" spans="2:8">
      <c r="B131" s="5"/>
      <c r="H131" s="16"/>
    </row>
    <row r="132" spans="2:8">
      <c r="B132" s="5"/>
      <c r="H132" s="16"/>
    </row>
    <row r="133" spans="2:8">
      <c r="B133" s="5"/>
      <c r="H133" s="16"/>
    </row>
    <row r="134" spans="2:8">
      <c r="B134" s="5"/>
      <c r="H134" s="16"/>
    </row>
    <row r="135" spans="2:8">
      <c r="B135" s="5"/>
      <c r="H135" s="16"/>
    </row>
    <row r="136" spans="2:8">
      <c r="B136" s="5"/>
      <c r="H136" s="16"/>
    </row>
    <row r="137" spans="2:8">
      <c r="B137" s="5"/>
      <c r="H137" s="16"/>
    </row>
    <row r="138" spans="2:8">
      <c r="B138" s="5"/>
      <c r="H138" s="16"/>
    </row>
    <row r="139" spans="2:8">
      <c r="B139" s="5"/>
      <c r="H139" s="16"/>
    </row>
    <row r="140" spans="2:8">
      <c r="B140" s="5"/>
      <c r="H140" s="16"/>
    </row>
    <row r="141" spans="2:8">
      <c r="B141" s="5"/>
      <c r="H141" s="16"/>
    </row>
    <row r="142" spans="2:8">
      <c r="B142" s="5"/>
      <c r="H142" s="16"/>
    </row>
    <row r="143" spans="2:8">
      <c r="B143" s="5"/>
      <c r="H143" s="16"/>
    </row>
    <row r="144" spans="2:8">
      <c r="B144" s="5"/>
      <c r="H144" s="16"/>
    </row>
    <row r="145" spans="2:8">
      <c r="B145" s="5"/>
      <c r="H145" s="16"/>
    </row>
    <row r="146" spans="2:8">
      <c r="B146" s="5"/>
      <c r="H146" s="16"/>
    </row>
    <row r="147" spans="2:8">
      <c r="B147" s="5"/>
      <c r="H147" s="16"/>
    </row>
    <row r="148" spans="2:8">
      <c r="B148" s="5"/>
      <c r="H148" s="16"/>
    </row>
    <row r="149" spans="2:8">
      <c r="B149" s="5"/>
      <c r="H149" s="16"/>
    </row>
    <row r="150" spans="2:8">
      <c r="B150" s="5"/>
      <c r="H150" s="16"/>
    </row>
    <row r="151" spans="2:8">
      <c r="B151" s="5"/>
      <c r="H151" s="16"/>
    </row>
    <row r="152" spans="2:8">
      <c r="B152" s="5"/>
      <c r="H152" s="16"/>
    </row>
    <row r="153" spans="2:8">
      <c r="B153" s="5"/>
      <c r="H153" s="16"/>
    </row>
    <row r="154" spans="2:8">
      <c r="B154" s="5"/>
      <c r="H154" s="16"/>
    </row>
    <row r="155" spans="2:8">
      <c r="B155" s="5"/>
      <c r="H155" s="16"/>
    </row>
    <row r="156" spans="2:8">
      <c r="B156" s="5"/>
      <c r="H156" s="16"/>
    </row>
    <row r="157" spans="2:8">
      <c r="B157" s="5"/>
      <c r="H157" s="16"/>
    </row>
    <row r="158" spans="2:8">
      <c r="B158" s="5"/>
      <c r="H158" s="16"/>
    </row>
    <row r="159" spans="2:8">
      <c r="B159" s="5"/>
      <c r="H159" s="16"/>
    </row>
    <row r="160" spans="2:8">
      <c r="B160" s="5"/>
      <c r="H160" s="16"/>
    </row>
    <row r="161" spans="2:8">
      <c r="B161" s="5"/>
      <c r="H161" s="16"/>
    </row>
    <row r="162" spans="2:8">
      <c r="B162" s="5"/>
      <c r="H162" s="16"/>
    </row>
    <row r="163" spans="2:8">
      <c r="B163" s="5"/>
      <c r="H163" s="16"/>
    </row>
    <row r="164" spans="2:8">
      <c r="B164" s="5"/>
      <c r="H164" s="16"/>
    </row>
    <row r="165" spans="2:8">
      <c r="B165" s="5"/>
      <c r="H165" s="16"/>
    </row>
    <row r="166" spans="2:8">
      <c r="B166" s="5"/>
      <c r="H166" s="16"/>
    </row>
    <row r="167" spans="2:8">
      <c r="B167" s="5"/>
      <c r="H167" s="16"/>
    </row>
    <row r="168" spans="2:8">
      <c r="B168" s="5"/>
      <c r="H168" s="16"/>
    </row>
    <row r="169" spans="2:8">
      <c r="B169" s="5"/>
      <c r="H169" s="16"/>
    </row>
    <row r="170" spans="2:8">
      <c r="B170" s="5"/>
      <c r="H170" s="16"/>
    </row>
    <row r="171" spans="2:8">
      <c r="B171" s="5"/>
      <c r="H171" s="16"/>
    </row>
    <row r="172" spans="2:8">
      <c r="B172" s="5"/>
      <c r="H172" s="16"/>
    </row>
    <row r="173" spans="2:8">
      <c r="B173" s="5"/>
      <c r="H173" s="16"/>
    </row>
    <row r="174" spans="2:8">
      <c r="B174" s="5"/>
      <c r="H174" s="16"/>
    </row>
    <row r="175" spans="2:8">
      <c r="B175" s="5"/>
      <c r="H175" s="16"/>
    </row>
    <row r="176" spans="2:8">
      <c r="B176" s="5"/>
      <c r="H176" s="16"/>
    </row>
    <row r="177" spans="2:8">
      <c r="B177" s="5"/>
      <c r="H177" s="16"/>
    </row>
    <row r="178" spans="2:8">
      <c r="B178" s="5"/>
      <c r="H178" s="16"/>
    </row>
    <row r="179" spans="2:8">
      <c r="B179" s="5"/>
      <c r="H179" s="16"/>
    </row>
    <row r="180" spans="2:8">
      <c r="B180" s="5"/>
      <c r="H180" s="16"/>
    </row>
    <row r="181" spans="2:8">
      <c r="B181" s="5"/>
      <c r="H181" s="16"/>
    </row>
    <row r="182" spans="2:8">
      <c r="B182" s="5"/>
      <c r="H182" s="16"/>
    </row>
    <row r="183" spans="2:8">
      <c r="B183" s="5"/>
      <c r="H183" s="16"/>
    </row>
    <row r="184" spans="2:8">
      <c r="B184" s="5"/>
      <c r="H184" s="16"/>
    </row>
    <row r="185" spans="2:8">
      <c r="B185" s="5"/>
      <c r="H185" s="16"/>
    </row>
    <row r="186" spans="2:8">
      <c r="B186" s="5"/>
      <c r="H186" s="16"/>
    </row>
    <row r="187" spans="2:8">
      <c r="B187" s="5"/>
      <c r="H187" s="16"/>
    </row>
    <row r="188" spans="2:8">
      <c r="B188" s="5"/>
      <c r="H188" s="16"/>
    </row>
    <row r="189" spans="2:8">
      <c r="B189" s="5"/>
      <c r="H189" s="16"/>
    </row>
    <row r="190" spans="2:8">
      <c r="B190" s="5"/>
      <c r="H190" s="16"/>
    </row>
    <row r="191" spans="2:8">
      <c r="B191" s="5"/>
      <c r="H191" s="16"/>
    </row>
    <row r="192" spans="2:8">
      <c r="B192" s="5"/>
      <c r="H192" s="16"/>
    </row>
    <row r="193" spans="2:8">
      <c r="B193" s="5"/>
      <c r="H193" s="16"/>
    </row>
    <row r="194" spans="2:8">
      <c r="B194" s="5"/>
      <c r="H194" s="16"/>
    </row>
    <row r="195" spans="2:8">
      <c r="B195" s="5"/>
      <c r="H195" s="16"/>
    </row>
    <row r="196" spans="2:8">
      <c r="B196" s="5"/>
      <c r="H196" s="16"/>
    </row>
    <row r="197" spans="2:8">
      <c r="B197" s="5"/>
      <c r="H197" s="16"/>
    </row>
    <row r="198" spans="2:8">
      <c r="B198" s="5"/>
      <c r="H198" s="16"/>
    </row>
    <row r="199" spans="2:8">
      <c r="B199" s="5"/>
      <c r="H199" s="16"/>
    </row>
    <row r="200" spans="2:8">
      <c r="B200" s="5"/>
      <c r="H200" s="16"/>
    </row>
    <row r="201" spans="2:8">
      <c r="B201" s="5"/>
      <c r="H201" s="16"/>
    </row>
    <row r="202" spans="2:8">
      <c r="B202" s="5"/>
      <c r="H202" s="16"/>
    </row>
    <row r="203" spans="2:8">
      <c r="B203" s="5"/>
      <c r="H203" s="16"/>
    </row>
    <row r="204" spans="2:8">
      <c r="B204" s="5"/>
      <c r="H204" s="16"/>
    </row>
    <row r="205" spans="2:8">
      <c r="B205" s="5"/>
      <c r="H205" s="16"/>
    </row>
    <row r="206" spans="2:8">
      <c r="B206" s="5"/>
      <c r="H206" s="16"/>
    </row>
    <row r="207" spans="2:8">
      <c r="B207" s="5"/>
      <c r="H207" s="16"/>
    </row>
    <row r="208" spans="2:8">
      <c r="B208" s="5"/>
      <c r="H208" s="16"/>
    </row>
    <row r="209" spans="2:8">
      <c r="B209" s="5"/>
      <c r="H209" s="16"/>
    </row>
    <row r="210" spans="2:8">
      <c r="B210" s="5"/>
      <c r="H210" s="16"/>
    </row>
    <row r="211" spans="2:8">
      <c r="B211" s="5"/>
      <c r="H211" s="16"/>
    </row>
    <row r="212" spans="2:8">
      <c r="B212" s="5"/>
      <c r="H212" s="16"/>
    </row>
    <row r="213" spans="2:8">
      <c r="B213" s="5"/>
      <c r="H213" s="16"/>
    </row>
    <row r="214" spans="2:8">
      <c r="B214" s="5"/>
      <c r="H214" s="16"/>
    </row>
    <row r="215" spans="2:8">
      <c r="B215" s="5"/>
      <c r="H215" s="16"/>
    </row>
    <row r="216" spans="2:8">
      <c r="B216" s="5"/>
      <c r="H216" s="16"/>
    </row>
    <row r="217" spans="2:8">
      <c r="B217" s="5"/>
      <c r="H217" s="16"/>
    </row>
    <row r="218" spans="2:8">
      <c r="B218" s="5"/>
      <c r="H218" s="16"/>
    </row>
    <row r="219" spans="2:8">
      <c r="B219" s="5"/>
      <c r="H219" s="16"/>
    </row>
    <row r="220" spans="2:8">
      <c r="B220" s="5"/>
      <c r="H220" s="16"/>
    </row>
    <row r="221" spans="2:8">
      <c r="B221" s="5"/>
      <c r="H221" s="16"/>
    </row>
    <row r="222" spans="2:8">
      <c r="B222" s="5"/>
      <c r="H222" s="16"/>
    </row>
    <row r="223" spans="2:8">
      <c r="B223" s="5"/>
      <c r="H223" s="16"/>
    </row>
    <row r="224" spans="2:8">
      <c r="B224" s="5"/>
      <c r="H224" s="16"/>
    </row>
    <row r="225" spans="2:8">
      <c r="B225" s="5"/>
      <c r="H225" s="16"/>
    </row>
    <row r="226" spans="2:8">
      <c r="B226" s="5"/>
      <c r="H226" s="16"/>
    </row>
    <row r="227" spans="2:8">
      <c r="B227" s="5"/>
      <c r="H227" s="16"/>
    </row>
    <row r="228" spans="2:8">
      <c r="B228" s="5"/>
      <c r="H228" s="16"/>
    </row>
    <row r="229" spans="2:8">
      <c r="B229" s="5"/>
      <c r="H229" s="16"/>
    </row>
    <row r="230" spans="2:8">
      <c r="B230" s="5"/>
      <c r="H230" s="16"/>
    </row>
    <row r="231" spans="2:8">
      <c r="B231" s="5"/>
      <c r="H231" s="16"/>
    </row>
    <row r="232" spans="2:8">
      <c r="B232" s="5"/>
      <c r="H232" s="16"/>
    </row>
    <row r="233" spans="2:8">
      <c r="B233" s="5"/>
      <c r="H233" s="16"/>
    </row>
    <row r="234" spans="2:8">
      <c r="B234" s="5"/>
      <c r="H234" s="16"/>
    </row>
    <row r="235" spans="2:8">
      <c r="B235" s="5"/>
      <c r="H235" s="16"/>
    </row>
    <row r="236" spans="2:8">
      <c r="B236" s="5"/>
      <c r="H236" s="16"/>
    </row>
    <row r="237" spans="2:8">
      <c r="B237" s="5"/>
      <c r="H237" s="16"/>
    </row>
    <row r="238" spans="2:8">
      <c r="B238" s="5"/>
      <c r="H238" s="16"/>
    </row>
    <row r="239" spans="2:8">
      <c r="B239" s="5"/>
      <c r="H239" s="16"/>
    </row>
    <row r="240" spans="2:8">
      <c r="B240" s="5"/>
      <c r="H240" s="16"/>
    </row>
    <row r="241" spans="2:8">
      <c r="B241" s="5"/>
      <c r="H241" s="16"/>
    </row>
    <row r="242" spans="2:8">
      <c r="B242" s="5"/>
      <c r="H242" s="16"/>
    </row>
    <row r="243" spans="2:8">
      <c r="B243" s="5"/>
      <c r="H243" s="16"/>
    </row>
    <row r="244" spans="2:8">
      <c r="B244" s="5"/>
      <c r="H244" s="16"/>
    </row>
    <row r="245" spans="2:8">
      <c r="B245" s="5"/>
      <c r="H245" s="16"/>
    </row>
    <row r="246" spans="2:8">
      <c r="B246" s="5"/>
      <c r="H246" s="16"/>
    </row>
    <row r="247" spans="2:8">
      <c r="B247" s="5"/>
      <c r="H247" s="16"/>
    </row>
    <row r="248" spans="2:8">
      <c r="B248" s="5"/>
      <c r="H248" s="16"/>
    </row>
    <row r="249" spans="2:8">
      <c r="B249" s="5"/>
      <c r="H249" s="16"/>
    </row>
    <row r="250" spans="2:8">
      <c r="B250" s="5"/>
      <c r="H250" s="16"/>
    </row>
    <row r="251" spans="2:8">
      <c r="B251" s="5"/>
      <c r="H251" s="16"/>
    </row>
    <row r="252" spans="2:8">
      <c r="B252" s="5"/>
      <c r="H252" s="16"/>
    </row>
    <row r="253" spans="2:8">
      <c r="B253" s="5"/>
      <c r="H253" s="16"/>
    </row>
    <row r="254" spans="2:8">
      <c r="B254" s="5"/>
      <c r="H254" s="16"/>
    </row>
    <row r="255" spans="2:8">
      <c r="B255" s="5"/>
      <c r="H255" s="16"/>
    </row>
    <row r="256" spans="2:8">
      <c r="B256" s="5"/>
      <c r="H256" s="16"/>
    </row>
    <row r="257" spans="2:8">
      <c r="B257" s="5"/>
      <c r="H257" s="16"/>
    </row>
    <row r="258" spans="2:8">
      <c r="B258" s="5"/>
      <c r="H258" s="16"/>
    </row>
    <row r="259" spans="2:8">
      <c r="B259" s="5"/>
      <c r="H259" s="16"/>
    </row>
    <row r="260" spans="2:8">
      <c r="B260" s="5"/>
      <c r="H260" s="16"/>
    </row>
    <row r="261" spans="2:8">
      <c r="B261" s="5"/>
      <c r="H261" s="16"/>
    </row>
    <row r="262" spans="2:8">
      <c r="B262" s="5"/>
      <c r="H262" s="16"/>
    </row>
    <row r="263" spans="2:8">
      <c r="B263" s="5"/>
      <c r="H263" s="16"/>
    </row>
    <row r="264" spans="2:8">
      <c r="B264" s="5"/>
      <c r="H264" s="16"/>
    </row>
    <row r="265" spans="2:8">
      <c r="B265" s="5"/>
      <c r="H265" s="16"/>
    </row>
    <row r="266" spans="2:8">
      <c r="B266" s="5"/>
      <c r="H266" s="16"/>
    </row>
    <row r="267" spans="2:8">
      <c r="B267" s="5"/>
      <c r="H267" s="16"/>
    </row>
    <row r="268" spans="2:8">
      <c r="B268" s="5"/>
      <c r="H268" s="16"/>
    </row>
    <row r="269" spans="2:8">
      <c r="B269" s="5"/>
      <c r="H269" s="16"/>
    </row>
    <row r="270" spans="2:8">
      <c r="B270" s="5"/>
      <c r="H270" s="16"/>
    </row>
    <row r="271" spans="2:8">
      <c r="B271" s="5"/>
      <c r="H271" s="16"/>
    </row>
    <row r="272" spans="2:8">
      <c r="B272" s="5"/>
      <c r="H272" s="16"/>
    </row>
    <row r="273" spans="2:8">
      <c r="B273" s="5"/>
      <c r="H273" s="16"/>
    </row>
    <row r="274" spans="2:8">
      <c r="B274" s="5"/>
      <c r="H274" s="16"/>
    </row>
    <row r="275" spans="2:8">
      <c r="B275" s="5"/>
      <c r="H275" s="16"/>
    </row>
    <row r="276" spans="2:8">
      <c r="B276" s="5"/>
      <c r="H276" s="16"/>
    </row>
    <row r="277" spans="2:8">
      <c r="B277" s="5"/>
      <c r="H277" s="16"/>
    </row>
    <row r="278" spans="2:8">
      <c r="B278" s="5"/>
      <c r="H278" s="16"/>
    </row>
    <row r="279" spans="2:8">
      <c r="B279" s="5"/>
      <c r="H279" s="16"/>
    </row>
    <row r="280" spans="2:8">
      <c r="B280" s="5"/>
      <c r="H280" s="16"/>
    </row>
    <row r="281" spans="2:8">
      <c r="B281" s="5"/>
      <c r="H281" s="16"/>
    </row>
    <row r="282" spans="2:8">
      <c r="B282" s="5"/>
      <c r="H282" s="16"/>
    </row>
    <row r="283" spans="2:8">
      <c r="B283" s="5"/>
      <c r="H283" s="16"/>
    </row>
    <row r="284" spans="2:8">
      <c r="B284" s="5"/>
      <c r="H284" s="16"/>
    </row>
    <row r="285" spans="2:8">
      <c r="B285" s="5"/>
      <c r="H285" s="16"/>
    </row>
    <row r="286" spans="2:8">
      <c r="B286" s="5"/>
      <c r="H286" s="16"/>
    </row>
    <row r="287" spans="2:8">
      <c r="B287" s="5"/>
      <c r="H287" s="16"/>
    </row>
    <row r="288" spans="2:8">
      <c r="B288" s="5"/>
      <c r="H288" s="16"/>
    </row>
    <row r="289" spans="2:8">
      <c r="B289" s="5"/>
      <c r="H289" s="16"/>
    </row>
    <row r="290" spans="2:8">
      <c r="B290" s="5"/>
      <c r="H290" s="16"/>
    </row>
    <row r="291" spans="2:8">
      <c r="B291" s="5"/>
      <c r="H291" s="16"/>
    </row>
    <row r="292" spans="2:8">
      <c r="B292" s="5"/>
      <c r="H292" s="16"/>
    </row>
    <row r="293" spans="2:8">
      <c r="B293" s="5"/>
      <c r="H293" s="16"/>
    </row>
    <row r="294" spans="2:8">
      <c r="B294" s="5"/>
      <c r="H294" s="16"/>
    </row>
    <row r="295" spans="2:8">
      <c r="B295" s="5"/>
      <c r="H295" s="16"/>
    </row>
    <row r="296" spans="2:8">
      <c r="B296" s="5"/>
      <c r="H296" s="16"/>
    </row>
    <row r="297" spans="2:8">
      <c r="B297" s="5"/>
      <c r="H297" s="16"/>
    </row>
    <row r="298" spans="2:8">
      <c r="B298" s="5"/>
      <c r="H298" s="16"/>
    </row>
    <row r="299" spans="2:8">
      <c r="B299" s="5"/>
      <c r="H299" s="16"/>
    </row>
    <row r="300" spans="2:8">
      <c r="B300" s="5"/>
      <c r="H300" s="16"/>
    </row>
    <row r="301" spans="2:8">
      <c r="B301" s="5"/>
      <c r="H301" s="16"/>
    </row>
    <row r="302" spans="2:8">
      <c r="B302" s="5"/>
      <c r="H302" s="16"/>
    </row>
    <row r="303" spans="2:8">
      <c r="B303" s="5"/>
      <c r="H303" s="16"/>
    </row>
    <row r="304" spans="2:8">
      <c r="B304" s="5"/>
      <c r="H304" s="16"/>
    </row>
    <row r="305" spans="2:8">
      <c r="B305" s="5"/>
      <c r="H305" s="16"/>
    </row>
    <row r="306" spans="2:8">
      <c r="B306" s="5"/>
      <c r="H306" s="16"/>
    </row>
    <row r="307" spans="2:8">
      <c r="B307" s="5"/>
      <c r="H307" s="16"/>
    </row>
    <row r="308" spans="2:8">
      <c r="B308" s="5"/>
      <c r="H308" s="16"/>
    </row>
    <row r="309" spans="2:8">
      <c r="B309" s="5"/>
      <c r="H309" s="16"/>
    </row>
    <row r="310" spans="2:8">
      <c r="B310" s="5"/>
      <c r="H310" s="16"/>
    </row>
    <row r="311" spans="2:8">
      <c r="B311" s="5"/>
      <c r="H311" s="16"/>
    </row>
    <row r="312" spans="2:8">
      <c r="B312" s="5"/>
      <c r="H312" s="16"/>
    </row>
    <row r="313" spans="2:8">
      <c r="B313" s="5"/>
      <c r="H313" s="16"/>
    </row>
    <row r="314" spans="2:8">
      <c r="B314" s="5"/>
      <c r="H314" s="16"/>
    </row>
    <row r="315" spans="2:8">
      <c r="B315" s="5"/>
      <c r="H315" s="16"/>
    </row>
    <row r="316" spans="2:8">
      <c r="B316" s="5"/>
      <c r="H316" s="16"/>
    </row>
    <row r="317" spans="2:8">
      <c r="B317" s="5"/>
      <c r="H317" s="16"/>
    </row>
    <row r="318" spans="2:8">
      <c r="B318" s="5"/>
      <c r="H318" s="16"/>
    </row>
    <row r="319" spans="2:8">
      <c r="B319" s="5"/>
      <c r="H319" s="16"/>
    </row>
    <row r="320" spans="2:8">
      <c r="B320" s="5"/>
      <c r="H320" s="16"/>
    </row>
    <row r="321" spans="2:8">
      <c r="B321" s="5"/>
      <c r="H321" s="16"/>
    </row>
    <row r="322" spans="2:8">
      <c r="B322" s="5"/>
      <c r="H322" s="16"/>
    </row>
    <row r="323" spans="2:8">
      <c r="B323" s="5"/>
      <c r="H323" s="16"/>
    </row>
    <row r="324" spans="2:8">
      <c r="B324" s="5"/>
      <c r="H324" s="16"/>
    </row>
    <row r="325" spans="2:8">
      <c r="B325" s="5"/>
      <c r="H325" s="16"/>
    </row>
    <row r="326" spans="2:8">
      <c r="B326" s="5"/>
      <c r="H326" s="16"/>
    </row>
    <row r="327" spans="2:8">
      <c r="B327" s="5"/>
      <c r="H327" s="16"/>
    </row>
    <row r="328" spans="2:8">
      <c r="B328" s="5"/>
      <c r="H328" s="16"/>
    </row>
    <row r="329" spans="2:8">
      <c r="B329" s="5"/>
      <c r="H329" s="16"/>
    </row>
    <row r="330" spans="2:8">
      <c r="B330" s="5"/>
      <c r="H330" s="16"/>
    </row>
    <row r="331" spans="2:8">
      <c r="B331" s="5"/>
      <c r="H331" s="16"/>
    </row>
    <row r="332" spans="2:8">
      <c r="B332" s="5"/>
      <c r="H332" s="16"/>
    </row>
    <row r="333" spans="2:8">
      <c r="B333" s="5"/>
      <c r="H333" s="16"/>
    </row>
    <row r="334" spans="2:8">
      <c r="B334" s="5"/>
      <c r="H334" s="16"/>
    </row>
    <row r="335" spans="2:8">
      <c r="B335" s="5"/>
      <c r="H335" s="16"/>
    </row>
    <row r="336" spans="2:8">
      <c r="B336" s="5"/>
      <c r="H336" s="16"/>
    </row>
    <row r="337" spans="2:8">
      <c r="B337" s="5"/>
      <c r="H337" s="16"/>
    </row>
    <row r="338" spans="2:8">
      <c r="B338" s="5"/>
      <c r="H338" s="16"/>
    </row>
    <row r="339" spans="2:8">
      <c r="B339" s="5"/>
      <c r="H339" s="16"/>
    </row>
    <row r="340" spans="2:8">
      <c r="B340" s="5"/>
      <c r="H340" s="16"/>
    </row>
    <row r="341" spans="2:8">
      <c r="B341" s="5"/>
      <c r="H341" s="16"/>
    </row>
    <row r="342" spans="2:8">
      <c r="B342" s="5"/>
      <c r="H342" s="16"/>
    </row>
    <row r="343" spans="2:8">
      <c r="B343" s="5"/>
      <c r="H343" s="16"/>
    </row>
    <row r="344" spans="2:8">
      <c r="B344" s="5"/>
      <c r="H344" s="16"/>
    </row>
    <row r="345" spans="2:8">
      <c r="B345" s="5"/>
      <c r="H345" s="16"/>
    </row>
    <row r="346" spans="2:8">
      <c r="B346" s="5"/>
      <c r="H346" s="16"/>
    </row>
    <row r="347" spans="2:8">
      <c r="B347" s="5"/>
      <c r="H347" s="16"/>
    </row>
    <row r="348" spans="2:8">
      <c r="B348" s="5"/>
      <c r="H348" s="16"/>
    </row>
    <row r="349" spans="2:8">
      <c r="B349" s="5"/>
      <c r="H349" s="16"/>
    </row>
    <row r="350" spans="2:8">
      <c r="B350" s="5"/>
      <c r="H350" s="16"/>
    </row>
    <row r="351" spans="2:8">
      <c r="B351" s="5"/>
      <c r="H351" s="16"/>
    </row>
    <row r="352" spans="2:8">
      <c r="B352" s="5"/>
      <c r="H352" s="16"/>
    </row>
    <row r="353" spans="2:8">
      <c r="B353" s="5"/>
      <c r="H353" s="16"/>
    </row>
    <row r="354" spans="2:8">
      <c r="B354" s="5"/>
      <c r="H354" s="16"/>
    </row>
    <row r="355" spans="2:8">
      <c r="B355" s="5"/>
      <c r="H355" s="16"/>
    </row>
    <row r="356" spans="2:8">
      <c r="B356" s="5"/>
      <c r="H356" s="16"/>
    </row>
    <row r="357" spans="2:8">
      <c r="B357" s="5"/>
      <c r="H357" s="16"/>
    </row>
    <row r="358" spans="2:8">
      <c r="B358" s="5"/>
      <c r="H358" s="16"/>
    </row>
    <row r="359" spans="2:8">
      <c r="B359" s="5"/>
      <c r="H359" s="16"/>
    </row>
    <row r="360" spans="2:8">
      <c r="B360" s="5"/>
      <c r="H360" s="16"/>
    </row>
    <row r="361" spans="2:8">
      <c r="B361" s="5"/>
      <c r="H361" s="16"/>
    </row>
    <row r="362" spans="2:8">
      <c r="B362" s="5"/>
      <c r="H362" s="16"/>
    </row>
    <row r="363" spans="2:8">
      <c r="B363" s="5"/>
      <c r="H363" s="16"/>
    </row>
    <row r="364" spans="2:8">
      <c r="B364" s="5"/>
      <c r="H364" s="16"/>
    </row>
    <row r="365" spans="2:8">
      <c r="B365" s="5"/>
      <c r="H365" s="16"/>
    </row>
    <row r="366" spans="2:8">
      <c r="B366" s="5"/>
      <c r="H366" s="16"/>
    </row>
    <row r="367" spans="2:8">
      <c r="B367" s="5"/>
      <c r="H367" s="16"/>
    </row>
    <row r="368" spans="2:8">
      <c r="B368" s="5"/>
      <c r="H368" s="16"/>
    </row>
    <row r="369" spans="2:8">
      <c r="B369" s="5"/>
      <c r="H369" s="16"/>
    </row>
    <row r="370" spans="2:8">
      <c r="B370" s="5"/>
      <c r="H370" s="16"/>
    </row>
    <row r="371" spans="2:8">
      <c r="B371" s="5"/>
      <c r="H371" s="16"/>
    </row>
    <row r="372" spans="2:8">
      <c r="B372" s="5"/>
      <c r="H372" s="16"/>
    </row>
    <row r="373" spans="2:8">
      <c r="B373" s="5"/>
      <c r="H373" s="16"/>
    </row>
    <row r="374" spans="2:8">
      <c r="B374" s="5"/>
      <c r="H374" s="16"/>
    </row>
    <row r="375" spans="2:8">
      <c r="B375" s="5"/>
      <c r="H375" s="16"/>
    </row>
    <row r="376" spans="2:8">
      <c r="B376" s="5"/>
      <c r="H376" s="16"/>
    </row>
    <row r="377" spans="2:8">
      <c r="B377" s="5"/>
      <c r="H377" s="16"/>
    </row>
    <row r="378" spans="2:8">
      <c r="B378" s="5"/>
      <c r="H378" s="16"/>
    </row>
    <row r="379" spans="2:8">
      <c r="B379" s="5"/>
      <c r="H379" s="16"/>
    </row>
    <row r="380" spans="2:8">
      <c r="B380" s="5"/>
      <c r="H380" s="16"/>
    </row>
    <row r="381" spans="2:8">
      <c r="B381" s="5"/>
      <c r="H381" s="16"/>
    </row>
    <row r="382" spans="2:8">
      <c r="B382" s="5"/>
      <c r="H382" s="16"/>
    </row>
    <row r="383" spans="2:8">
      <c r="B383" s="5"/>
      <c r="H383" s="16"/>
    </row>
    <row r="384" spans="2:8">
      <c r="B384" s="5"/>
      <c r="H384" s="16"/>
    </row>
    <row r="385" spans="2:8">
      <c r="B385" s="5"/>
      <c r="H385" s="16"/>
    </row>
    <row r="386" spans="2:8">
      <c r="B386" s="5"/>
      <c r="H386" s="16"/>
    </row>
    <row r="387" spans="2:8">
      <c r="B387" s="5"/>
      <c r="H387" s="16"/>
    </row>
    <row r="388" spans="2:8">
      <c r="B388" s="5"/>
      <c r="H388" s="16"/>
    </row>
    <row r="389" spans="2:8">
      <c r="B389" s="5"/>
      <c r="H389" s="16"/>
    </row>
    <row r="390" spans="2:8">
      <c r="B390" s="5"/>
      <c r="H390" s="16"/>
    </row>
    <row r="391" spans="2:8">
      <c r="B391" s="5"/>
      <c r="H391" s="16"/>
    </row>
    <row r="392" spans="2:8">
      <c r="B392" s="5"/>
      <c r="H392" s="16"/>
    </row>
    <row r="393" spans="2:8">
      <c r="B393" s="5"/>
      <c r="H393" s="16"/>
    </row>
    <row r="394" spans="2:8">
      <c r="B394" s="5"/>
      <c r="H394" s="16"/>
    </row>
    <row r="395" spans="2:8">
      <c r="B395" s="5"/>
      <c r="H395" s="16"/>
    </row>
    <row r="396" spans="2:8">
      <c r="B396" s="5"/>
      <c r="H396" s="16"/>
    </row>
    <row r="397" spans="2:8">
      <c r="B397" s="5"/>
      <c r="H397" s="16"/>
    </row>
    <row r="398" spans="2:8">
      <c r="B398" s="5"/>
      <c r="H398" s="16"/>
    </row>
    <row r="399" spans="2:8">
      <c r="B399" s="5"/>
      <c r="H399" s="16"/>
    </row>
    <row r="400" spans="2:8">
      <c r="B400" s="5"/>
      <c r="H400" s="16"/>
    </row>
    <row r="401" spans="2:8">
      <c r="B401" s="5"/>
      <c r="H401" s="16"/>
    </row>
    <row r="402" spans="2:8">
      <c r="B402" s="5"/>
      <c r="H402" s="16"/>
    </row>
    <row r="403" spans="2:8">
      <c r="B403" s="5"/>
      <c r="H403" s="16"/>
    </row>
    <row r="404" spans="2:8">
      <c r="B404" s="5"/>
      <c r="H404" s="16"/>
    </row>
    <row r="405" spans="2:8">
      <c r="B405" s="5"/>
      <c r="H405" s="16"/>
    </row>
    <row r="406" spans="2:8">
      <c r="B406" s="5"/>
      <c r="H406" s="16"/>
    </row>
    <row r="407" spans="2:8">
      <c r="B407" s="5"/>
      <c r="H407" s="16"/>
    </row>
    <row r="408" spans="2:8">
      <c r="B408" s="5"/>
      <c r="H408" s="16"/>
    </row>
    <row r="409" spans="2:8">
      <c r="B409" s="5"/>
      <c r="H409" s="16"/>
    </row>
    <row r="410" spans="2:8">
      <c r="B410" s="5"/>
      <c r="H410" s="16"/>
    </row>
    <row r="411" spans="2:8">
      <c r="B411" s="5"/>
      <c r="H411" s="16"/>
    </row>
    <row r="412" spans="2:8">
      <c r="B412" s="5"/>
      <c r="H412" s="16"/>
    </row>
    <row r="413" spans="2:8">
      <c r="B413" s="5"/>
      <c r="H413" s="16"/>
    </row>
    <row r="414" spans="2:8">
      <c r="B414" s="5"/>
      <c r="H414" s="16"/>
    </row>
    <row r="415" spans="2:8">
      <c r="B415" s="5"/>
      <c r="H415" s="16"/>
    </row>
    <row r="416" spans="2:8">
      <c r="B416" s="5"/>
      <c r="H416" s="16"/>
    </row>
    <row r="417" spans="2:8">
      <c r="B417" s="5"/>
      <c r="H417" s="16"/>
    </row>
    <row r="418" spans="2:8">
      <c r="B418" s="5"/>
      <c r="H418" s="16"/>
    </row>
    <row r="419" spans="2:8">
      <c r="B419" s="5"/>
      <c r="H419" s="16"/>
    </row>
    <row r="420" spans="2:8">
      <c r="B420" s="5"/>
      <c r="H420" s="16"/>
    </row>
    <row r="421" spans="2:8">
      <c r="B421" s="5"/>
      <c r="H421" s="16"/>
    </row>
    <row r="422" spans="2:8">
      <c r="B422" s="5"/>
      <c r="H422" s="16"/>
    </row>
    <row r="423" spans="2:8">
      <c r="B423" s="5"/>
      <c r="H423" s="16"/>
    </row>
    <row r="424" spans="2:8">
      <c r="B424" s="5"/>
      <c r="H424" s="16"/>
    </row>
    <row r="425" spans="2:8">
      <c r="B425" s="5"/>
      <c r="H425" s="16"/>
    </row>
    <row r="426" spans="2:8">
      <c r="B426" s="5"/>
      <c r="H426" s="16"/>
    </row>
    <row r="427" spans="2:8">
      <c r="B427" s="5"/>
      <c r="H427" s="16"/>
    </row>
    <row r="428" spans="2:8">
      <c r="B428" s="5"/>
      <c r="H428" s="16"/>
    </row>
    <row r="429" spans="2:8">
      <c r="B429" s="5"/>
      <c r="H429" s="16"/>
    </row>
    <row r="430" spans="2:8">
      <c r="B430" s="5"/>
      <c r="H430" s="16"/>
    </row>
    <row r="431" spans="2:8">
      <c r="B431" s="5"/>
      <c r="H431" s="16"/>
    </row>
    <row r="432" spans="2:8">
      <c r="B432" s="5"/>
      <c r="H432" s="16"/>
    </row>
    <row r="433" spans="2:8">
      <c r="B433" s="5"/>
      <c r="H433" s="16"/>
    </row>
    <row r="434" spans="2:8">
      <c r="B434" s="5"/>
      <c r="H434" s="16"/>
    </row>
    <row r="435" spans="2:8">
      <c r="B435" s="5"/>
      <c r="H435" s="16"/>
    </row>
    <row r="436" spans="2:8">
      <c r="B436" s="5"/>
      <c r="H436" s="16"/>
    </row>
    <row r="437" spans="2:8">
      <c r="B437" s="5"/>
      <c r="H437" s="16"/>
    </row>
    <row r="438" spans="2:8">
      <c r="B438" s="5"/>
      <c r="H438" s="16"/>
    </row>
    <row r="439" spans="2:8">
      <c r="B439" s="5"/>
      <c r="H439" s="16"/>
    </row>
    <row r="440" spans="2:8">
      <c r="B440" s="5"/>
      <c r="H440" s="16"/>
    </row>
    <row r="441" spans="2:8">
      <c r="B441" s="5"/>
      <c r="H441" s="16"/>
    </row>
    <row r="442" spans="2:8">
      <c r="B442" s="5"/>
      <c r="H442" s="16"/>
    </row>
    <row r="443" spans="2:8">
      <c r="B443" s="5"/>
      <c r="H443" s="16"/>
    </row>
    <row r="444" spans="2:8">
      <c r="B444" s="5"/>
      <c r="H444" s="16"/>
    </row>
    <row r="445" spans="2:8">
      <c r="B445" s="5"/>
      <c r="H445" s="16"/>
    </row>
    <row r="446" spans="2:8">
      <c r="B446" s="5"/>
      <c r="H446" s="16"/>
    </row>
    <row r="447" spans="2:8">
      <c r="B447" s="5"/>
      <c r="H447" s="16"/>
    </row>
    <row r="448" spans="2:8">
      <c r="B448" s="5"/>
      <c r="H448" s="16"/>
    </row>
    <row r="449" spans="2:8">
      <c r="B449" s="5"/>
      <c r="H449" s="16"/>
    </row>
    <row r="450" spans="2:8">
      <c r="B450" s="5"/>
      <c r="H450" s="16"/>
    </row>
    <row r="451" spans="2:8">
      <c r="B451" s="5"/>
      <c r="H451" s="16"/>
    </row>
    <row r="452" spans="2:8">
      <c r="B452" s="5"/>
      <c r="H452" s="16"/>
    </row>
    <row r="453" spans="2:8">
      <c r="B453" s="5"/>
      <c r="H453" s="16"/>
    </row>
    <row r="454" spans="2:8">
      <c r="B454" s="5"/>
      <c r="H454" s="16"/>
    </row>
    <row r="455" spans="2:8">
      <c r="B455" s="5"/>
      <c r="H455" s="16"/>
    </row>
    <row r="456" spans="2:8">
      <c r="B456" s="5"/>
      <c r="H456" s="16"/>
    </row>
    <row r="457" spans="2:8">
      <c r="B457" s="5"/>
      <c r="H457" s="16"/>
    </row>
    <row r="458" spans="2:8">
      <c r="B458" s="5"/>
      <c r="H458" s="16"/>
    </row>
    <row r="459" spans="2:8">
      <c r="B459" s="5"/>
      <c r="H459" s="16"/>
    </row>
    <row r="460" spans="2:8">
      <c r="B460" s="5"/>
      <c r="H460" s="16"/>
    </row>
    <row r="461" spans="2:8">
      <c r="B461" s="5"/>
      <c r="H461" s="16"/>
    </row>
    <row r="462" spans="2:8">
      <c r="B462" s="5"/>
      <c r="H462" s="16"/>
    </row>
    <row r="463" spans="2:8">
      <c r="B463" s="5"/>
      <c r="H463" s="16"/>
    </row>
    <row r="464" spans="2:8">
      <c r="B464" s="5"/>
      <c r="H464" s="16"/>
    </row>
    <row r="465" spans="2:8">
      <c r="B465" s="5"/>
      <c r="H465" s="16"/>
    </row>
    <row r="466" spans="2:8">
      <c r="B466" s="5"/>
      <c r="H466" s="16"/>
    </row>
    <row r="467" spans="2:8">
      <c r="B467" s="5"/>
      <c r="H467" s="16"/>
    </row>
    <row r="468" spans="2:8">
      <c r="B468" s="5"/>
      <c r="H468" s="16"/>
    </row>
    <row r="469" spans="2:8">
      <c r="B469" s="5"/>
      <c r="H469" s="16"/>
    </row>
    <row r="470" spans="2:8">
      <c r="B470" s="5"/>
      <c r="H470" s="16"/>
    </row>
    <row r="471" spans="2:8">
      <c r="B471" s="5"/>
      <c r="H471" s="16"/>
    </row>
    <row r="472" spans="2:8">
      <c r="B472" s="5"/>
      <c r="H472" s="16"/>
    </row>
    <row r="473" spans="2:8">
      <c r="B473" s="5"/>
      <c r="H473" s="16"/>
    </row>
    <row r="474" spans="2:8">
      <c r="B474" s="5"/>
      <c r="H474" s="16"/>
    </row>
    <row r="475" spans="2:8">
      <c r="B475" s="5"/>
      <c r="H475" s="16"/>
    </row>
    <row r="476" spans="2:8">
      <c r="B476" s="5"/>
      <c r="H476" s="16"/>
    </row>
    <row r="477" spans="2:8">
      <c r="B477" s="5"/>
      <c r="H477" s="16"/>
    </row>
    <row r="478" spans="2:8">
      <c r="B478" s="5"/>
      <c r="H478" s="16"/>
    </row>
    <row r="479" spans="2:8">
      <c r="B479" s="5"/>
      <c r="H479" s="16"/>
    </row>
    <row r="480" spans="2:8">
      <c r="B480" s="5"/>
      <c r="H480" s="16"/>
    </row>
    <row r="481" spans="2:8">
      <c r="B481" s="5"/>
      <c r="H481" s="16"/>
    </row>
    <row r="482" spans="2:8">
      <c r="B482" s="5"/>
      <c r="H482" s="16"/>
    </row>
    <row r="483" spans="2:8">
      <c r="B483" s="5"/>
      <c r="H483" s="16"/>
    </row>
    <row r="484" spans="2:8">
      <c r="B484" s="5"/>
      <c r="H484" s="16"/>
    </row>
    <row r="485" spans="2:8">
      <c r="B485" s="5"/>
      <c r="H485" s="16"/>
    </row>
    <row r="486" spans="2:8">
      <c r="B486" s="5"/>
      <c r="H486" s="16"/>
    </row>
    <row r="487" spans="2:8">
      <c r="B487" s="5"/>
      <c r="H487" s="16"/>
    </row>
    <row r="488" spans="2:8">
      <c r="B488" s="5"/>
      <c r="H488" s="16"/>
    </row>
    <row r="489" spans="2:8">
      <c r="B489" s="5"/>
      <c r="H489" s="16"/>
    </row>
    <row r="490" spans="2:8">
      <c r="B490" s="5"/>
      <c r="H490" s="16"/>
    </row>
    <row r="491" spans="2:8">
      <c r="B491" s="5"/>
      <c r="H491" s="16"/>
    </row>
    <row r="492" spans="2:8">
      <c r="B492" s="5"/>
      <c r="H492" s="16"/>
    </row>
    <row r="493" spans="2:8">
      <c r="B493" s="5"/>
      <c r="H493" s="16"/>
    </row>
    <row r="494" spans="2:8">
      <c r="B494" s="5"/>
      <c r="H494" s="16"/>
    </row>
    <row r="495" spans="2:8">
      <c r="B495" s="5"/>
      <c r="H495" s="16"/>
    </row>
    <row r="496" spans="2:8">
      <c r="B496" s="5"/>
      <c r="H496" s="16"/>
    </row>
    <row r="497" spans="2:8">
      <c r="B497" s="5"/>
      <c r="H497" s="16"/>
    </row>
    <row r="498" spans="2:8">
      <c r="B498" s="5"/>
      <c r="H498" s="16"/>
    </row>
    <row r="499" spans="2:8">
      <c r="B499" s="5"/>
      <c r="H499" s="16"/>
    </row>
    <row r="500" spans="2:8">
      <c r="B500" s="5"/>
      <c r="H500" s="16"/>
    </row>
    <row r="501" spans="2:8">
      <c r="B501" s="5"/>
      <c r="H501" s="16"/>
    </row>
    <row r="502" spans="2:8">
      <c r="B502" s="5"/>
      <c r="H502" s="16"/>
    </row>
    <row r="503" spans="2:8">
      <c r="B503" s="5"/>
      <c r="H503" s="16"/>
    </row>
    <row r="504" spans="2:8">
      <c r="B504" s="5"/>
      <c r="H504" s="16"/>
    </row>
    <row r="505" spans="2:8">
      <c r="B505" s="5"/>
      <c r="H505" s="16"/>
    </row>
    <row r="506" spans="2:8">
      <c r="B506" s="5"/>
      <c r="H506" s="16"/>
    </row>
    <row r="507" spans="2:8">
      <c r="B507" s="5"/>
      <c r="H507" s="16"/>
    </row>
    <row r="508" spans="2:8">
      <c r="B508" s="5"/>
      <c r="H508" s="16"/>
    </row>
    <row r="509" spans="2:8">
      <c r="B509" s="5"/>
      <c r="H509" s="16"/>
    </row>
    <row r="510" spans="2:8">
      <c r="B510" s="5"/>
      <c r="H510" s="16"/>
    </row>
    <row r="511" spans="2:8">
      <c r="B511" s="5"/>
      <c r="H511" s="16"/>
    </row>
    <row r="512" spans="2:8">
      <c r="B512" s="5"/>
      <c r="H512" s="16"/>
    </row>
    <row r="513" spans="2:8">
      <c r="B513" s="5"/>
      <c r="H513" s="16"/>
    </row>
    <row r="514" spans="2:8">
      <c r="B514" s="5"/>
      <c r="H514" s="16"/>
    </row>
    <row r="515" spans="2:8">
      <c r="B515" s="5"/>
      <c r="H515" s="16"/>
    </row>
    <row r="516" spans="2:8">
      <c r="B516" s="5"/>
      <c r="H516" s="16"/>
    </row>
    <row r="517" spans="2:8">
      <c r="B517" s="5"/>
      <c r="H517" s="16"/>
    </row>
    <row r="518" spans="2:8">
      <c r="B518" s="5"/>
      <c r="H518" s="16"/>
    </row>
    <row r="519" spans="2:8">
      <c r="B519" s="5"/>
      <c r="H519" s="16"/>
    </row>
    <row r="520" spans="2:8">
      <c r="B520" s="5"/>
      <c r="H520" s="16"/>
    </row>
    <row r="521" spans="2:8">
      <c r="B521" s="5"/>
      <c r="H521" s="16"/>
    </row>
    <row r="522" spans="2:8">
      <c r="B522" s="5"/>
      <c r="H522" s="16"/>
    </row>
    <row r="523" spans="2:8">
      <c r="B523" s="5"/>
      <c r="H523" s="16"/>
    </row>
    <row r="524" spans="2:8">
      <c r="B524" s="5"/>
      <c r="H524" s="16"/>
    </row>
    <row r="525" spans="2:8">
      <c r="B525" s="5"/>
      <c r="H525" s="16"/>
    </row>
    <row r="526" spans="2:8">
      <c r="B526" s="5"/>
      <c r="H526" s="16"/>
    </row>
    <row r="527" spans="2:8">
      <c r="B527" s="5"/>
      <c r="H527" s="16"/>
    </row>
    <row r="528" spans="2:8">
      <c r="B528" s="5"/>
      <c r="H528" s="16"/>
    </row>
    <row r="529" spans="2:8">
      <c r="B529" s="5"/>
      <c r="H529" s="16"/>
    </row>
    <row r="530" spans="2:8">
      <c r="B530" s="5"/>
      <c r="H530" s="16"/>
    </row>
    <row r="531" spans="2:8">
      <c r="B531" s="5"/>
      <c r="H531" s="16"/>
    </row>
    <row r="532" spans="2:8">
      <c r="B532" s="5"/>
      <c r="H532" s="16"/>
    </row>
    <row r="533" spans="2:8">
      <c r="B533" s="5"/>
      <c r="H533" s="16"/>
    </row>
    <row r="534" spans="2:8">
      <c r="B534" s="5"/>
      <c r="H534" s="16"/>
    </row>
    <row r="535" spans="2:8">
      <c r="B535" s="5"/>
      <c r="H535" s="16"/>
    </row>
    <row r="536" spans="2:8">
      <c r="B536" s="5"/>
      <c r="H536" s="16"/>
    </row>
    <row r="537" spans="2:8">
      <c r="B537" s="5"/>
      <c r="H537" s="16"/>
    </row>
    <row r="538" spans="2:8">
      <c r="B538" s="5"/>
      <c r="H538" s="16"/>
    </row>
    <row r="539" spans="2:8">
      <c r="B539" s="5"/>
      <c r="H539" s="16"/>
    </row>
    <row r="540" spans="2:8">
      <c r="B540" s="5"/>
      <c r="H540" s="16"/>
    </row>
    <row r="541" spans="2:8">
      <c r="B541" s="5"/>
      <c r="H541" s="16"/>
    </row>
    <row r="542" spans="2:8">
      <c r="B542" s="5"/>
      <c r="H542" s="16"/>
    </row>
    <row r="543" spans="2:8">
      <c r="B543" s="5"/>
      <c r="H543" s="16"/>
    </row>
    <row r="544" spans="2:8">
      <c r="B544" s="5"/>
      <c r="H544" s="16"/>
    </row>
    <row r="545" spans="2:8">
      <c r="B545" s="5"/>
      <c r="H545" s="16"/>
    </row>
    <row r="546" spans="2:8">
      <c r="B546" s="5"/>
      <c r="H546" s="16"/>
    </row>
    <row r="547" spans="2:8">
      <c r="B547" s="5"/>
      <c r="H547" s="16"/>
    </row>
    <row r="548" spans="2:8">
      <c r="B548" s="5"/>
      <c r="H548" s="16"/>
    </row>
    <row r="549" spans="2:8">
      <c r="B549" s="5"/>
      <c r="H549" s="16"/>
    </row>
    <row r="550" spans="2:8">
      <c r="B550" s="5"/>
      <c r="H550" s="16"/>
    </row>
    <row r="551" spans="2:8">
      <c r="B551" s="5"/>
      <c r="H551" s="16"/>
    </row>
    <row r="552" spans="2:8">
      <c r="B552" s="5"/>
      <c r="H552" s="16"/>
    </row>
    <row r="553" spans="2:8">
      <c r="B553" s="5"/>
      <c r="H553" s="16"/>
    </row>
    <row r="554" spans="2:8">
      <c r="B554" s="5"/>
      <c r="H554" s="16"/>
    </row>
    <row r="555" spans="2:8">
      <c r="B555" s="5"/>
      <c r="H555" s="16"/>
    </row>
    <row r="556" spans="2:8">
      <c r="B556" s="5"/>
      <c r="H556" s="16"/>
    </row>
    <row r="557" spans="2:8">
      <c r="B557" s="5"/>
      <c r="H557" s="16"/>
    </row>
    <row r="558" spans="2:8">
      <c r="B558" s="5"/>
      <c r="H558" s="16"/>
    </row>
    <row r="559" spans="2:8">
      <c r="B559" s="5"/>
      <c r="H559" s="16"/>
    </row>
    <row r="560" spans="2:8">
      <c r="B560" s="5"/>
      <c r="H560" s="16"/>
    </row>
    <row r="561" spans="2:8">
      <c r="B561" s="5"/>
      <c r="H561" s="16"/>
    </row>
    <row r="562" spans="2:8">
      <c r="B562" s="5"/>
      <c r="H562" s="16"/>
    </row>
    <row r="563" spans="2:8">
      <c r="B563" s="5"/>
      <c r="H563" s="16"/>
    </row>
    <row r="564" spans="2:8">
      <c r="B564" s="5"/>
      <c r="H564" s="16"/>
    </row>
    <row r="565" spans="2:8">
      <c r="B565" s="5"/>
      <c r="H565" s="16"/>
    </row>
    <row r="566" spans="2:8">
      <c r="B566" s="5"/>
      <c r="H566" s="16"/>
    </row>
    <row r="567" spans="2:8">
      <c r="B567" s="5"/>
      <c r="H567" s="16"/>
    </row>
    <row r="568" spans="2:8">
      <c r="B568" s="5"/>
      <c r="H568" s="16"/>
    </row>
    <row r="569" spans="2:8">
      <c r="B569" s="5"/>
      <c r="H569" s="16"/>
    </row>
    <row r="570" spans="2:8">
      <c r="B570" s="5"/>
      <c r="H570" s="16"/>
    </row>
    <row r="571" spans="2:8">
      <c r="B571" s="5"/>
      <c r="H571" s="16"/>
    </row>
    <row r="572" spans="2:8">
      <c r="B572" s="5"/>
      <c r="H572" s="16"/>
    </row>
    <row r="573" spans="2:8">
      <c r="B573" s="5"/>
      <c r="H573" s="16"/>
    </row>
    <row r="574" spans="2:8">
      <c r="B574" s="5"/>
      <c r="H574" s="16"/>
    </row>
    <row r="575" spans="2:8">
      <c r="B575" s="5"/>
      <c r="H575" s="16"/>
    </row>
    <row r="576" spans="2:8">
      <c r="B576" s="5"/>
      <c r="H576" s="16"/>
    </row>
    <row r="577" spans="2:8">
      <c r="B577" s="5"/>
      <c r="H577" s="16"/>
    </row>
    <row r="578" spans="2:8">
      <c r="B578" s="5"/>
      <c r="H578" s="16"/>
    </row>
    <row r="579" spans="2:8">
      <c r="B579" s="5"/>
      <c r="H579" s="16"/>
    </row>
    <row r="580" spans="2:8">
      <c r="B580" s="5"/>
      <c r="H580" s="16"/>
    </row>
    <row r="581" spans="2:8">
      <c r="B581" s="5"/>
      <c r="H581" s="16"/>
    </row>
    <row r="582" spans="2:8">
      <c r="B582" s="5"/>
      <c r="H582" s="16"/>
    </row>
    <row r="583" spans="2:8">
      <c r="B583" s="5"/>
      <c r="H583" s="16"/>
    </row>
    <row r="584" spans="2:8">
      <c r="B584" s="5"/>
      <c r="H584" s="16"/>
    </row>
    <row r="585" spans="2:8">
      <c r="B585" s="5"/>
      <c r="H585" s="16"/>
    </row>
    <row r="586" spans="2:8">
      <c r="B586" s="5"/>
      <c r="H586" s="16"/>
    </row>
    <row r="587" spans="2:8">
      <c r="B587" s="5"/>
      <c r="H587" s="16"/>
    </row>
    <row r="588" spans="2:8">
      <c r="B588" s="5"/>
      <c r="H588" s="16"/>
    </row>
    <row r="589" spans="2:8">
      <c r="B589" s="5"/>
      <c r="H589" s="16"/>
    </row>
    <row r="590" spans="2:8">
      <c r="B590" s="5"/>
      <c r="H590" s="16"/>
    </row>
    <row r="591" spans="2:8">
      <c r="B591" s="5"/>
      <c r="H591" s="16"/>
    </row>
    <row r="592" spans="2:8">
      <c r="B592" s="5"/>
      <c r="H592" s="16"/>
    </row>
    <row r="593" spans="2:8">
      <c r="B593" s="5"/>
      <c r="H593" s="16"/>
    </row>
    <row r="594" spans="2:8">
      <c r="B594" s="5"/>
      <c r="H594" s="16"/>
    </row>
    <row r="595" spans="2:8">
      <c r="B595" s="5"/>
      <c r="H595" s="16"/>
    </row>
    <row r="596" spans="2:8">
      <c r="B596" s="5"/>
      <c r="H596" s="16"/>
    </row>
    <row r="597" spans="2:8">
      <c r="B597" s="5"/>
      <c r="H597" s="16"/>
    </row>
    <row r="598" spans="2:8">
      <c r="B598" s="5"/>
      <c r="H598" s="16"/>
    </row>
    <row r="599" spans="2:8">
      <c r="B599" s="5"/>
      <c r="H599" s="16"/>
    </row>
    <row r="600" spans="2:8">
      <c r="B600" s="5"/>
      <c r="H600" s="16"/>
    </row>
    <row r="601" spans="2:8">
      <c r="B601" s="5"/>
      <c r="H601" s="16"/>
    </row>
    <row r="602" spans="2:8">
      <c r="B602" s="5"/>
      <c r="H602" s="16"/>
    </row>
    <row r="603" spans="2:8">
      <c r="B603" s="5"/>
      <c r="H603" s="16"/>
    </row>
    <row r="604" spans="2:8">
      <c r="B604" s="5"/>
      <c r="H604" s="16"/>
    </row>
    <row r="605" spans="2:8">
      <c r="B605" s="5"/>
      <c r="H605" s="16"/>
    </row>
    <row r="606" spans="2:8">
      <c r="B606" s="5"/>
      <c r="H606" s="16"/>
    </row>
    <row r="607" spans="2:8">
      <c r="B607" s="5"/>
      <c r="H607" s="16"/>
    </row>
    <row r="608" spans="2:8">
      <c r="B608" s="5"/>
      <c r="H608" s="16"/>
    </row>
    <row r="609" spans="2:8">
      <c r="B609" s="5"/>
      <c r="H609" s="16"/>
    </row>
    <row r="610" spans="2:8">
      <c r="B610" s="5"/>
      <c r="H610" s="16"/>
    </row>
    <row r="611" spans="2:8">
      <c r="B611" s="5"/>
      <c r="H611" s="16"/>
    </row>
    <row r="612" spans="2:8">
      <c r="B612" s="5"/>
      <c r="H612" s="16"/>
    </row>
    <row r="613" spans="2:8">
      <c r="B613" s="5"/>
      <c r="H613" s="16"/>
    </row>
    <row r="614" spans="2:8">
      <c r="B614" s="5"/>
      <c r="H614" s="16"/>
    </row>
    <row r="615" spans="2:8">
      <c r="B615" s="5"/>
      <c r="H615" s="16"/>
    </row>
    <row r="616" spans="2:8">
      <c r="B616" s="5"/>
      <c r="H616" s="16"/>
    </row>
    <row r="617" spans="2:8">
      <c r="B617" s="5"/>
      <c r="H617" s="16"/>
    </row>
    <row r="618" spans="2:8">
      <c r="B618" s="5"/>
      <c r="H618" s="16"/>
    </row>
    <row r="619" spans="2:8">
      <c r="B619" s="5"/>
      <c r="H619" s="16"/>
    </row>
    <row r="620" spans="2:8">
      <c r="B620" s="5"/>
      <c r="H620" s="16"/>
    </row>
    <row r="621" spans="2:8">
      <c r="B621" s="5"/>
      <c r="H621" s="16"/>
    </row>
    <row r="622" spans="2:8">
      <c r="B622" s="5"/>
      <c r="H622" s="16"/>
    </row>
    <row r="623" spans="2:8">
      <c r="B623" s="5"/>
      <c r="H623" s="16"/>
    </row>
    <row r="624" spans="2:8">
      <c r="B624" s="5"/>
      <c r="H624" s="16"/>
    </row>
    <row r="625" spans="2:8">
      <c r="B625" s="5"/>
      <c r="H625" s="16"/>
    </row>
    <row r="626" spans="2:8">
      <c r="B626" s="5"/>
      <c r="H626" s="16"/>
    </row>
    <row r="627" spans="2:8">
      <c r="B627" s="5"/>
      <c r="H627" s="16"/>
    </row>
    <row r="628" spans="2:8">
      <c r="B628" s="5"/>
      <c r="H628" s="16"/>
    </row>
    <row r="629" spans="2:8">
      <c r="B629" s="5"/>
      <c r="H629" s="16"/>
    </row>
    <row r="630" spans="2:8">
      <c r="B630" s="5"/>
      <c r="H630" s="16"/>
    </row>
    <row r="631" spans="2:8">
      <c r="B631" s="5"/>
      <c r="H631" s="16"/>
    </row>
    <row r="632" spans="2:8">
      <c r="B632" s="5"/>
      <c r="H632" s="16"/>
    </row>
    <row r="633" spans="2:8">
      <c r="B633" s="5"/>
      <c r="H633" s="16"/>
    </row>
    <row r="634" spans="2:8">
      <c r="B634" s="5"/>
      <c r="H634" s="16"/>
    </row>
    <row r="635" spans="2:8">
      <c r="B635" s="5"/>
      <c r="H635" s="16"/>
    </row>
    <row r="636" spans="2:8">
      <c r="B636" s="5"/>
      <c r="H636" s="16"/>
    </row>
    <row r="637" spans="2:8">
      <c r="B637" s="5"/>
      <c r="H637" s="16"/>
    </row>
    <row r="638" spans="2:8">
      <c r="B638" s="5"/>
      <c r="H638" s="16"/>
    </row>
    <row r="639" spans="2:8">
      <c r="B639" s="5"/>
      <c r="H639" s="16"/>
    </row>
    <row r="640" spans="2:8">
      <c r="B640" s="5"/>
      <c r="H640" s="16"/>
    </row>
    <row r="641" spans="2:8">
      <c r="B641" s="5"/>
      <c r="H641" s="16"/>
    </row>
    <row r="642" spans="2:8">
      <c r="B642" s="5"/>
      <c r="H642" s="16"/>
    </row>
    <row r="643" spans="2:8">
      <c r="B643" s="5"/>
      <c r="H643" s="16"/>
    </row>
    <row r="644" spans="2:8">
      <c r="B644" s="5"/>
      <c r="H644" s="16"/>
    </row>
    <row r="645" spans="2:8">
      <c r="B645" s="5"/>
      <c r="H645" s="16"/>
    </row>
    <row r="646" spans="2:8">
      <c r="B646" s="5"/>
      <c r="H646" s="16"/>
    </row>
    <row r="647" spans="2:8">
      <c r="B647" s="5"/>
      <c r="H647" s="16"/>
    </row>
    <row r="648" spans="2:8">
      <c r="B648" s="5"/>
      <c r="H648" s="16"/>
    </row>
    <row r="649" spans="2:8">
      <c r="B649" s="5"/>
      <c r="H649" s="16"/>
    </row>
    <row r="650" spans="2:8">
      <c r="B650" s="5"/>
      <c r="H650" s="16"/>
    </row>
    <row r="651" spans="2:8">
      <c r="B651" s="5"/>
      <c r="H651" s="16"/>
    </row>
    <row r="652" spans="2:8">
      <c r="B652" s="5"/>
      <c r="H652" s="16"/>
    </row>
    <row r="653" spans="2:8">
      <c r="B653" s="5"/>
      <c r="H653" s="16"/>
    </row>
    <row r="654" spans="2:8">
      <c r="B654" s="5"/>
      <c r="H654" s="16"/>
    </row>
    <row r="655" spans="2:8">
      <c r="B655" s="5"/>
      <c r="H655" s="16"/>
    </row>
    <row r="656" spans="2:8">
      <c r="B656" s="5"/>
      <c r="H656" s="16"/>
    </row>
    <row r="657" spans="2:8">
      <c r="B657" s="5"/>
      <c r="H657" s="16"/>
    </row>
    <row r="658" spans="2:8">
      <c r="B658" s="5"/>
      <c r="H658" s="16"/>
    </row>
    <row r="659" spans="2:8">
      <c r="B659" s="5"/>
      <c r="H659" s="16"/>
    </row>
    <row r="660" spans="2:8">
      <c r="B660" s="5"/>
      <c r="H660" s="16"/>
    </row>
    <row r="661" spans="2:8">
      <c r="B661" s="5"/>
      <c r="H661" s="16"/>
    </row>
    <row r="662" spans="2:8">
      <c r="B662" s="5"/>
      <c r="H662" s="16"/>
    </row>
    <row r="663" spans="2:8">
      <c r="B663" s="5"/>
      <c r="H663" s="16"/>
    </row>
    <row r="664" spans="2:8">
      <c r="B664" s="5"/>
      <c r="H664" s="16"/>
    </row>
    <row r="665" spans="2:8">
      <c r="B665" s="5"/>
      <c r="H665" s="16"/>
    </row>
    <row r="666" spans="2:8">
      <c r="B666" s="5"/>
      <c r="H666" s="16"/>
    </row>
    <row r="667" spans="2:8">
      <c r="B667" s="5"/>
      <c r="H667" s="16"/>
    </row>
    <row r="668" spans="2:8">
      <c r="B668" s="5"/>
      <c r="H668" s="16"/>
    </row>
    <row r="669" spans="2:8">
      <c r="B669" s="5"/>
      <c r="H669" s="16"/>
    </row>
    <row r="670" spans="2:8">
      <c r="B670" s="5"/>
      <c r="H670" s="16"/>
    </row>
    <row r="671" spans="2:8">
      <c r="B671" s="5"/>
      <c r="H671" s="16"/>
    </row>
    <row r="672" spans="2:8">
      <c r="B672" s="5"/>
      <c r="H672" s="16"/>
    </row>
    <row r="673" spans="2:8">
      <c r="B673" s="5"/>
      <c r="H673" s="16"/>
    </row>
    <row r="674" spans="2:8">
      <c r="B674" s="5"/>
      <c r="H674" s="16"/>
    </row>
    <row r="675" spans="2:8">
      <c r="B675" s="5"/>
      <c r="H675" s="16"/>
    </row>
    <row r="676" spans="2:8">
      <c r="B676" s="5"/>
      <c r="H676" s="16"/>
    </row>
    <row r="677" spans="2:8">
      <c r="B677" s="5"/>
      <c r="H677" s="16"/>
    </row>
    <row r="678" spans="2:8">
      <c r="B678" s="5"/>
      <c r="H678" s="16"/>
    </row>
    <row r="679" spans="2:8">
      <c r="B679" s="5"/>
      <c r="H679" s="16"/>
    </row>
    <row r="680" spans="2:8">
      <c r="B680" s="5"/>
      <c r="H680" s="16"/>
    </row>
    <row r="681" spans="2:8">
      <c r="B681" s="5"/>
      <c r="H681" s="16"/>
    </row>
    <row r="682" spans="2:8">
      <c r="B682" s="5"/>
      <c r="H682" s="16"/>
    </row>
    <row r="683" spans="2:8">
      <c r="B683" s="5"/>
      <c r="H683" s="16"/>
    </row>
    <row r="684" spans="2:8">
      <c r="B684" s="5"/>
      <c r="H684" s="16"/>
    </row>
    <row r="685" spans="2:8">
      <c r="B685" s="5"/>
      <c r="H685" s="16"/>
    </row>
    <row r="686" spans="2:8">
      <c r="B686" s="5"/>
      <c r="H686" s="16"/>
    </row>
    <row r="687" spans="2:8">
      <c r="B687" s="5"/>
      <c r="H687" s="16"/>
    </row>
    <row r="688" spans="2:8">
      <c r="B688" s="5"/>
      <c r="H688" s="16"/>
    </row>
    <row r="689" spans="2:8">
      <c r="B689" s="5"/>
      <c r="H689" s="16"/>
    </row>
    <row r="690" spans="2:8">
      <c r="B690" s="5"/>
      <c r="H690" s="16"/>
    </row>
    <row r="691" spans="2:8">
      <c r="B691" s="5"/>
      <c r="H691" s="16"/>
    </row>
    <row r="692" spans="2:8">
      <c r="B692" s="5"/>
      <c r="H692" s="16"/>
    </row>
    <row r="693" spans="2:8">
      <c r="B693" s="5"/>
      <c r="H693" s="16"/>
    </row>
    <row r="694" spans="2:8">
      <c r="B694" s="5"/>
      <c r="H694" s="16"/>
    </row>
    <row r="695" spans="2:8">
      <c r="B695" s="5"/>
      <c r="H695" s="16"/>
    </row>
    <row r="696" spans="2:8">
      <c r="B696" s="5"/>
      <c r="H696" s="16"/>
    </row>
    <row r="697" spans="2:8">
      <c r="B697" s="5"/>
      <c r="H697" s="16"/>
    </row>
    <row r="698" spans="2:8">
      <c r="B698" s="5"/>
      <c r="H698" s="16"/>
    </row>
    <row r="699" spans="2:8">
      <c r="B699" s="5"/>
      <c r="H699" s="16"/>
    </row>
    <row r="700" spans="2:8">
      <c r="B700" s="5"/>
      <c r="H700" s="16"/>
    </row>
    <row r="701" spans="2:8">
      <c r="B701" s="5"/>
      <c r="H701" s="16"/>
    </row>
    <row r="702" spans="2:8">
      <c r="B702" s="5"/>
      <c r="H702" s="16"/>
    </row>
    <row r="703" spans="2:8">
      <c r="B703" s="5"/>
      <c r="H703" s="16"/>
    </row>
    <row r="704" spans="2:8">
      <c r="B704" s="5"/>
      <c r="H704" s="16"/>
    </row>
    <row r="705" spans="2:8">
      <c r="B705" s="5"/>
      <c r="H705" s="16"/>
    </row>
    <row r="706" spans="2:8">
      <c r="B706" s="5"/>
      <c r="H706" s="16"/>
    </row>
    <row r="707" spans="2:8">
      <c r="B707" s="5"/>
      <c r="H707" s="16"/>
    </row>
    <row r="708" spans="2:8">
      <c r="B708" s="5"/>
      <c r="H708" s="16"/>
    </row>
    <row r="709" spans="2:8">
      <c r="B709" s="5"/>
      <c r="H709" s="16"/>
    </row>
    <row r="710" spans="2:8">
      <c r="B710" s="5"/>
      <c r="H710" s="16"/>
    </row>
    <row r="711" spans="2:8">
      <c r="B711" s="5"/>
      <c r="H711" s="16"/>
    </row>
    <row r="712" spans="2:8">
      <c r="B712" s="5"/>
      <c r="H712" s="16"/>
    </row>
    <row r="713" spans="2:8">
      <c r="B713" s="5"/>
      <c r="H713" s="16"/>
    </row>
    <row r="714" spans="2:8">
      <c r="B714" s="5"/>
      <c r="H714" s="16"/>
    </row>
    <row r="715" spans="2:8">
      <c r="B715" s="5"/>
      <c r="H715" s="16"/>
    </row>
    <row r="716" spans="2:8">
      <c r="B716" s="5"/>
      <c r="H716" s="16"/>
    </row>
    <row r="717" spans="2:8">
      <c r="B717" s="5"/>
      <c r="H717" s="16"/>
    </row>
    <row r="718" spans="2:8">
      <c r="B718" s="5"/>
      <c r="H718" s="16"/>
    </row>
    <row r="719" spans="2:8">
      <c r="B719" s="5"/>
      <c r="H719" s="16"/>
    </row>
    <row r="720" spans="2:8">
      <c r="B720" s="5"/>
      <c r="H720" s="16"/>
    </row>
    <row r="721" spans="2:8">
      <c r="B721" s="5"/>
      <c r="H721" s="16"/>
    </row>
    <row r="722" spans="2:8">
      <c r="B722" s="5"/>
      <c r="H722" s="16"/>
    </row>
    <row r="723" spans="2:8">
      <c r="B723" s="5"/>
      <c r="H723" s="16"/>
    </row>
    <row r="724" spans="2:8">
      <c r="B724" s="5"/>
      <c r="H724" s="16"/>
    </row>
    <row r="725" spans="2:8">
      <c r="B725" s="5"/>
      <c r="H725" s="16"/>
    </row>
    <row r="726" spans="2:8">
      <c r="B726" s="5"/>
      <c r="H726" s="16"/>
    </row>
    <row r="727" spans="2:8">
      <c r="B727" s="5"/>
      <c r="H727" s="16"/>
    </row>
    <row r="728" spans="2:8">
      <c r="B728" s="5"/>
      <c r="H728" s="16"/>
    </row>
    <row r="729" spans="2:8">
      <c r="B729" s="5"/>
      <c r="H729" s="16"/>
    </row>
    <row r="730" spans="2:8">
      <c r="B730" s="5"/>
      <c r="H730" s="16"/>
    </row>
    <row r="731" spans="2:8">
      <c r="B731" s="5"/>
      <c r="H731" s="16"/>
    </row>
    <row r="732" spans="2:8">
      <c r="B732" s="5"/>
      <c r="H732" s="16"/>
    </row>
    <row r="733" spans="2:8">
      <c r="B733" s="5"/>
      <c r="H733" s="16"/>
    </row>
    <row r="734" spans="2:8">
      <c r="B734" s="5"/>
      <c r="H734" s="16"/>
    </row>
    <row r="735" spans="2:8">
      <c r="B735" s="5"/>
      <c r="H735" s="16"/>
    </row>
    <row r="736" spans="2:8">
      <c r="B736" s="5"/>
      <c r="H736" s="16"/>
    </row>
    <row r="737" spans="2:8">
      <c r="B737" s="5"/>
      <c r="H737" s="16"/>
    </row>
    <row r="738" spans="2:8">
      <c r="B738" s="5"/>
      <c r="H738" s="16"/>
    </row>
    <row r="739" spans="2:8">
      <c r="B739" s="5"/>
      <c r="H739" s="16"/>
    </row>
    <row r="740" spans="2:8">
      <c r="B740" s="5"/>
      <c r="H740" s="16"/>
    </row>
    <row r="741" spans="2:8">
      <c r="B741" s="5"/>
      <c r="H741" s="16"/>
    </row>
    <row r="742" spans="2:8">
      <c r="B742" s="5"/>
      <c r="H742" s="16"/>
    </row>
    <row r="743" spans="2:8">
      <c r="B743" s="5"/>
      <c r="H743" s="16"/>
    </row>
    <row r="744" spans="2:8">
      <c r="B744" s="5"/>
      <c r="H744" s="16"/>
    </row>
    <row r="745" spans="2:8">
      <c r="B745" s="5"/>
      <c r="H745" s="16"/>
    </row>
    <row r="746" spans="2:8">
      <c r="B746" s="5"/>
      <c r="H746" s="16"/>
    </row>
    <row r="747" spans="2:8">
      <c r="B747" s="5"/>
      <c r="H747" s="16"/>
    </row>
    <row r="748" spans="2:8">
      <c r="B748" s="5"/>
      <c r="H748" s="16"/>
    </row>
    <row r="749" spans="2:8">
      <c r="B749" s="5"/>
      <c r="H749" s="16"/>
    </row>
    <row r="750" spans="2:8">
      <c r="B750" s="5"/>
      <c r="H750" s="16"/>
    </row>
    <row r="751" spans="2:8">
      <c r="B751" s="5"/>
      <c r="H751" s="16"/>
    </row>
    <row r="752" spans="2:8">
      <c r="B752" s="5"/>
      <c r="H752" s="16"/>
    </row>
    <row r="753" spans="2:8">
      <c r="B753" s="5"/>
      <c r="H753" s="16"/>
    </row>
    <row r="754" spans="2:8">
      <c r="B754" s="5"/>
      <c r="H754" s="16"/>
    </row>
    <row r="755" spans="2:8">
      <c r="B755" s="5"/>
      <c r="H755" s="16"/>
    </row>
    <row r="756" spans="2:8">
      <c r="B756" s="5"/>
      <c r="H756" s="16"/>
    </row>
    <row r="757" spans="2:8">
      <c r="B757" s="5"/>
      <c r="H757" s="16"/>
    </row>
    <row r="758" spans="2:8">
      <c r="B758" s="5"/>
      <c r="H758" s="16"/>
    </row>
    <row r="759" spans="2:8">
      <c r="B759" s="5"/>
      <c r="H759" s="16"/>
    </row>
    <row r="760" spans="2:8">
      <c r="B760" s="5"/>
      <c r="H760" s="16"/>
    </row>
    <row r="761" spans="2:8">
      <c r="B761" s="5"/>
      <c r="H761" s="16"/>
    </row>
    <row r="762" spans="2:8">
      <c r="B762" s="5"/>
      <c r="H762" s="16"/>
    </row>
    <row r="763" spans="2:8">
      <c r="B763" s="5"/>
      <c r="H763" s="16"/>
    </row>
    <row r="764" spans="2:8">
      <c r="B764" s="5"/>
      <c r="H764" s="16"/>
    </row>
    <row r="765" spans="2:8">
      <c r="B765" s="5"/>
      <c r="H765" s="16"/>
    </row>
    <row r="766" spans="2:8">
      <c r="B766" s="5"/>
      <c r="H766" s="16"/>
    </row>
    <row r="767" spans="2:8">
      <c r="B767" s="5"/>
      <c r="H767" s="16"/>
    </row>
    <row r="768" spans="2:8">
      <c r="B768" s="5"/>
      <c r="H768" s="16"/>
    </row>
    <row r="769" spans="2:8">
      <c r="B769" s="5"/>
      <c r="H769" s="16"/>
    </row>
    <row r="770" spans="2:8">
      <c r="B770" s="5"/>
      <c r="H770" s="16"/>
    </row>
    <row r="771" spans="2:8">
      <c r="B771" s="5"/>
      <c r="H771" s="16"/>
    </row>
    <row r="772" spans="2:8">
      <c r="B772" s="5"/>
      <c r="H772" s="16"/>
    </row>
    <row r="773" spans="2:8">
      <c r="B773" s="5"/>
      <c r="H773" s="16"/>
    </row>
    <row r="774" spans="2:8">
      <c r="B774" s="5"/>
      <c r="H774" s="16"/>
    </row>
    <row r="775" spans="2:8">
      <c r="B775" s="5"/>
      <c r="H775" s="16"/>
    </row>
    <row r="776" spans="2:8">
      <c r="B776" s="5"/>
      <c r="H776" s="16"/>
    </row>
    <row r="777" spans="2:8">
      <c r="B777" s="5"/>
      <c r="H777" s="16"/>
    </row>
    <row r="778" spans="2:8">
      <c r="B778" s="5"/>
      <c r="H778" s="16"/>
    </row>
    <row r="779" spans="2:8">
      <c r="B779" s="5"/>
      <c r="H779" s="16"/>
    </row>
    <row r="780" spans="2:8">
      <c r="B780" s="5"/>
      <c r="H780" s="16"/>
    </row>
    <row r="781" spans="2:8">
      <c r="B781" s="5"/>
      <c r="H781" s="16"/>
    </row>
    <row r="782" spans="2:8">
      <c r="B782" s="5"/>
      <c r="H782" s="16"/>
    </row>
    <row r="783" spans="2:8">
      <c r="B783" s="5"/>
      <c r="H783" s="16"/>
    </row>
    <row r="784" spans="2:8">
      <c r="B784" s="5"/>
      <c r="H784" s="16"/>
    </row>
    <row r="785" spans="2:8">
      <c r="B785" s="5"/>
      <c r="H785" s="16"/>
    </row>
    <row r="786" spans="2:8">
      <c r="B786" s="5"/>
      <c r="H786" s="16"/>
    </row>
    <row r="787" spans="2:8">
      <c r="B787" s="5"/>
      <c r="H787" s="16"/>
    </row>
    <row r="788" spans="2:8">
      <c r="B788" s="5"/>
      <c r="H788" s="16"/>
    </row>
    <row r="789" spans="2:8">
      <c r="B789" s="5"/>
      <c r="H789" s="16"/>
    </row>
    <row r="790" spans="2:8">
      <c r="B790" s="5"/>
      <c r="H790" s="16"/>
    </row>
    <row r="791" spans="2:8">
      <c r="B791" s="5"/>
      <c r="H791" s="16"/>
    </row>
    <row r="792" spans="2:8">
      <c r="B792" s="5"/>
      <c r="H792" s="16"/>
    </row>
    <row r="793" spans="2:8">
      <c r="B793" s="5"/>
      <c r="H793" s="16"/>
    </row>
    <row r="794" spans="2:8">
      <c r="B794" s="5"/>
      <c r="H794" s="16"/>
    </row>
    <row r="795" spans="2:8">
      <c r="B795" s="5"/>
      <c r="H795" s="16"/>
    </row>
    <row r="796" spans="2:8">
      <c r="B796" s="5"/>
      <c r="H796" s="16"/>
    </row>
    <row r="797" spans="2:8">
      <c r="B797" s="5"/>
      <c r="H797" s="16"/>
    </row>
    <row r="798" spans="2:8">
      <c r="B798" s="5"/>
      <c r="H798" s="16"/>
    </row>
    <row r="799" spans="2:8">
      <c r="B799" s="5"/>
      <c r="H799" s="16"/>
    </row>
    <row r="800" spans="2:8">
      <c r="B800" s="5"/>
      <c r="H800" s="16"/>
    </row>
    <row r="801" spans="2:8">
      <c r="B801" s="5"/>
      <c r="H801" s="16"/>
    </row>
    <row r="802" spans="2:8">
      <c r="B802" s="5"/>
      <c r="H802" s="16"/>
    </row>
    <row r="803" spans="2:8">
      <c r="B803" s="5"/>
      <c r="H803" s="16"/>
    </row>
    <row r="804" spans="2:8">
      <c r="B804" s="5"/>
      <c r="H804" s="16"/>
    </row>
    <row r="805" spans="2:8">
      <c r="B805" s="5"/>
      <c r="H805" s="16"/>
    </row>
    <row r="806" spans="2:8">
      <c r="B806" s="5"/>
      <c r="H806" s="16"/>
    </row>
    <row r="807" spans="2:8">
      <c r="B807" s="5"/>
      <c r="H807" s="16"/>
    </row>
    <row r="808" spans="2:8">
      <c r="B808" s="5"/>
      <c r="H808" s="16"/>
    </row>
    <row r="809" spans="2:8">
      <c r="B809" s="5"/>
      <c r="H809" s="16"/>
    </row>
    <row r="810" spans="2:8">
      <c r="B810" s="5"/>
      <c r="H810" s="16"/>
    </row>
    <row r="811" spans="2:8">
      <c r="B811" s="5"/>
      <c r="H811" s="16"/>
    </row>
    <row r="812" spans="2:8">
      <c r="B812" s="5"/>
      <c r="H812" s="16"/>
    </row>
    <row r="813" spans="2:8">
      <c r="B813" s="5"/>
      <c r="H813" s="16"/>
    </row>
    <row r="814" spans="2:8">
      <c r="B814" s="5"/>
      <c r="H814" s="16"/>
    </row>
    <row r="815" spans="2:8">
      <c r="B815" s="5"/>
      <c r="H815" s="16"/>
    </row>
    <row r="816" spans="2:8">
      <c r="B816" s="5"/>
      <c r="H816" s="16"/>
    </row>
    <row r="817" spans="2:8">
      <c r="B817" s="5"/>
      <c r="H817" s="16"/>
    </row>
    <row r="818" spans="2:8">
      <c r="B818" s="5"/>
      <c r="H818" s="16"/>
    </row>
    <row r="819" spans="2:8">
      <c r="B819" s="5"/>
      <c r="H819" s="16"/>
    </row>
    <row r="820" spans="2:8">
      <c r="B820" s="5"/>
      <c r="H820" s="16"/>
    </row>
    <row r="821" spans="2:8">
      <c r="B821" s="5"/>
      <c r="H821" s="16"/>
    </row>
    <row r="822" spans="2:8">
      <c r="B822" s="5"/>
      <c r="H822" s="16"/>
    </row>
    <row r="823" spans="2:8">
      <c r="B823" s="5"/>
      <c r="H823" s="16"/>
    </row>
    <row r="824" spans="2:8">
      <c r="B824" s="5"/>
      <c r="H824" s="16"/>
    </row>
    <row r="825" spans="2:8">
      <c r="B825" s="5"/>
      <c r="H825" s="16"/>
    </row>
    <row r="826" spans="2:8">
      <c r="B826" s="5"/>
      <c r="H826" s="16"/>
    </row>
    <row r="827" spans="2:8">
      <c r="B827" s="5"/>
      <c r="H827" s="16"/>
    </row>
    <row r="828" spans="2:8">
      <c r="B828" s="5"/>
      <c r="H828" s="16"/>
    </row>
    <row r="829" spans="2:8">
      <c r="B829" s="5"/>
      <c r="H829" s="16"/>
    </row>
    <row r="830" spans="2:8">
      <c r="B830" s="5"/>
      <c r="H830" s="16"/>
    </row>
    <row r="831" spans="2:8">
      <c r="B831" s="5"/>
      <c r="H831" s="16"/>
    </row>
    <row r="832" spans="2:8">
      <c r="B832" s="5"/>
      <c r="H832" s="16"/>
    </row>
    <row r="833" spans="2:8">
      <c r="B833" s="5"/>
      <c r="H833" s="16"/>
    </row>
    <row r="834" spans="2:8">
      <c r="B834" s="5"/>
      <c r="H834" s="16"/>
    </row>
    <row r="835" spans="2:8">
      <c r="B835" s="5"/>
      <c r="H835" s="16"/>
    </row>
    <row r="836" spans="2:8">
      <c r="B836" s="5"/>
      <c r="H836" s="16"/>
    </row>
    <row r="837" spans="2:8">
      <c r="B837" s="5"/>
      <c r="H837" s="16"/>
    </row>
    <row r="838" spans="2:8">
      <c r="B838" s="5"/>
      <c r="H838" s="16"/>
    </row>
    <row r="839" spans="2:8">
      <c r="B839" s="5"/>
      <c r="H839" s="16"/>
    </row>
    <row r="840" spans="2:8">
      <c r="B840" s="5"/>
      <c r="H840" s="16"/>
    </row>
    <row r="841" spans="2:8">
      <c r="B841" s="5"/>
      <c r="H841" s="16"/>
    </row>
    <row r="842" spans="2:8">
      <c r="B842" s="5"/>
      <c r="H842" s="16"/>
    </row>
    <row r="843" spans="2:8">
      <c r="B843" s="5"/>
      <c r="H843" s="16"/>
    </row>
    <row r="844" spans="2:8">
      <c r="B844" s="5"/>
      <c r="H844" s="16"/>
    </row>
    <row r="845" spans="2:8">
      <c r="B845" s="5"/>
      <c r="H845" s="16"/>
    </row>
    <row r="846" spans="2:8">
      <c r="B846" s="5"/>
      <c r="H846" s="16"/>
    </row>
    <row r="847" spans="2:8">
      <c r="B847" s="5"/>
      <c r="H847" s="16"/>
    </row>
    <row r="848" spans="2:8">
      <c r="B848" s="5"/>
      <c r="H848" s="16"/>
    </row>
    <row r="849" spans="2:8">
      <c r="B849" s="5"/>
      <c r="H849" s="16"/>
    </row>
    <row r="850" spans="2:8">
      <c r="B850" s="5"/>
      <c r="H850" s="16"/>
    </row>
    <row r="851" spans="2:8">
      <c r="B851" s="5"/>
      <c r="H851" s="16"/>
    </row>
    <row r="852" spans="2:8">
      <c r="B852" s="5"/>
      <c r="H852" s="16"/>
    </row>
    <row r="853" spans="2:8">
      <c r="B853" s="5"/>
      <c r="H853" s="16"/>
    </row>
    <row r="854" spans="2:8">
      <c r="B854" s="5"/>
      <c r="H854" s="16"/>
    </row>
    <row r="855" spans="2:8">
      <c r="B855" s="5"/>
      <c r="H855" s="16"/>
    </row>
    <row r="856" spans="2:8">
      <c r="B856" s="5"/>
      <c r="H856" s="16"/>
    </row>
    <row r="857" spans="2:8">
      <c r="B857" s="5"/>
      <c r="H857" s="16"/>
    </row>
    <row r="858" spans="2:8">
      <c r="B858" s="5"/>
      <c r="H858" s="16"/>
    </row>
    <row r="859" spans="2:8">
      <c r="B859" s="5"/>
      <c r="H859" s="16"/>
    </row>
    <row r="860" spans="2:8">
      <c r="B860" s="5"/>
      <c r="H860" s="16"/>
    </row>
    <row r="861" spans="2:8">
      <c r="B861" s="5"/>
      <c r="H861" s="16"/>
    </row>
    <row r="862" spans="2:8">
      <c r="B862" s="5"/>
      <c r="H862" s="16"/>
    </row>
    <row r="863" spans="2:8">
      <c r="B863" s="5"/>
      <c r="H863" s="16"/>
    </row>
    <row r="864" spans="2:8">
      <c r="B864" s="5"/>
      <c r="H864" s="16"/>
    </row>
    <row r="865" spans="2:8">
      <c r="B865" s="5"/>
      <c r="H865" s="16"/>
    </row>
    <row r="866" spans="2:8">
      <c r="B866" s="5"/>
      <c r="H866" s="16"/>
    </row>
    <row r="867" spans="2:8">
      <c r="B867" s="5"/>
      <c r="H867" s="16"/>
    </row>
    <row r="868" spans="2:8">
      <c r="B868" s="5"/>
      <c r="H868" s="16"/>
    </row>
    <row r="869" spans="2:8">
      <c r="B869" s="5"/>
      <c r="H869" s="16"/>
    </row>
    <row r="870" spans="2:8">
      <c r="B870" s="5"/>
      <c r="H870" s="16"/>
    </row>
    <row r="871" spans="2:8">
      <c r="B871" s="5"/>
      <c r="H871" s="16"/>
    </row>
    <row r="872" spans="2:8">
      <c r="B872" s="5"/>
      <c r="H872" s="16"/>
    </row>
    <row r="873" spans="2:8">
      <c r="B873" s="5"/>
      <c r="H873" s="16"/>
    </row>
    <row r="874" spans="2:8">
      <c r="B874" s="5"/>
      <c r="H874" s="16"/>
    </row>
    <row r="875" spans="2:8">
      <c r="B875" s="5"/>
      <c r="H875" s="16"/>
    </row>
    <row r="876" spans="2:8">
      <c r="B876" s="5"/>
      <c r="H876" s="16"/>
    </row>
    <row r="877" spans="2:8">
      <c r="B877" s="5"/>
      <c r="H877" s="16"/>
    </row>
    <row r="878" spans="2:8">
      <c r="B878" s="5"/>
      <c r="H878" s="16"/>
    </row>
    <row r="879" spans="2:8">
      <c r="B879" s="5"/>
      <c r="H879" s="16"/>
    </row>
    <row r="880" spans="2:8">
      <c r="B880" s="5"/>
      <c r="H880" s="16"/>
    </row>
    <row r="881" spans="2:8">
      <c r="B881" s="5"/>
      <c r="H881" s="16"/>
    </row>
    <row r="882" spans="2:8">
      <c r="B882" s="5"/>
      <c r="H882" s="16"/>
    </row>
    <row r="883" spans="2:8">
      <c r="B883" s="5"/>
      <c r="H883" s="16"/>
    </row>
    <row r="884" spans="2:8">
      <c r="B884" s="5"/>
      <c r="H884" s="16"/>
    </row>
    <row r="885" spans="2:8">
      <c r="B885" s="5"/>
      <c r="H885" s="16"/>
    </row>
    <row r="886" spans="2:8">
      <c r="B886" s="5"/>
      <c r="H886" s="16"/>
    </row>
    <row r="887" spans="2:8">
      <c r="B887" s="5"/>
      <c r="H887" s="16"/>
    </row>
    <row r="888" spans="2:8">
      <c r="B888" s="5"/>
      <c r="H888" s="16"/>
    </row>
    <row r="889" spans="2:8">
      <c r="B889" s="5"/>
      <c r="H889" s="16"/>
    </row>
    <row r="890" spans="2:8">
      <c r="B890" s="5"/>
      <c r="H890" s="16"/>
    </row>
    <row r="891" spans="2:8">
      <c r="B891" s="5"/>
      <c r="H891" s="16"/>
    </row>
  </sheetData>
  <mergeCells count="23">
    <mergeCell ref="C49:F49"/>
    <mergeCell ref="C44:F44"/>
    <mergeCell ref="C45:F45"/>
    <mergeCell ref="C46:F46"/>
    <mergeCell ref="C47:F47"/>
    <mergeCell ref="C48:F48"/>
    <mergeCell ref="A4:H4"/>
    <mergeCell ref="A38:F38"/>
    <mergeCell ref="C41:F41"/>
    <mergeCell ref="C42:F42"/>
    <mergeCell ref="C43:F43"/>
    <mergeCell ref="A10:F10"/>
    <mergeCell ref="A17:F17"/>
    <mergeCell ref="A23:F23"/>
    <mergeCell ref="A29:F29"/>
    <mergeCell ref="A35:F35"/>
    <mergeCell ref="G41:H41"/>
    <mergeCell ref="G43:H43"/>
    <mergeCell ref="G49:H49"/>
    <mergeCell ref="G44:H44"/>
    <mergeCell ref="G46:H46"/>
    <mergeCell ref="G47:H47"/>
    <mergeCell ref="G48:H48"/>
  </mergeCells>
  <phoneticPr fontId="24" type="noConversion"/>
  <dataValidations count="1">
    <dataValidation type="list" allowBlank="1" showInputMessage="1" showErrorMessage="1" sqref="B42:B48" xr:uid="{00000000-0002-0000-0900-000000000000}">
      <formula1>$L$41:$L$45</formula1>
    </dataValidation>
  </dataValidations>
  <printOptions horizontalCentered="1"/>
  <pageMargins left="0.45" right="0.45" top="0.5" bottom="0.5" header="0.3" footer="0.3"/>
  <pageSetup scale="58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892"/>
  <sheetViews>
    <sheetView view="pageBreakPreview" zoomScale="60" zoomScaleNormal="75" workbookViewId="0">
      <selection activeCell="A10" sqref="A10:F10"/>
    </sheetView>
  </sheetViews>
  <sheetFormatPr defaultColWidth="10.875" defaultRowHeight="18.95"/>
  <cols>
    <col min="1" max="1" width="35.625" customWidth="1"/>
    <col min="2" max="2" width="14.625" style="16" customWidth="1"/>
    <col min="3" max="7" width="15.875" style="5" customWidth="1"/>
    <col min="8" max="8" width="15.875" style="17" customWidth="1"/>
    <col min="9" max="9" width="10.875" style="5"/>
    <col min="10" max="12" width="0" style="5" hidden="1" customWidth="1"/>
    <col min="13" max="16384" width="10.875" style="5"/>
  </cols>
  <sheetData>
    <row r="1" spans="1:10" customFormat="1" ht="15.95">
      <c r="A1" s="41"/>
      <c r="B1" s="42"/>
      <c r="C1" s="43"/>
      <c r="D1" s="43"/>
      <c r="E1" s="45" t="s">
        <v>25</v>
      </c>
      <c r="F1" s="43"/>
      <c r="G1" s="45" t="s">
        <v>26</v>
      </c>
      <c r="H1" s="44"/>
    </row>
    <row r="2" spans="1:10">
      <c r="A2" s="30"/>
      <c r="B2" s="18" t="s">
        <v>27</v>
      </c>
      <c r="C2" s="18" t="s">
        <v>28</v>
      </c>
      <c r="D2" s="18" t="s">
        <v>65</v>
      </c>
      <c r="E2" s="18" t="s">
        <v>30</v>
      </c>
      <c r="F2" s="18" t="s">
        <v>66</v>
      </c>
      <c r="G2" s="18" t="s">
        <v>32</v>
      </c>
      <c r="H2" s="18" t="s">
        <v>33</v>
      </c>
    </row>
    <row r="3" spans="1:10" ht="21" customHeight="1">
      <c r="A3" s="31" t="s">
        <v>7</v>
      </c>
      <c r="B3" s="6"/>
      <c r="C3" s="6"/>
      <c r="D3" s="6"/>
      <c r="E3" s="6"/>
      <c r="F3" s="6"/>
      <c r="G3" s="6"/>
      <c r="H3" s="6"/>
    </row>
    <row r="4" spans="1:10" s="7" customFormat="1">
      <c r="A4" s="181" t="s">
        <v>92</v>
      </c>
      <c r="B4" s="181"/>
      <c r="C4" s="181"/>
      <c r="D4" s="181"/>
      <c r="E4" s="181"/>
      <c r="F4" s="181"/>
      <c r="G4" s="181"/>
      <c r="H4" s="181"/>
    </row>
    <row r="5" spans="1:10" s="7" customFormat="1" ht="26.1" customHeight="1">
      <c r="A5" s="32" t="s">
        <v>8</v>
      </c>
      <c r="B5" s="27">
        <f>('Week 9'!B5+'Week 8'!B5+'Week 7'!B5+'Week 6'!B5)/4</f>
        <v>0</v>
      </c>
      <c r="C5" s="27">
        <f>('Week 9'!C5+'Week 8'!C5+'Week 7'!C5+'Week 6'!C5)/4</f>
        <v>0</v>
      </c>
      <c r="D5" s="27">
        <f>('Week 9'!D5+'Week 8'!D5+'Week 7'!D5+'Week 6'!D5)/4</f>
        <v>0</v>
      </c>
      <c r="E5" s="27">
        <f>('Week 9'!E5+'Week 8'!E5+'Week 7'!E5+'Week 6'!E5)/4</f>
        <v>0</v>
      </c>
      <c r="F5" s="27">
        <f>('Week 9'!F5+'Week 8'!F5+'Week 7'!F5+'Week 6'!F5)/4</f>
        <v>0</v>
      </c>
      <c r="G5" s="27">
        <f>('Week 9'!G5+'Week 8'!G5+'Week 7'!G5+'Week 6'!G5)/4</f>
        <v>0</v>
      </c>
      <c r="H5" s="27">
        <f>('Week 9'!H5+'Week 8'!H5+'Week 7'!H5+'Week 6'!H5)/4</f>
        <v>0</v>
      </c>
    </row>
    <row r="6" spans="1:10" s="7" customFormat="1" ht="26.1" customHeight="1">
      <c r="A6" s="4" t="s">
        <v>23</v>
      </c>
      <c r="B6" s="62">
        <f>('Week 9'!B6+'Week 8'!B6+'Week 7'!B6+'Week 6'!B6)/4</f>
        <v>0</v>
      </c>
      <c r="C6" s="62">
        <f>('Week 9'!C6+'Week 8'!C6+'Week 7'!C6+'Week 6'!C6)/4</f>
        <v>0</v>
      </c>
      <c r="D6" s="62">
        <f>('Week 9'!D6+'Week 8'!D6+'Week 7'!D6+'Week 6'!D6)/4</f>
        <v>0</v>
      </c>
      <c r="E6" s="62">
        <f>('Week 9'!E6+'Week 8'!E6+'Week 7'!E6+'Week 6'!E6)/4</f>
        <v>0</v>
      </c>
      <c r="F6" s="62">
        <f>('Week 9'!F6+'Week 8'!F6+'Week 7'!F6+'Week 6'!F6)/4</f>
        <v>0</v>
      </c>
      <c r="G6" s="62">
        <f>('Week 9'!G6+'Week 8'!G6+'Week 7'!G6+'Week 6'!G6)/4</f>
        <v>0</v>
      </c>
      <c r="H6" s="62">
        <f>('Week 9'!H6+'Week 8'!H6+'Week 7'!H6+'Week 6'!H6)/4</f>
        <v>0</v>
      </c>
    </row>
    <row r="7" spans="1:10" s="7" customFormat="1" ht="21.95" customHeight="1">
      <c r="A7" s="32" t="s">
        <v>35</v>
      </c>
      <c r="B7" s="27">
        <f>('Week 9'!B7+'Week 8'!B7+'Week 7'!B7+'Week 6'!B7)/4</f>
        <v>0</v>
      </c>
      <c r="C7" s="28">
        <f>('Week 9'!C7+'Week 8'!C7+'Week 7'!C7+'Week 6'!C7)/4</f>
        <v>0</v>
      </c>
      <c r="D7" s="28">
        <f>('Week 9'!D7+'Week 8'!D7+'Week 7'!D7+'Week 6'!D7)/4</f>
        <v>0</v>
      </c>
      <c r="E7" s="28">
        <f>('Week 9'!E7+'Week 8'!E7+'Week 7'!E7+'Week 6'!E7)/4</f>
        <v>0</v>
      </c>
      <c r="F7" s="28">
        <f>('Week 9'!F7+'Week 8'!F7+'Week 7'!F7+'Week 6'!F7)/4</f>
        <v>0</v>
      </c>
      <c r="G7" s="28">
        <f>('Week 9'!G7+'Week 8'!G7+'Week 7'!G7+'Week 6'!G7)/4</f>
        <v>0</v>
      </c>
      <c r="H7" s="27">
        <f>('Week 9'!H7+'Week 8'!H7+'Week 7'!H7+'Week 6'!H7)/4</f>
        <v>0</v>
      </c>
    </row>
    <row r="8" spans="1:10" s="7" customFormat="1" ht="24.95" customHeight="1" thickBot="1">
      <c r="A8" s="83" t="s">
        <v>36</v>
      </c>
      <c r="B8" s="84">
        <f t="shared" ref="B8:H8" si="0">B5+B6+B7</f>
        <v>0</v>
      </c>
      <c r="C8" s="84">
        <f t="shared" si="0"/>
        <v>0</v>
      </c>
      <c r="D8" s="84">
        <f t="shared" si="0"/>
        <v>0</v>
      </c>
      <c r="E8" s="84">
        <f t="shared" si="0"/>
        <v>0</v>
      </c>
      <c r="F8" s="84">
        <f t="shared" si="0"/>
        <v>0</v>
      </c>
      <c r="G8" s="84">
        <f t="shared" si="0"/>
        <v>0</v>
      </c>
      <c r="H8" s="84">
        <f t="shared" si="0"/>
        <v>0</v>
      </c>
    </row>
    <row r="9" spans="1:10" s="7" customFormat="1" ht="24.95" customHeight="1" thickBot="1">
      <c r="A9" s="33"/>
      <c r="B9" s="29"/>
      <c r="C9" s="29"/>
      <c r="D9" s="29"/>
      <c r="E9" s="29"/>
      <c r="F9" s="29"/>
      <c r="G9" s="63" t="s">
        <v>37</v>
      </c>
      <c r="H9" s="64">
        <f>SUM(B8:H8)</f>
        <v>0</v>
      </c>
    </row>
    <row r="10" spans="1:10" s="7" customFormat="1" ht="21" thickTop="1" thickBot="1">
      <c r="A10" s="182" t="s">
        <v>93</v>
      </c>
      <c r="B10" s="183"/>
      <c r="C10" s="183"/>
      <c r="D10" s="183"/>
      <c r="E10" s="183"/>
      <c r="F10" s="183"/>
      <c r="G10" s="65" t="s">
        <v>39</v>
      </c>
      <c r="H10" s="66">
        <v>0</v>
      </c>
      <c r="I10" s="5"/>
      <c r="J10" s="26"/>
    </row>
    <row r="11" spans="1:10" s="7" customFormat="1" ht="30" customHeight="1">
      <c r="A11" s="39" t="s">
        <v>8</v>
      </c>
      <c r="B11" s="8">
        <f>('Week 9'!B11+'Week 8'!B11+'Week 7'!B11+'Week 6'!B11)/4</f>
        <v>0</v>
      </c>
      <c r="C11" s="9">
        <f>('Week 9'!C11+'Week 8'!C11+'Week 7'!C11+'Week 6'!C11)/4</f>
        <v>0</v>
      </c>
      <c r="D11" s="67">
        <f>('Week 9'!D11+'Week 8'!D11+'Week 7'!D11+'Week 6'!D11)/4</f>
        <v>0</v>
      </c>
      <c r="E11" s="67">
        <f>('Week 9'!E11+'Week 8'!E11+'Week 7'!E11+'Week 6'!E11)/4</f>
        <v>0</v>
      </c>
      <c r="F11" s="9">
        <f>('Week 9'!F11+'Week 8'!F11+'Week 7'!F11+'Week 6'!F11)/4</f>
        <v>0</v>
      </c>
      <c r="G11" s="68">
        <f>('Week 9'!G11+'Week 8'!G11+'Week 7'!G11+'Week 6'!G11)/4</f>
        <v>0</v>
      </c>
      <c r="H11" s="69">
        <f>('Week 9'!H11+'Week 8'!H11+'Week 7'!H11+'Week 6'!H11)/4</f>
        <v>0</v>
      </c>
    </row>
    <row r="12" spans="1:10" s="7" customFormat="1" ht="30" customHeight="1">
      <c r="A12" s="70" t="s">
        <v>23</v>
      </c>
      <c r="B12" s="59">
        <f>('Week 9'!B12+'Week 8'!B12+'Week 7'!B12+'Week 6'!B12)/4</f>
        <v>0</v>
      </c>
      <c r="C12" s="58">
        <f>('Week 9'!C12+'Week 8'!C12+'Week 7'!C12+'Week 6'!C12)/4</f>
        <v>0</v>
      </c>
      <c r="D12" s="58">
        <f>('Week 9'!D12+'Week 8'!D12+'Week 7'!D12+'Week 6'!D12)/4</f>
        <v>0</v>
      </c>
      <c r="E12" s="58">
        <f>('Week 9'!E12+'Week 8'!E12+'Week 7'!E12+'Week 6'!E12)/4</f>
        <v>0</v>
      </c>
      <c r="F12" s="58">
        <f>('Week 9'!F12+'Week 8'!F12+'Week 7'!F12+'Week 6'!F12)/4</f>
        <v>0</v>
      </c>
      <c r="G12" s="58">
        <f>('Week 9'!G12+'Week 8'!G12+'Week 7'!G12+'Week 6'!G12)/4</f>
        <v>0</v>
      </c>
      <c r="H12" s="59">
        <f>('Week 9'!H12+'Week 8'!H12+'Week 7'!H12+'Week 6'!H12)/4</f>
        <v>0</v>
      </c>
    </row>
    <row r="13" spans="1:10" s="7" customFormat="1" ht="30" customHeight="1">
      <c r="A13" s="3" t="s">
        <v>35</v>
      </c>
      <c r="B13" s="8">
        <f>('Week 9'!B13+'Week 8'!B13+'Week 7'!B13+'Week 6'!B13)/4</f>
        <v>0</v>
      </c>
      <c r="C13" s="9">
        <f>('Week 9'!C13+'Week 8'!C13+'Week 7'!C13+'Week 6'!C13)/4</f>
        <v>0</v>
      </c>
      <c r="D13" s="9">
        <f>('Week 9'!D13+'Week 8'!D13+'Week 7'!D13+'Week 6'!D13)/4</f>
        <v>0</v>
      </c>
      <c r="E13" s="9">
        <f>('Week 9'!E13+'Week 8'!E13+'Week 7'!E13+'Week 6'!E13)/4</f>
        <v>0</v>
      </c>
      <c r="F13" s="9">
        <f>('Week 9'!F13+'Week 8'!F13+'Week 7'!F13+'Week 6'!F13)/4</f>
        <v>0</v>
      </c>
      <c r="G13" s="9">
        <f>('Week 9'!G13+'Week 8'!G13+'Week 7'!G13+'Week 6'!G13)/4</f>
        <v>0</v>
      </c>
      <c r="H13" s="8">
        <f>('Week 9'!H13+'Week 8'!H13+'Week 7'!H13+'Week 6'!H13)/4</f>
        <v>0</v>
      </c>
    </row>
    <row r="14" spans="1:10" s="7" customFormat="1" ht="27" customHeight="1" thickBot="1">
      <c r="A14" s="85" t="s">
        <v>36</v>
      </c>
      <c r="B14" s="87">
        <f t="shared" ref="B14:H14" si="1">B11+B12+B13</f>
        <v>0</v>
      </c>
      <c r="C14" s="87">
        <f t="shared" si="1"/>
        <v>0</v>
      </c>
      <c r="D14" s="87">
        <f t="shared" si="1"/>
        <v>0</v>
      </c>
      <c r="E14" s="87">
        <f t="shared" si="1"/>
        <v>0</v>
      </c>
      <c r="F14" s="87">
        <f t="shared" si="1"/>
        <v>0</v>
      </c>
      <c r="G14" s="87">
        <f t="shared" si="1"/>
        <v>0</v>
      </c>
      <c r="H14" s="87">
        <f t="shared" si="1"/>
        <v>0</v>
      </c>
    </row>
    <row r="15" spans="1:10" s="7" customFormat="1" ht="24.95" customHeight="1" thickBot="1">
      <c r="A15" s="86" t="s">
        <v>40</v>
      </c>
      <c r="B15" s="92" t="e">
        <f t="shared" ref="B15:H15" si="2">(B14-B8)/B8</f>
        <v>#DIV/0!</v>
      </c>
      <c r="C15" s="93" t="e">
        <f t="shared" si="2"/>
        <v>#DIV/0!</v>
      </c>
      <c r="D15" s="93" t="e">
        <f t="shared" si="2"/>
        <v>#DIV/0!</v>
      </c>
      <c r="E15" s="93" t="e">
        <f t="shared" si="2"/>
        <v>#DIV/0!</v>
      </c>
      <c r="F15" s="93" t="e">
        <f t="shared" si="2"/>
        <v>#DIV/0!</v>
      </c>
      <c r="G15" s="93" t="e">
        <f t="shared" si="2"/>
        <v>#DIV/0!</v>
      </c>
      <c r="H15" s="94" t="e">
        <f t="shared" si="2"/>
        <v>#DIV/0!</v>
      </c>
      <c r="I15" s="71"/>
    </row>
    <row r="16" spans="1:10" ht="30" customHeight="1" thickBot="1">
      <c r="B16" s="88"/>
      <c r="C16" s="88"/>
      <c r="D16" s="88"/>
      <c r="E16" s="88"/>
      <c r="F16" s="89"/>
      <c r="G16" s="90" t="s">
        <v>37</v>
      </c>
      <c r="H16" s="91">
        <f>SUM(B14:H14)</f>
        <v>0</v>
      </c>
    </row>
    <row r="17" spans="1:8" s="7" customFormat="1" ht="21.95" thickTop="1" thickBot="1">
      <c r="A17" s="184" t="s">
        <v>41</v>
      </c>
      <c r="B17" s="185"/>
      <c r="C17" s="185"/>
      <c r="D17" s="185"/>
      <c r="E17" s="185"/>
      <c r="F17" s="185"/>
      <c r="G17" s="72" t="s">
        <v>42</v>
      </c>
      <c r="H17" s="66" t="e">
        <f>(H16-H9)/H9</f>
        <v>#DIV/0!</v>
      </c>
    </row>
    <row r="18" spans="1:8" s="7" customFormat="1" ht="30" customHeight="1">
      <c r="A18" s="35" t="s">
        <v>43</v>
      </c>
      <c r="B18" s="11"/>
      <c r="C18" s="12"/>
      <c r="D18" s="73"/>
      <c r="E18" s="73"/>
      <c r="F18" s="12"/>
      <c r="G18" s="24"/>
      <c r="H18" s="74"/>
    </row>
    <row r="19" spans="1:8" s="7" customFormat="1" ht="30" customHeight="1">
      <c r="A19" s="35" t="str">
        <f>'Week 9'!A25</f>
        <v>Non Meal Plan Meals</v>
      </c>
      <c r="B19" s="11"/>
      <c r="C19" s="12"/>
      <c r="D19" s="73"/>
      <c r="E19" s="73"/>
      <c r="F19" s="12"/>
      <c r="G19" s="24"/>
      <c r="H19" s="74"/>
    </row>
    <row r="20" spans="1:8" s="7" customFormat="1" ht="30" customHeight="1">
      <c r="A20" s="35" t="str">
        <f>'Week 9'!A26</f>
        <v xml:space="preserve">Meal numbers </v>
      </c>
      <c r="B20" s="75"/>
      <c r="C20" s="95"/>
      <c r="D20" s="67"/>
      <c r="E20" s="67"/>
      <c r="F20" s="95"/>
      <c r="G20" s="95"/>
      <c r="H20" s="75"/>
    </row>
    <row r="21" spans="1:8" s="7" customFormat="1" ht="24.95" customHeight="1" thickBot="1">
      <c r="A21" s="36" t="s">
        <v>45</v>
      </c>
      <c r="B21" s="77">
        <f>('Week 9'!B21+'Week 8'!B21+'Week 7'!B21+'Week 6'!B21)/4</f>
        <v>0</v>
      </c>
      <c r="C21" s="77">
        <f>('Week 9'!C21+'Week 8'!C21+'Week 7'!C21+'Week 6'!C21)/4</f>
        <v>65.5</v>
      </c>
      <c r="D21" s="96">
        <f>('Week 9'!D21+'Week 8'!D21+'Week 7'!D21+'Week 6'!D21)/4</f>
        <v>0</v>
      </c>
      <c r="E21" s="96">
        <f>('Week 9'!E21+'Week 8'!E21+'Week 7'!E21+'Week 6'!E21)/4</f>
        <v>0</v>
      </c>
      <c r="F21" s="77">
        <f>('Week 9'!F21+'Week 8'!F21+'Week 7'!F21+'Week 6'!F21)/4</f>
        <v>0</v>
      </c>
      <c r="G21" s="77">
        <f>('Week 9'!G21+'Week 8'!G21+'Week 7'!G21+'Week 6'!G21)/4</f>
        <v>0</v>
      </c>
      <c r="H21" s="77">
        <f>('Week 9'!H21+'Week 8'!H21+'Week 7'!H21+'Week 6'!H21)/4</f>
        <v>0</v>
      </c>
    </row>
    <row r="22" spans="1:8" s="7" customFormat="1" ht="24.95" customHeight="1" thickBot="1">
      <c r="A22" s="34" t="s">
        <v>40</v>
      </c>
      <c r="B22" s="92" t="e">
        <f>(B21-B5)/B5</f>
        <v>#DIV/0!</v>
      </c>
      <c r="C22" s="93" t="e">
        <f>(C21-C5)/C5</f>
        <v>#DIV/0!</v>
      </c>
      <c r="D22" s="99"/>
      <c r="E22" s="99"/>
      <c r="F22" s="93" t="e">
        <f>(F21-F5)/F5</f>
        <v>#DIV/0!</v>
      </c>
      <c r="G22" s="93" t="e">
        <f>(G21-G5)/G5</f>
        <v>#DIV/0!</v>
      </c>
      <c r="H22" s="94" t="e">
        <f>(H21-H5)/H5</f>
        <v>#DIV/0!</v>
      </c>
    </row>
    <row r="23" spans="1:8" s="7" customFormat="1">
      <c r="A23" s="186" t="s">
        <v>46</v>
      </c>
      <c r="B23" s="187"/>
      <c r="C23" s="187"/>
      <c r="D23" s="187"/>
      <c r="E23" s="187"/>
      <c r="F23" s="188" t="s">
        <v>47</v>
      </c>
      <c r="G23" s="97"/>
      <c r="H23" s="98"/>
    </row>
    <row r="24" spans="1:8" s="7" customFormat="1" ht="30" customHeight="1">
      <c r="A24" s="35" t="s">
        <v>43</v>
      </c>
      <c r="B24" s="13"/>
      <c r="C24" s="12"/>
      <c r="D24" s="12"/>
      <c r="E24" s="12"/>
      <c r="F24" s="12"/>
      <c r="G24" s="12"/>
      <c r="H24" s="10"/>
    </row>
    <row r="25" spans="1:8" s="7" customFormat="1" ht="30" customHeight="1">
      <c r="A25" s="35" t="str">
        <f>A19</f>
        <v>Non Meal Plan Meals</v>
      </c>
      <c r="B25" s="76"/>
      <c r="C25" s="76"/>
      <c r="D25" s="76"/>
      <c r="E25" s="76"/>
      <c r="F25" s="76"/>
      <c r="G25" s="76"/>
      <c r="H25" s="76"/>
    </row>
    <row r="26" spans="1:8" s="7" customFormat="1" ht="30" customHeight="1">
      <c r="A26" s="35" t="str">
        <f>A20</f>
        <v xml:space="preserve">Meal numbers </v>
      </c>
      <c r="B26" s="10"/>
      <c r="C26" s="10"/>
      <c r="D26" s="10"/>
      <c r="E26" s="10"/>
      <c r="F26" s="10"/>
      <c r="G26" s="10"/>
      <c r="H26" s="10"/>
    </row>
    <row r="27" spans="1:8" s="7" customFormat="1" ht="27.95" customHeight="1" thickBot="1">
      <c r="A27" s="36" t="s">
        <v>50</v>
      </c>
      <c r="B27" s="100">
        <f>('Week 9'!B27+'Week 8'!B27+'Week 7'!B28+'Week 6'!B27)/4</f>
        <v>78.25</v>
      </c>
      <c r="C27" s="100">
        <f>('Week 9'!C27+'Week 8'!C27+'Week 7'!C28+'Week 6'!C27)/4</f>
        <v>164.5</v>
      </c>
      <c r="D27" s="100">
        <f>('Week 9'!D27+'Week 8'!D27+'Week 7'!D28+'Week 6'!D27)/4</f>
        <v>0</v>
      </c>
      <c r="E27" s="100">
        <f>('Week 9'!E27+'Week 8'!E27+'Week 7'!E28+'Week 6'!E27)/4</f>
        <v>0</v>
      </c>
      <c r="F27" s="100">
        <f>('Week 9'!F27+'Week 8'!F27+'Week 7'!F28+'Week 6'!F27)/4</f>
        <v>0</v>
      </c>
      <c r="G27" s="100">
        <f>('Week 9'!G27+'Week 8'!G27+'Week 7'!G28+'Week 6'!G27)/4</f>
        <v>0</v>
      </c>
      <c r="H27" s="100">
        <f>('Week 9'!H27+'Week 8'!H27+'Week 7'!H28+'Week 6'!H27)/4</f>
        <v>0</v>
      </c>
    </row>
    <row r="28" spans="1:8" s="7" customFormat="1" ht="24.95" customHeight="1" thickBot="1">
      <c r="A28" s="34" t="s">
        <v>40</v>
      </c>
      <c r="B28" s="92" t="e">
        <f t="shared" ref="B28:H28" si="3">(B27-B6)/B6</f>
        <v>#DIV/0!</v>
      </c>
      <c r="C28" s="93" t="e">
        <f t="shared" si="3"/>
        <v>#DIV/0!</v>
      </c>
      <c r="D28" s="93" t="e">
        <f t="shared" si="3"/>
        <v>#DIV/0!</v>
      </c>
      <c r="E28" s="93" t="e">
        <f t="shared" si="3"/>
        <v>#DIV/0!</v>
      </c>
      <c r="F28" s="93" t="e">
        <f t="shared" si="3"/>
        <v>#DIV/0!</v>
      </c>
      <c r="G28" s="93" t="e">
        <f t="shared" si="3"/>
        <v>#DIV/0!</v>
      </c>
      <c r="H28" s="94" t="e">
        <f t="shared" si="3"/>
        <v>#DIV/0!</v>
      </c>
    </row>
    <row r="29" spans="1:8" s="7" customFormat="1">
      <c r="A29" s="189" t="s">
        <v>51</v>
      </c>
      <c r="B29" s="190"/>
      <c r="C29" s="190"/>
      <c r="D29" s="190"/>
      <c r="E29" s="190"/>
      <c r="F29" s="191" t="s">
        <v>35</v>
      </c>
      <c r="G29" s="101"/>
      <c r="H29" s="102"/>
    </row>
    <row r="30" spans="1:8" s="7" customFormat="1" ht="30" customHeight="1">
      <c r="A30" s="35" t="s">
        <v>43</v>
      </c>
      <c r="B30" s="10"/>
      <c r="C30" s="9"/>
      <c r="D30" s="9"/>
      <c r="E30" s="9"/>
      <c r="F30" s="9"/>
      <c r="G30" s="9"/>
      <c r="H30" s="10"/>
    </row>
    <row r="31" spans="1:8" s="7" customFormat="1" ht="30" customHeight="1">
      <c r="A31" s="35" t="str">
        <f>A25</f>
        <v>Non Meal Plan Meals</v>
      </c>
      <c r="B31" s="60"/>
      <c r="C31" s="60"/>
      <c r="D31" s="60"/>
      <c r="E31" s="60"/>
      <c r="F31" s="60"/>
      <c r="G31" s="60"/>
      <c r="H31" s="60"/>
    </row>
    <row r="32" spans="1:8" s="7" customFormat="1" ht="30" customHeight="1">
      <c r="A32" s="35" t="str">
        <f>A26</f>
        <v xml:space="preserve">Meal numbers </v>
      </c>
      <c r="B32" s="10"/>
      <c r="C32" s="10"/>
      <c r="D32" s="10"/>
      <c r="E32" s="10"/>
      <c r="F32" s="10"/>
      <c r="G32" s="10"/>
      <c r="H32" s="10"/>
    </row>
    <row r="33" spans="1:12" s="7" customFormat="1" ht="30.95" customHeight="1" thickBot="1">
      <c r="A33" s="36" t="s">
        <v>53</v>
      </c>
      <c r="B33" s="103">
        <f>('Week 9'!B33+'Week 8'!B33+'Week 7'!B34+'Week 6'!B33)/4</f>
        <v>70.75</v>
      </c>
      <c r="C33" s="103">
        <f>('Week 9'!C33+'Week 8'!C33+'Week 7'!C34+'Week 6'!C33)/4</f>
        <v>156.75</v>
      </c>
      <c r="D33" s="103">
        <f>('Week 9'!D33+'Week 8'!D33+'Week 7'!D34+'Week 6'!D33)/4</f>
        <v>0</v>
      </c>
      <c r="E33" s="103">
        <f>('Week 9'!E33+'Week 8'!E33+'Week 7'!E34+'Week 6'!E33)/4</f>
        <v>0</v>
      </c>
      <c r="F33" s="103">
        <f>('Week 9'!F33+'Week 8'!F33+'Week 7'!F34+'Week 6'!F33)/4</f>
        <v>0</v>
      </c>
      <c r="G33" s="103">
        <f>('Week 9'!G33+'Week 8'!G33+'Week 7'!G34+'Week 6'!G33)/4</f>
        <v>0</v>
      </c>
      <c r="H33" s="103">
        <f>('Week 9'!H33+'Week 8'!H33+'Week 7'!H34+'Week 6'!H33)/4</f>
        <v>0</v>
      </c>
    </row>
    <row r="34" spans="1:12" s="7" customFormat="1" ht="24.95" customHeight="1" thickBot="1">
      <c r="A34" s="34" t="s">
        <v>40</v>
      </c>
      <c r="B34" s="92" t="e">
        <f t="shared" ref="B34:H34" si="4">(B33-B7)/B7</f>
        <v>#DIV/0!</v>
      </c>
      <c r="C34" s="93" t="e">
        <f t="shared" si="4"/>
        <v>#DIV/0!</v>
      </c>
      <c r="D34" s="93" t="e">
        <f t="shared" si="4"/>
        <v>#DIV/0!</v>
      </c>
      <c r="E34" s="93" t="e">
        <f t="shared" si="4"/>
        <v>#DIV/0!</v>
      </c>
      <c r="F34" s="93" t="e">
        <f t="shared" si="4"/>
        <v>#DIV/0!</v>
      </c>
      <c r="G34" s="93" t="e">
        <f t="shared" si="4"/>
        <v>#DIV/0!</v>
      </c>
      <c r="H34" s="94" t="e">
        <f t="shared" si="4"/>
        <v>#DIV/0!</v>
      </c>
    </row>
    <row r="35" spans="1:12" s="7" customFormat="1">
      <c r="A35" s="192" t="s">
        <v>54</v>
      </c>
      <c r="B35" s="193"/>
      <c r="C35" s="193"/>
      <c r="D35" s="193"/>
      <c r="E35" s="193"/>
      <c r="F35" s="194" t="s">
        <v>35</v>
      </c>
      <c r="G35" s="104"/>
      <c r="H35" s="105"/>
    </row>
    <row r="36" spans="1:12" s="7" customFormat="1" ht="30.95" customHeight="1" thickBot="1">
      <c r="A36" s="78" t="s">
        <v>55</v>
      </c>
      <c r="B36" s="77">
        <f>('Week 9'!B36+'Week 8'!B36+'Week 7'!B37+'Week 6'!B36)/4</f>
        <v>149</v>
      </c>
      <c r="C36" s="77">
        <f>('Week 9'!C36+'Week 8'!C36+'Week 7'!C37+'Week 6'!C36)/4</f>
        <v>386.75</v>
      </c>
      <c r="D36" s="77">
        <f>('Week 9'!D36+'Week 8'!D36+'Week 7'!D37+'Week 6'!D36)/4</f>
        <v>0</v>
      </c>
      <c r="E36" s="77">
        <f>('Week 9'!E36+'Week 8'!E36+'Week 7'!E37+'Week 6'!E36)/4</f>
        <v>0</v>
      </c>
      <c r="F36" s="77">
        <f>('Week 9'!F36+'Week 8'!F36+'Week 7'!F37+'Week 6'!F36)/4</f>
        <v>0</v>
      </c>
      <c r="G36" s="77">
        <f>('Week 9'!G36+'Week 8'!G36+'Week 7'!G37+'Week 6'!G36)/4</f>
        <v>0</v>
      </c>
      <c r="H36" s="77">
        <f>('Week 9'!H36+'Week 8'!H36+'Week 7'!H37+'Week 6'!H36)/4</f>
        <v>0</v>
      </c>
    </row>
    <row r="37" spans="1:12" s="7" customFormat="1" ht="24.95" customHeight="1" thickBot="1">
      <c r="A37" s="34" t="s">
        <v>40</v>
      </c>
      <c r="B37" s="92" t="e">
        <f t="shared" ref="B37:H37" si="5">(B36-B8)/B8</f>
        <v>#DIV/0!</v>
      </c>
      <c r="C37" s="93" t="e">
        <f t="shared" si="5"/>
        <v>#DIV/0!</v>
      </c>
      <c r="D37" s="93" t="e">
        <f t="shared" si="5"/>
        <v>#DIV/0!</v>
      </c>
      <c r="E37" s="93" t="e">
        <f t="shared" si="5"/>
        <v>#DIV/0!</v>
      </c>
      <c r="F37" s="93" t="e">
        <f t="shared" si="5"/>
        <v>#DIV/0!</v>
      </c>
      <c r="G37" s="93" t="e">
        <f t="shared" si="5"/>
        <v>#DIV/0!</v>
      </c>
      <c r="H37" s="94" t="e">
        <f t="shared" si="5"/>
        <v>#DIV/0!</v>
      </c>
    </row>
    <row r="38" spans="1:12" ht="30" customHeight="1" thickBot="1">
      <c r="A38" s="195"/>
      <c r="B38" s="196"/>
      <c r="C38" s="196"/>
      <c r="D38" s="196"/>
      <c r="E38" s="196"/>
      <c r="F38" s="196"/>
      <c r="G38" s="106" t="s">
        <v>37</v>
      </c>
      <c r="H38" s="107">
        <f>SUM(B36:H36)</f>
        <v>535.75</v>
      </c>
    </row>
    <row r="39" spans="1:12" s="7" customFormat="1" ht="24.95" customHeight="1" thickTop="1">
      <c r="A39" s="37"/>
      <c r="B39" s="25"/>
      <c r="C39" s="25"/>
      <c r="D39" s="25"/>
      <c r="E39" s="25"/>
      <c r="F39" s="25"/>
      <c r="G39" s="79" t="s">
        <v>40</v>
      </c>
      <c r="H39" s="80" t="e">
        <f>(H38-H9)/H9</f>
        <v>#DIV/0!</v>
      </c>
    </row>
    <row r="40" spans="1:12" s="7" customFormat="1" ht="24.95" customHeight="1" thickBot="1">
      <c r="A40" s="37"/>
      <c r="B40" s="25"/>
      <c r="C40" s="25"/>
      <c r="D40" s="25"/>
      <c r="E40" s="25"/>
      <c r="F40" s="25"/>
      <c r="G40" s="81" t="s">
        <v>56</v>
      </c>
      <c r="H40" s="82" t="e">
        <f>(H38-H16)/H16</f>
        <v>#DIV/0!</v>
      </c>
    </row>
    <row r="41" spans="1:12" s="46" customFormat="1" ht="23.1" customHeight="1">
      <c r="A41" s="40"/>
      <c r="B41" s="47" t="s">
        <v>57</v>
      </c>
      <c r="C41" s="197" t="s">
        <v>58</v>
      </c>
      <c r="D41" s="197"/>
      <c r="E41" s="197"/>
      <c r="F41" s="197"/>
      <c r="G41" s="198">
        <v>2020</v>
      </c>
      <c r="H41" s="199"/>
    </row>
    <row r="42" spans="1:12" ht="30" customHeight="1">
      <c r="A42" s="1" t="s">
        <v>0</v>
      </c>
      <c r="B42" s="57"/>
      <c r="C42" s="180"/>
      <c r="D42" s="180"/>
      <c r="E42" s="180"/>
      <c r="F42" s="180"/>
      <c r="G42" s="178"/>
      <c r="H42" s="179"/>
      <c r="L42" s="7" t="s">
        <v>61</v>
      </c>
    </row>
    <row r="43" spans="1:12" ht="42.95" customHeight="1">
      <c r="A43" s="1" t="s">
        <v>60</v>
      </c>
      <c r="B43" s="57" t="s">
        <v>59</v>
      </c>
      <c r="C43" s="175"/>
      <c r="D43" s="175"/>
      <c r="E43" s="175"/>
      <c r="F43" s="175"/>
      <c r="G43" s="178"/>
      <c r="H43" s="179"/>
      <c r="L43" s="5" t="s">
        <v>62</v>
      </c>
    </row>
    <row r="44" spans="1:12" ht="30" customHeight="1">
      <c r="A44" s="1" t="s">
        <v>1</v>
      </c>
      <c r="B44" s="57" t="s">
        <v>59</v>
      </c>
      <c r="C44" s="175"/>
      <c r="D44" s="175"/>
      <c r="E44" s="175"/>
      <c r="F44" s="175"/>
      <c r="G44" s="176"/>
      <c r="H44" s="177"/>
      <c r="L44" s="5" t="s">
        <v>63</v>
      </c>
    </row>
    <row r="45" spans="1:12" ht="30" customHeight="1">
      <c r="A45" s="1" t="s">
        <v>2</v>
      </c>
      <c r="B45" s="57" t="s">
        <v>59</v>
      </c>
      <c r="C45" s="175"/>
      <c r="D45" s="175"/>
      <c r="E45" s="175"/>
      <c r="F45" s="175"/>
      <c r="G45" s="176"/>
      <c r="H45" s="177"/>
      <c r="L45" s="5" t="s">
        <v>64</v>
      </c>
    </row>
    <row r="46" spans="1:12" ht="30.95" customHeight="1">
      <c r="A46" s="1" t="s">
        <v>3</v>
      </c>
      <c r="B46" s="57" t="s">
        <v>59</v>
      </c>
      <c r="C46" s="175"/>
      <c r="D46" s="175"/>
      <c r="E46" s="175"/>
      <c r="F46" s="175"/>
      <c r="G46" s="176"/>
      <c r="H46" s="177"/>
    </row>
    <row r="47" spans="1:12" ht="30" customHeight="1">
      <c r="A47" s="1" t="s">
        <v>4</v>
      </c>
      <c r="B47" s="57" t="s">
        <v>59</v>
      </c>
      <c r="C47" s="175"/>
      <c r="D47" s="175"/>
      <c r="E47" s="175"/>
      <c r="F47" s="175"/>
      <c r="G47" s="176"/>
      <c r="H47" s="177"/>
    </row>
    <row r="48" spans="1:12" ht="30" customHeight="1">
      <c r="A48" s="1" t="s">
        <v>5</v>
      </c>
      <c r="B48" s="57" t="s">
        <v>59</v>
      </c>
      <c r="C48" s="175"/>
      <c r="D48" s="175"/>
      <c r="E48" s="175"/>
      <c r="F48" s="175"/>
      <c r="G48" s="176"/>
      <c r="H48" s="177"/>
    </row>
    <row r="49" spans="1:8" ht="30" customHeight="1">
      <c r="A49" s="1"/>
      <c r="B49" s="14"/>
      <c r="C49" s="175"/>
      <c r="D49" s="175"/>
      <c r="E49" s="175"/>
      <c r="F49" s="175"/>
      <c r="G49" s="176"/>
      <c r="H49" s="177"/>
    </row>
    <row r="50" spans="1:8" ht="30" customHeight="1">
      <c r="A50" s="2"/>
      <c r="B50" s="14"/>
      <c r="C50" s="175"/>
      <c r="D50" s="175"/>
      <c r="E50" s="175"/>
      <c r="F50" s="175"/>
      <c r="G50" s="176"/>
      <c r="H50" s="177"/>
    </row>
    <row r="51" spans="1:8">
      <c r="A51" s="30"/>
      <c r="B51" s="18" t="s">
        <v>27</v>
      </c>
      <c r="C51" s="18" t="s">
        <v>28</v>
      </c>
      <c r="D51" s="18" t="s">
        <v>65</v>
      </c>
      <c r="E51" s="18" t="s">
        <v>30</v>
      </c>
      <c r="F51" s="18" t="s">
        <v>66</v>
      </c>
      <c r="G51" s="18" t="s">
        <v>32</v>
      </c>
      <c r="H51" s="18" t="s">
        <v>33</v>
      </c>
    </row>
    <row r="52" spans="1:8">
      <c r="A52" s="38" t="s">
        <v>67</v>
      </c>
      <c r="B52" s="15"/>
      <c r="C52" s="20"/>
      <c r="D52" s="20"/>
      <c r="E52" s="20"/>
      <c r="F52" s="20"/>
      <c r="G52" s="20"/>
      <c r="H52" s="15"/>
    </row>
    <row r="53" spans="1:8" customFormat="1" ht="15.95">
      <c r="A53" s="48" t="s">
        <v>68</v>
      </c>
      <c r="B53" s="22"/>
      <c r="C53" s="21"/>
      <c r="D53" s="21"/>
      <c r="E53" s="21"/>
      <c r="F53" s="21"/>
      <c r="G53" s="23" t="s">
        <v>37</v>
      </c>
      <c r="H53" s="23">
        <f>SUM(B52:H52)</f>
        <v>0</v>
      </c>
    </row>
    <row r="54" spans="1:8">
      <c r="A54" s="30"/>
      <c r="B54" s="18" t="s">
        <v>27</v>
      </c>
      <c r="C54" s="18" t="s">
        <v>28</v>
      </c>
      <c r="D54" s="18" t="s">
        <v>65</v>
      </c>
      <c r="E54" s="18" t="s">
        <v>30</v>
      </c>
      <c r="F54" s="18" t="s">
        <v>66</v>
      </c>
      <c r="G54" s="18" t="s">
        <v>32</v>
      </c>
      <c r="H54" s="18" t="s">
        <v>33</v>
      </c>
    </row>
    <row r="55" spans="1:8">
      <c r="A55" s="38" t="s">
        <v>69</v>
      </c>
      <c r="B55" s="51"/>
      <c r="C55" s="52"/>
      <c r="D55" s="52"/>
      <c r="E55" s="52"/>
      <c r="F55" s="52"/>
      <c r="G55" s="20"/>
      <c r="H55" s="15"/>
    </row>
    <row r="56" spans="1:8" customFormat="1" ht="15.95">
      <c r="A56" s="49" t="s">
        <v>70</v>
      </c>
      <c r="B56" s="53"/>
      <c r="C56" s="53" t="s">
        <v>71</v>
      </c>
      <c r="D56" s="54"/>
      <c r="E56" s="54"/>
      <c r="F56" s="55"/>
      <c r="G56" s="50" t="s">
        <v>37</v>
      </c>
      <c r="H56" s="23"/>
    </row>
    <row r="57" spans="1:8">
      <c r="H57" s="16"/>
    </row>
    <row r="58" spans="1:8">
      <c r="H58" s="16"/>
    </row>
    <row r="59" spans="1:8">
      <c r="H59" s="16"/>
    </row>
    <row r="60" spans="1:8">
      <c r="H60" s="16"/>
    </row>
    <row r="61" spans="1:8">
      <c r="H61" s="16"/>
    </row>
    <row r="62" spans="1:8">
      <c r="H62" s="16"/>
    </row>
    <row r="63" spans="1:8">
      <c r="H63" s="16"/>
    </row>
    <row r="64" spans="1:8">
      <c r="B64" s="5"/>
      <c r="H64" s="16"/>
    </row>
    <row r="65" spans="2:8">
      <c r="B65" s="5"/>
      <c r="H65" s="16"/>
    </row>
    <row r="66" spans="2:8">
      <c r="B66" s="5"/>
      <c r="H66" s="16"/>
    </row>
    <row r="67" spans="2:8">
      <c r="B67" s="5"/>
      <c r="H67" s="16"/>
    </row>
    <row r="68" spans="2:8">
      <c r="B68" s="5"/>
      <c r="H68" s="16"/>
    </row>
    <row r="69" spans="2:8">
      <c r="B69" s="5"/>
      <c r="H69" s="16"/>
    </row>
    <row r="70" spans="2:8">
      <c r="B70" s="5"/>
      <c r="H70" s="16"/>
    </row>
    <row r="71" spans="2:8">
      <c r="B71" s="5"/>
      <c r="H71" s="16"/>
    </row>
    <row r="72" spans="2:8">
      <c r="B72" s="5"/>
      <c r="H72" s="16"/>
    </row>
    <row r="73" spans="2:8">
      <c r="B73" s="5"/>
      <c r="H73" s="16"/>
    </row>
    <row r="74" spans="2:8">
      <c r="B74" s="5"/>
      <c r="H74" s="16"/>
    </row>
    <row r="75" spans="2:8">
      <c r="B75" s="5"/>
      <c r="H75" s="16"/>
    </row>
    <row r="76" spans="2:8">
      <c r="B76" s="5"/>
      <c r="H76" s="16"/>
    </row>
    <row r="77" spans="2:8">
      <c r="B77" s="5"/>
      <c r="H77" s="16"/>
    </row>
    <row r="78" spans="2:8">
      <c r="B78" s="5"/>
      <c r="H78" s="16"/>
    </row>
    <row r="79" spans="2:8">
      <c r="B79" s="5"/>
      <c r="H79" s="16"/>
    </row>
    <row r="80" spans="2:8">
      <c r="B80" s="5"/>
      <c r="H80" s="16"/>
    </row>
    <row r="81" spans="2:8">
      <c r="B81" s="5"/>
      <c r="H81" s="16"/>
    </row>
    <row r="82" spans="2:8">
      <c r="B82" s="5"/>
      <c r="H82" s="16"/>
    </row>
    <row r="83" spans="2:8">
      <c r="B83" s="5"/>
      <c r="H83" s="16"/>
    </row>
    <row r="84" spans="2:8">
      <c r="B84" s="5"/>
      <c r="H84" s="16"/>
    </row>
    <row r="85" spans="2:8">
      <c r="B85" s="5"/>
      <c r="H85" s="16"/>
    </row>
    <row r="86" spans="2:8">
      <c r="B86" s="5"/>
      <c r="H86" s="16"/>
    </row>
    <row r="87" spans="2:8">
      <c r="B87" s="5"/>
      <c r="H87" s="16"/>
    </row>
    <row r="88" spans="2:8">
      <c r="B88" s="5"/>
      <c r="H88" s="16"/>
    </row>
    <row r="89" spans="2:8">
      <c r="B89" s="5"/>
      <c r="H89" s="16"/>
    </row>
    <row r="90" spans="2:8">
      <c r="B90" s="5"/>
      <c r="H90" s="16"/>
    </row>
    <row r="91" spans="2:8">
      <c r="B91" s="5"/>
      <c r="H91" s="16"/>
    </row>
    <row r="92" spans="2:8">
      <c r="B92" s="5"/>
      <c r="H92" s="16"/>
    </row>
    <row r="93" spans="2:8">
      <c r="B93" s="5"/>
      <c r="H93" s="16"/>
    </row>
    <row r="94" spans="2:8">
      <c r="B94" s="5"/>
      <c r="H94" s="16"/>
    </row>
    <row r="95" spans="2:8">
      <c r="B95" s="5"/>
      <c r="H95" s="16"/>
    </row>
    <row r="96" spans="2:8">
      <c r="B96" s="5"/>
      <c r="H96" s="16"/>
    </row>
    <row r="97" spans="2:8">
      <c r="B97" s="5"/>
      <c r="H97" s="16"/>
    </row>
    <row r="98" spans="2:8">
      <c r="B98" s="5"/>
      <c r="H98" s="16"/>
    </row>
    <row r="99" spans="2:8">
      <c r="B99" s="5"/>
      <c r="H99" s="16"/>
    </row>
    <row r="100" spans="2:8">
      <c r="B100" s="5"/>
      <c r="H100" s="16"/>
    </row>
    <row r="101" spans="2:8">
      <c r="B101" s="5"/>
      <c r="H101" s="16"/>
    </row>
    <row r="102" spans="2:8">
      <c r="B102" s="5"/>
      <c r="H102" s="16"/>
    </row>
    <row r="103" spans="2:8">
      <c r="B103" s="5"/>
      <c r="H103" s="16"/>
    </row>
    <row r="104" spans="2:8">
      <c r="B104" s="5"/>
      <c r="H104" s="16"/>
    </row>
    <row r="105" spans="2:8">
      <c r="B105" s="5"/>
      <c r="H105" s="16"/>
    </row>
    <row r="106" spans="2:8">
      <c r="B106" s="5"/>
      <c r="H106" s="16"/>
    </row>
    <row r="107" spans="2:8">
      <c r="B107" s="5"/>
      <c r="H107" s="16"/>
    </row>
    <row r="108" spans="2:8">
      <c r="B108" s="5"/>
      <c r="H108" s="16"/>
    </row>
    <row r="109" spans="2:8">
      <c r="B109" s="5"/>
      <c r="H109" s="16"/>
    </row>
    <row r="110" spans="2:8">
      <c r="B110" s="5"/>
      <c r="H110" s="16"/>
    </row>
    <row r="111" spans="2:8">
      <c r="B111" s="5"/>
      <c r="H111" s="16"/>
    </row>
    <row r="112" spans="2:8">
      <c r="B112" s="5"/>
      <c r="H112" s="16"/>
    </row>
    <row r="113" spans="2:8">
      <c r="B113" s="5"/>
      <c r="H113" s="16"/>
    </row>
    <row r="114" spans="2:8">
      <c r="B114" s="5"/>
      <c r="H114" s="16"/>
    </row>
    <row r="115" spans="2:8">
      <c r="B115" s="5"/>
      <c r="H115" s="16"/>
    </row>
    <row r="116" spans="2:8">
      <c r="B116" s="5"/>
      <c r="H116" s="16"/>
    </row>
    <row r="117" spans="2:8">
      <c r="B117" s="5"/>
      <c r="H117" s="16"/>
    </row>
    <row r="118" spans="2:8">
      <c r="B118" s="5"/>
      <c r="H118" s="16"/>
    </row>
    <row r="119" spans="2:8">
      <c r="B119" s="5"/>
      <c r="H119" s="16"/>
    </row>
    <row r="120" spans="2:8">
      <c r="B120" s="5"/>
      <c r="H120" s="16"/>
    </row>
    <row r="121" spans="2:8">
      <c r="B121" s="5"/>
      <c r="H121" s="16"/>
    </row>
    <row r="122" spans="2:8">
      <c r="B122" s="5"/>
      <c r="H122" s="16"/>
    </row>
    <row r="123" spans="2:8">
      <c r="B123" s="5"/>
      <c r="H123" s="16"/>
    </row>
    <row r="124" spans="2:8">
      <c r="B124" s="5"/>
      <c r="H124" s="16"/>
    </row>
    <row r="125" spans="2:8">
      <c r="B125" s="5"/>
      <c r="H125" s="16"/>
    </row>
    <row r="126" spans="2:8">
      <c r="B126" s="5"/>
      <c r="H126" s="16"/>
    </row>
    <row r="127" spans="2:8">
      <c r="B127" s="5"/>
      <c r="H127" s="16"/>
    </row>
    <row r="128" spans="2:8">
      <c r="B128" s="5"/>
      <c r="H128" s="16"/>
    </row>
    <row r="129" spans="2:8">
      <c r="B129" s="5"/>
      <c r="H129" s="16"/>
    </row>
    <row r="130" spans="2:8">
      <c r="B130" s="5"/>
      <c r="H130" s="16"/>
    </row>
    <row r="131" spans="2:8">
      <c r="B131" s="5"/>
      <c r="H131" s="16"/>
    </row>
    <row r="132" spans="2:8">
      <c r="B132" s="5"/>
      <c r="H132" s="16"/>
    </row>
    <row r="133" spans="2:8">
      <c r="B133" s="5"/>
      <c r="H133" s="16"/>
    </row>
    <row r="134" spans="2:8">
      <c r="B134" s="5"/>
      <c r="H134" s="16"/>
    </row>
    <row r="135" spans="2:8">
      <c r="B135" s="5"/>
      <c r="H135" s="16"/>
    </row>
    <row r="136" spans="2:8">
      <c r="B136" s="5"/>
      <c r="H136" s="16"/>
    </row>
    <row r="137" spans="2:8">
      <c r="B137" s="5"/>
      <c r="H137" s="16"/>
    </row>
    <row r="138" spans="2:8">
      <c r="B138" s="5"/>
      <c r="H138" s="16"/>
    </row>
    <row r="139" spans="2:8">
      <c r="B139" s="5"/>
      <c r="H139" s="16"/>
    </row>
    <row r="140" spans="2:8">
      <c r="B140" s="5"/>
      <c r="H140" s="16"/>
    </row>
    <row r="141" spans="2:8">
      <c r="B141" s="5"/>
      <c r="H141" s="16"/>
    </row>
    <row r="142" spans="2:8">
      <c r="B142" s="5"/>
      <c r="H142" s="16"/>
    </row>
    <row r="143" spans="2:8">
      <c r="B143" s="5"/>
      <c r="H143" s="16"/>
    </row>
    <row r="144" spans="2:8">
      <c r="B144" s="5"/>
      <c r="H144" s="16"/>
    </row>
    <row r="145" spans="2:8">
      <c r="B145" s="5"/>
      <c r="H145" s="16"/>
    </row>
    <row r="146" spans="2:8">
      <c r="B146" s="5"/>
      <c r="H146" s="16"/>
    </row>
    <row r="147" spans="2:8">
      <c r="B147" s="5"/>
      <c r="H147" s="16"/>
    </row>
    <row r="148" spans="2:8">
      <c r="B148" s="5"/>
      <c r="H148" s="16"/>
    </row>
    <row r="149" spans="2:8">
      <c r="B149" s="5"/>
      <c r="H149" s="16"/>
    </row>
    <row r="150" spans="2:8">
      <c r="B150" s="5"/>
      <c r="H150" s="16"/>
    </row>
    <row r="151" spans="2:8">
      <c r="B151" s="5"/>
      <c r="H151" s="16"/>
    </row>
    <row r="152" spans="2:8">
      <c r="B152" s="5"/>
      <c r="H152" s="16"/>
    </row>
    <row r="153" spans="2:8">
      <c r="B153" s="5"/>
      <c r="H153" s="16"/>
    </row>
    <row r="154" spans="2:8">
      <c r="B154" s="5"/>
      <c r="H154" s="16"/>
    </row>
    <row r="155" spans="2:8">
      <c r="B155" s="5"/>
      <c r="H155" s="16"/>
    </row>
    <row r="156" spans="2:8">
      <c r="B156" s="5"/>
      <c r="H156" s="16"/>
    </row>
    <row r="157" spans="2:8">
      <c r="B157" s="5"/>
      <c r="H157" s="16"/>
    </row>
    <row r="158" spans="2:8">
      <c r="B158" s="5"/>
      <c r="H158" s="16"/>
    </row>
    <row r="159" spans="2:8">
      <c r="B159" s="5"/>
      <c r="H159" s="16"/>
    </row>
    <row r="160" spans="2:8">
      <c r="B160" s="5"/>
      <c r="H160" s="16"/>
    </row>
    <row r="161" spans="2:8">
      <c r="B161" s="5"/>
      <c r="H161" s="16"/>
    </row>
    <row r="162" spans="2:8">
      <c r="B162" s="5"/>
      <c r="H162" s="16"/>
    </row>
    <row r="163" spans="2:8">
      <c r="B163" s="5"/>
      <c r="H163" s="16"/>
    </row>
    <row r="164" spans="2:8">
      <c r="B164" s="5"/>
      <c r="H164" s="16"/>
    </row>
    <row r="165" spans="2:8">
      <c r="B165" s="5"/>
      <c r="H165" s="16"/>
    </row>
    <row r="166" spans="2:8">
      <c r="B166" s="5"/>
      <c r="H166" s="16"/>
    </row>
    <row r="167" spans="2:8">
      <c r="B167" s="5"/>
      <c r="H167" s="16"/>
    </row>
    <row r="168" spans="2:8">
      <c r="B168" s="5"/>
      <c r="H168" s="16"/>
    </row>
    <row r="169" spans="2:8">
      <c r="B169" s="5"/>
      <c r="H169" s="16"/>
    </row>
    <row r="170" spans="2:8">
      <c r="B170" s="5"/>
      <c r="H170" s="16"/>
    </row>
    <row r="171" spans="2:8">
      <c r="B171" s="5"/>
      <c r="H171" s="16"/>
    </row>
    <row r="172" spans="2:8">
      <c r="B172" s="5"/>
      <c r="H172" s="16"/>
    </row>
    <row r="173" spans="2:8">
      <c r="B173" s="5"/>
      <c r="H173" s="16"/>
    </row>
    <row r="174" spans="2:8">
      <c r="B174" s="5"/>
      <c r="H174" s="16"/>
    </row>
    <row r="175" spans="2:8">
      <c r="B175" s="5"/>
      <c r="H175" s="16"/>
    </row>
    <row r="176" spans="2:8">
      <c r="B176" s="5"/>
      <c r="H176" s="16"/>
    </row>
    <row r="177" spans="2:8">
      <c r="B177" s="5"/>
      <c r="H177" s="16"/>
    </row>
    <row r="178" spans="2:8">
      <c r="B178" s="5"/>
      <c r="H178" s="16"/>
    </row>
    <row r="179" spans="2:8">
      <c r="B179" s="5"/>
      <c r="H179" s="16"/>
    </row>
    <row r="180" spans="2:8">
      <c r="B180" s="5"/>
      <c r="H180" s="16"/>
    </row>
    <row r="181" spans="2:8">
      <c r="B181" s="5"/>
      <c r="H181" s="16"/>
    </row>
    <row r="182" spans="2:8">
      <c r="B182" s="5"/>
      <c r="H182" s="16"/>
    </row>
    <row r="183" spans="2:8">
      <c r="B183" s="5"/>
      <c r="H183" s="16"/>
    </row>
    <row r="184" spans="2:8">
      <c r="B184" s="5"/>
      <c r="H184" s="16"/>
    </row>
    <row r="185" spans="2:8">
      <c r="B185" s="5"/>
      <c r="H185" s="16"/>
    </row>
    <row r="186" spans="2:8">
      <c r="B186" s="5"/>
      <c r="H186" s="16"/>
    </row>
    <row r="187" spans="2:8">
      <c r="B187" s="5"/>
      <c r="H187" s="16"/>
    </row>
    <row r="188" spans="2:8">
      <c r="B188" s="5"/>
      <c r="H188" s="16"/>
    </row>
    <row r="189" spans="2:8">
      <c r="B189" s="5"/>
      <c r="H189" s="16"/>
    </row>
    <row r="190" spans="2:8">
      <c r="B190" s="5"/>
      <c r="H190" s="16"/>
    </row>
    <row r="191" spans="2:8">
      <c r="B191" s="5"/>
      <c r="H191" s="16"/>
    </row>
    <row r="192" spans="2:8">
      <c r="B192" s="5"/>
      <c r="H192" s="16"/>
    </row>
    <row r="193" spans="2:8">
      <c r="B193" s="5"/>
      <c r="H193" s="16"/>
    </row>
    <row r="194" spans="2:8">
      <c r="B194" s="5"/>
      <c r="H194" s="16"/>
    </row>
    <row r="195" spans="2:8">
      <c r="B195" s="5"/>
      <c r="H195" s="16"/>
    </row>
    <row r="196" spans="2:8">
      <c r="B196" s="5"/>
      <c r="H196" s="16"/>
    </row>
    <row r="197" spans="2:8">
      <c r="B197" s="5"/>
      <c r="H197" s="16"/>
    </row>
    <row r="198" spans="2:8">
      <c r="B198" s="5"/>
      <c r="H198" s="16"/>
    </row>
    <row r="199" spans="2:8">
      <c r="B199" s="5"/>
      <c r="H199" s="16"/>
    </row>
    <row r="200" spans="2:8">
      <c r="B200" s="5"/>
      <c r="H200" s="16"/>
    </row>
    <row r="201" spans="2:8">
      <c r="B201" s="5"/>
      <c r="H201" s="16"/>
    </row>
    <row r="202" spans="2:8">
      <c r="B202" s="5"/>
      <c r="H202" s="16"/>
    </row>
    <row r="203" spans="2:8">
      <c r="B203" s="5"/>
      <c r="H203" s="16"/>
    </row>
    <row r="204" spans="2:8">
      <c r="B204" s="5"/>
      <c r="H204" s="16"/>
    </row>
    <row r="205" spans="2:8">
      <c r="B205" s="5"/>
      <c r="H205" s="16"/>
    </row>
    <row r="206" spans="2:8">
      <c r="B206" s="5"/>
      <c r="H206" s="16"/>
    </row>
    <row r="207" spans="2:8">
      <c r="B207" s="5"/>
      <c r="H207" s="16"/>
    </row>
    <row r="208" spans="2:8">
      <c r="B208" s="5"/>
      <c r="H208" s="16"/>
    </row>
    <row r="209" spans="2:8">
      <c r="B209" s="5"/>
      <c r="H209" s="16"/>
    </row>
    <row r="210" spans="2:8">
      <c r="B210" s="5"/>
      <c r="H210" s="16"/>
    </row>
    <row r="211" spans="2:8">
      <c r="B211" s="5"/>
      <c r="H211" s="16"/>
    </row>
    <row r="212" spans="2:8">
      <c r="B212" s="5"/>
      <c r="H212" s="16"/>
    </row>
    <row r="213" spans="2:8">
      <c r="B213" s="5"/>
      <c r="H213" s="16"/>
    </row>
    <row r="214" spans="2:8">
      <c r="B214" s="5"/>
      <c r="H214" s="16"/>
    </row>
    <row r="215" spans="2:8">
      <c r="B215" s="5"/>
      <c r="H215" s="16"/>
    </row>
    <row r="216" spans="2:8">
      <c r="B216" s="5"/>
      <c r="H216" s="16"/>
    </row>
    <row r="217" spans="2:8">
      <c r="B217" s="5"/>
      <c r="H217" s="16"/>
    </row>
    <row r="218" spans="2:8">
      <c r="B218" s="5"/>
      <c r="H218" s="16"/>
    </row>
    <row r="219" spans="2:8">
      <c r="B219" s="5"/>
      <c r="H219" s="16"/>
    </row>
    <row r="220" spans="2:8">
      <c r="B220" s="5"/>
      <c r="H220" s="16"/>
    </row>
    <row r="221" spans="2:8">
      <c r="B221" s="5"/>
      <c r="H221" s="16"/>
    </row>
    <row r="222" spans="2:8">
      <c r="B222" s="5"/>
      <c r="H222" s="16"/>
    </row>
    <row r="223" spans="2:8">
      <c r="B223" s="5"/>
      <c r="H223" s="16"/>
    </row>
    <row r="224" spans="2:8">
      <c r="B224" s="5"/>
      <c r="H224" s="16"/>
    </row>
    <row r="225" spans="2:8">
      <c r="B225" s="5"/>
      <c r="H225" s="16"/>
    </row>
    <row r="226" spans="2:8">
      <c r="B226" s="5"/>
      <c r="H226" s="16"/>
    </row>
    <row r="227" spans="2:8">
      <c r="B227" s="5"/>
      <c r="H227" s="16"/>
    </row>
    <row r="228" spans="2:8">
      <c r="B228" s="5"/>
      <c r="H228" s="16"/>
    </row>
    <row r="229" spans="2:8">
      <c r="B229" s="5"/>
      <c r="H229" s="16"/>
    </row>
    <row r="230" spans="2:8">
      <c r="B230" s="5"/>
      <c r="H230" s="16"/>
    </row>
    <row r="231" spans="2:8">
      <c r="B231" s="5"/>
      <c r="H231" s="16"/>
    </row>
    <row r="232" spans="2:8">
      <c r="B232" s="5"/>
      <c r="H232" s="16"/>
    </row>
    <row r="233" spans="2:8">
      <c r="B233" s="5"/>
      <c r="H233" s="16"/>
    </row>
    <row r="234" spans="2:8">
      <c r="B234" s="5"/>
      <c r="H234" s="16"/>
    </row>
    <row r="235" spans="2:8">
      <c r="B235" s="5"/>
      <c r="H235" s="16"/>
    </row>
    <row r="236" spans="2:8">
      <c r="B236" s="5"/>
      <c r="H236" s="16"/>
    </row>
    <row r="237" spans="2:8">
      <c r="B237" s="5"/>
      <c r="H237" s="16"/>
    </row>
    <row r="238" spans="2:8">
      <c r="B238" s="5"/>
      <c r="H238" s="16"/>
    </row>
    <row r="239" spans="2:8">
      <c r="B239" s="5"/>
      <c r="H239" s="16"/>
    </row>
    <row r="240" spans="2:8">
      <c r="B240" s="5"/>
      <c r="H240" s="16"/>
    </row>
    <row r="241" spans="2:8">
      <c r="B241" s="5"/>
      <c r="H241" s="16"/>
    </row>
    <row r="242" spans="2:8">
      <c r="B242" s="5"/>
      <c r="H242" s="16"/>
    </row>
    <row r="243" spans="2:8">
      <c r="B243" s="5"/>
      <c r="H243" s="16"/>
    </row>
    <row r="244" spans="2:8">
      <c r="B244" s="5"/>
      <c r="H244" s="16"/>
    </row>
    <row r="245" spans="2:8">
      <c r="B245" s="5"/>
      <c r="H245" s="16"/>
    </row>
    <row r="246" spans="2:8">
      <c r="B246" s="5"/>
      <c r="H246" s="16"/>
    </row>
    <row r="247" spans="2:8">
      <c r="B247" s="5"/>
      <c r="H247" s="16"/>
    </row>
    <row r="248" spans="2:8">
      <c r="B248" s="5"/>
      <c r="H248" s="16"/>
    </row>
    <row r="249" spans="2:8">
      <c r="B249" s="5"/>
      <c r="H249" s="16"/>
    </row>
    <row r="250" spans="2:8">
      <c r="B250" s="5"/>
      <c r="H250" s="16"/>
    </row>
    <row r="251" spans="2:8">
      <c r="B251" s="5"/>
      <c r="H251" s="16"/>
    </row>
    <row r="252" spans="2:8">
      <c r="B252" s="5"/>
      <c r="H252" s="16"/>
    </row>
    <row r="253" spans="2:8">
      <c r="B253" s="5"/>
      <c r="H253" s="16"/>
    </row>
    <row r="254" spans="2:8">
      <c r="B254" s="5"/>
      <c r="H254" s="16"/>
    </row>
    <row r="255" spans="2:8">
      <c r="B255" s="5"/>
      <c r="H255" s="16"/>
    </row>
    <row r="256" spans="2:8">
      <c r="B256" s="5"/>
      <c r="H256" s="16"/>
    </row>
    <row r="257" spans="2:8">
      <c r="B257" s="5"/>
      <c r="H257" s="16"/>
    </row>
    <row r="258" spans="2:8">
      <c r="B258" s="5"/>
      <c r="H258" s="16"/>
    </row>
    <row r="259" spans="2:8">
      <c r="B259" s="5"/>
      <c r="H259" s="16"/>
    </row>
    <row r="260" spans="2:8">
      <c r="B260" s="5"/>
      <c r="H260" s="16"/>
    </row>
    <row r="261" spans="2:8">
      <c r="B261" s="5"/>
      <c r="H261" s="16"/>
    </row>
    <row r="262" spans="2:8">
      <c r="B262" s="5"/>
      <c r="H262" s="16"/>
    </row>
    <row r="263" spans="2:8">
      <c r="B263" s="5"/>
      <c r="H263" s="16"/>
    </row>
    <row r="264" spans="2:8">
      <c r="B264" s="5"/>
      <c r="H264" s="16"/>
    </row>
    <row r="265" spans="2:8">
      <c r="B265" s="5"/>
      <c r="H265" s="16"/>
    </row>
    <row r="266" spans="2:8">
      <c r="B266" s="5"/>
      <c r="H266" s="16"/>
    </row>
    <row r="267" spans="2:8">
      <c r="B267" s="5"/>
      <c r="H267" s="16"/>
    </row>
    <row r="268" spans="2:8">
      <c r="B268" s="5"/>
      <c r="H268" s="16"/>
    </row>
    <row r="269" spans="2:8">
      <c r="B269" s="5"/>
      <c r="H269" s="16"/>
    </row>
    <row r="270" spans="2:8">
      <c r="B270" s="5"/>
      <c r="H270" s="16"/>
    </row>
    <row r="271" spans="2:8">
      <c r="B271" s="5"/>
      <c r="H271" s="16"/>
    </row>
    <row r="272" spans="2:8">
      <c r="B272" s="5"/>
      <c r="H272" s="16"/>
    </row>
    <row r="273" spans="2:8">
      <c r="B273" s="5"/>
      <c r="H273" s="16"/>
    </row>
    <row r="274" spans="2:8">
      <c r="B274" s="5"/>
      <c r="H274" s="16"/>
    </row>
    <row r="275" spans="2:8">
      <c r="B275" s="5"/>
      <c r="H275" s="16"/>
    </row>
    <row r="276" spans="2:8">
      <c r="B276" s="5"/>
      <c r="H276" s="16"/>
    </row>
    <row r="277" spans="2:8">
      <c r="B277" s="5"/>
      <c r="H277" s="16"/>
    </row>
    <row r="278" spans="2:8">
      <c r="B278" s="5"/>
      <c r="H278" s="16"/>
    </row>
    <row r="279" spans="2:8">
      <c r="B279" s="5"/>
      <c r="H279" s="16"/>
    </row>
    <row r="280" spans="2:8">
      <c r="B280" s="5"/>
      <c r="H280" s="16"/>
    </row>
    <row r="281" spans="2:8">
      <c r="B281" s="5"/>
      <c r="H281" s="16"/>
    </row>
    <row r="282" spans="2:8">
      <c r="B282" s="5"/>
      <c r="H282" s="16"/>
    </row>
    <row r="283" spans="2:8">
      <c r="B283" s="5"/>
      <c r="H283" s="16"/>
    </row>
    <row r="284" spans="2:8">
      <c r="B284" s="5"/>
      <c r="H284" s="16"/>
    </row>
    <row r="285" spans="2:8">
      <c r="B285" s="5"/>
      <c r="H285" s="16"/>
    </row>
    <row r="286" spans="2:8">
      <c r="B286" s="5"/>
      <c r="H286" s="16"/>
    </row>
    <row r="287" spans="2:8">
      <c r="B287" s="5"/>
      <c r="H287" s="16"/>
    </row>
    <row r="288" spans="2:8">
      <c r="B288" s="5"/>
      <c r="H288" s="16"/>
    </row>
    <row r="289" spans="2:8">
      <c r="B289" s="5"/>
      <c r="H289" s="16"/>
    </row>
    <row r="290" spans="2:8">
      <c r="B290" s="5"/>
      <c r="H290" s="16"/>
    </row>
    <row r="291" spans="2:8">
      <c r="B291" s="5"/>
      <c r="H291" s="16"/>
    </row>
    <row r="292" spans="2:8">
      <c r="B292" s="5"/>
      <c r="H292" s="16"/>
    </row>
    <row r="293" spans="2:8">
      <c r="B293" s="5"/>
      <c r="H293" s="16"/>
    </row>
    <row r="294" spans="2:8">
      <c r="B294" s="5"/>
      <c r="H294" s="16"/>
    </row>
    <row r="295" spans="2:8">
      <c r="B295" s="5"/>
      <c r="H295" s="16"/>
    </row>
    <row r="296" spans="2:8">
      <c r="B296" s="5"/>
      <c r="H296" s="16"/>
    </row>
    <row r="297" spans="2:8">
      <c r="B297" s="5"/>
      <c r="H297" s="16"/>
    </row>
    <row r="298" spans="2:8">
      <c r="B298" s="5"/>
      <c r="H298" s="16"/>
    </row>
    <row r="299" spans="2:8">
      <c r="B299" s="5"/>
      <c r="H299" s="16"/>
    </row>
    <row r="300" spans="2:8">
      <c r="B300" s="5"/>
      <c r="H300" s="16"/>
    </row>
    <row r="301" spans="2:8">
      <c r="B301" s="5"/>
      <c r="H301" s="16"/>
    </row>
    <row r="302" spans="2:8">
      <c r="B302" s="5"/>
      <c r="H302" s="16"/>
    </row>
    <row r="303" spans="2:8">
      <c r="B303" s="5"/>
      <c r="H303" s="16"/>
    </row>
    <row r="304" spans="2:8">
      <c r="B304" s="5"/>
      <c r="H304" s="16"/>
    </row>
    <row r="305" spans="2:8">
      <c r="B305" s="5"/>
      <c r="H305" s="16"/>
    </row>
    <row r="306" spans="2:8">
      <c r="B306" s="5"/>
      <c r="H306" s="16"/>
    </row>
    <row r="307" spans="2:8">
      <c r="B307" s="5"/>
      <c r="H307" s="16"/>
    </row>
    <row r="308" spans="2:8">
      <c r="B308" s="5"/>
      <c r="H308" s="16"/>
    </row>
    <row r="309" spans="2:8">
      <c r="B309" s="5"/>
      <c r="H309" s="16"/>
    </row>
    <row r="310" spans="2:8">
      <c r="B310" s="5"/>
      <c r="H310" s="16"/>
    </row>
    <row r="311" spans="2:8">
      <c r="B311" s="5"/>
      <c r="H311" s="16"/>
    </row>
    <row r="312" spans="2:8">
      <c r="B312" s="5"/>
      <c r="H312" s="16"/>
    </row>
    <row r="313" spans="2:8">
      <c r="B313" s="5"/>
      <c r="H313" s="16"/>
    </row>
    <row r="314" spans="2:8">
      <c r="B314" s="5"/>
      <c r="H314" s="16"/>
    </row>
    <row r="315" spans="2:8">
      <c r="B315" s="5"/>
      <c r="H315" s="16"/>
    </row>
    <row r="316" spans="2:8">
      <c r="B316" s="5"/>
      <c r="H316" s="16"/>
    </row>
    <row r="317" spans="2:8">
      <c r="B317" s="5"/>
      <c r="H317" s="16"/>
    </row>
    <row r="318" spans="2:8">
      <c r="B318" s="5"/>
      <c r="H318" s="16"/>
    </row>
    <row r="319" spans="2:8">
      <c r="B319" s="5"/>
      <c r="H319" s="16"/>
    </row>
    <row r="320" spans="2:8">
      <c r="B320" s="5"/>
      <c r="H320" s="16"/>
    </row>
    <row r="321" spans="2:8">
      <c r="B321" s="5"/>
      <c r="H321" s="16"/>
    </row>
    <row r="322" spans="2:8">
      <c r="B322" s="5"/>
      <c r="H322" s="16"/>
    </row>
    <row r="323" spans="2:8">
      <c r="B323" s="5"/>
      <c r="H323" s="16"/>
    </row>
    <row r="324" spans="2:8">
      <c r="B324" s="5"/>
      <c r="H324" s="16"/>
    </row>
    <row r="325" spans="2:8">
      <c r="B325" s="5"/>
      <c r="H325" s="16"/>
    </row>
    <row r="326" spans="2:8">
      <c r="B326" s="5"/>
      <c r="H326" s="16"/>
    </row>
    <row r="327" spans="2:8">
      <c r="B327" s="5"/>
      <c r="H327" s="16"/>
    </row>
    <row r="328" spans="2:8">
      <c r="B328" s="5"/>
      <c r="H328" s="16"/>
    </row>
    <row r="329" spans="2:8">
      <c r="B329" s="5"/>
      <c r="H329" s="16"/>
    </row>
    <row r="330" spans="2:8">
      <c r="B330" s="5"/>
      <c r="H330" s="16"/>
    </row>
    <row r="331" spans="2:8">
      <c r="B331" s="5"/>
      <c r="H331" s="16"/>
    </row>
    <row r="332" spans="2:8">
      <c r="B332" s="5"/>
      <c r="H332" s="16"/>
    </row>
    <row r="333" spans="2:8">
      <c r="B333" s="5"/>
      <c r="H333" s="16"/>
    </row>
    <row r="334" spans="2:8">
      <c r="B334" s="5"/>
      <c r="H334" s="16"/>
    </row>
    <row r="335" spans="2:8">
      <c r="B335" s="5"/>
      <c r="H335" s="16"/>
    </row>
    <row r="336" spans="2:8">
      <c r="B336" s="5"/>
      <c r="H336" s="16"/>
    </row>
    <row r="337" spans="2:8">
      <c r="B337" s="5"/>
      <c r="H337" s="16"/>
    </row>
    <row r="338" spans="2:8">
      <c r="B338" s="5"/>
      <c r="H338" s="16"/>
    </row>
    <row r="339" spans="2:8">
      <c r="B339" s="5"/>
      <c r="H339" s="16"/>
    </row>
    <row r="340" spans="2:8">
      <c r="B340" s="5"/>
      <c r="H340" s="16"/>
    </row>
    <row r="341" spans="2:8">
      <c r="B341" s="5"/>
      <c r="H341" s="16"/>
    </row>
    <row r="342" spans="2:8">
      <c r="B342" s="5"/>
      <c r="H342" s="16"/>
    </row>
    <row r="343" spans="2:8">
      <c r="B343" s="5"/>
      <c r="H343" s="16"/>
    </row>
    <row r="344" spans="2:8">
      <c r="B344" s="5"/>
      <c r="H344" s="16"/>
    </row>
    <row r="345" spans="2:8">
      <c r="B345" s="5"/>
      <c r="H345" s="16"/>
    </row>
    <row r="346" spans="2:8">
      <c r="B346" s="5"/>
      <c r="H346" s="16"/>
    </row>
    <row r="347" spans="2:8">
      <c r="B347" s="5"/>
      <c r="H347" s="16"/>
    </row>
    <row r="348" spans="2:8">
      <c r="B348" s="5"/>
      <c r="H348" s="16"/>
    </row>
    <row r="349" spans="2:8">
      <c r="B349" s="5"/>
      <c r="H349" s="16"/>
    </row>
    <row r="350" spans="2:8">
      <c r="B350" s="5"/>
      <c r="H350" s="16"/>
    </row>
    <row r="351" spans="2:8">
      <c r="B351" s="5"/>
      <c r="H351" s="16"/>
    </row>
    <row r="352" spans="2:8">
      <c r="B352" s="5"/>
      <c r="H352" s="16"/>
    </row>
    <row r="353" spans="2:8">
      <c r="B353" s="5"/>
      <c r="H353" s="16"/>
    </row>
    <row r="354" spans="2:8">
      <c r="B354" s="5"/>
      <c r="H354" s="16"/>
    </row>
    <row r="355" spans="2:8">
      <c r="B355" s="5"/>
      <c r="H355" s="16"/>
    </row>
    <row r="356" spans="2:8">
      <c r="B356" s="5"/>
      <c r="H356" s="16"/>
    </row>
    <row r="357" spans="2:8">
      <c r="B357" s="5"/>
      <c r="H357" s="16"/>
    </row>
    <row r="358" spans="2:8">
      <c r="B358" s="5"/>
      <c r="H358" s="16"/>
    </row>
    <row r="359" spans="2:8">
      <c r="B359" s="5"/>
      <c r="H359" s="16"/>
    </row>
    <row r="360" spans="2:8">
      <c r="B360" s="5"/>
      <c r="H360" s="16"/>
    </row>
    <row r="361" spans="2:8">
      <c r="B361" s="5"/>
      <c r="H361" s="16"/>
    </row>
    <row r="362" spans="2:8">
      <c r="B362" s="5"/>
      <c r="H362" s="16"/>
    </row>
    <row r="363" spans="2:8">
      <c r="B363" s="5"/>
      <c r="H363" s="16"/>
    </row>
    <row r="364" spans="2:8">
      <c r="B364" s="5"/>
      <c r="H364" s="16"/>
    </row>
    <row r="365" spans="2:8">
      <c r="B365" s="5"/>
      <c r="H365" s="16"/>
    </row>
    <row r="366" spans="2:8">
      <c r="B366" s="5"/>
      <c r="H366" s="16"/>
    </row>
    <row r="367" spans="2:8">
      <c r="B367" s="5"/>
      <c r="H367" s="16"/>
    </row>
    <row r="368" spans="2:8">
      <c r="B368" s="5"/>
      <c r="H368" s="16"/>
    </row>
    <row r="369" spans="2:8">
      <c r="B369" s="5"/>
      <c r="H369" s="16"/>
    </row>
    <row r="370" spans="2:8">
      <c r="B370" s="5"/>
      <c r="H370" s="16"/>
    </row>
    <row r="371" spans="2:8">
      <c r="B371" s="5"/>
      <c r="H371" s="16"/>
    </row>
    <row r="372" spans="2:8">
      <c r="B372" s="5"/>
      <c r="H372" s="16"/>
    </row>
    <row r="373" spans="2:8">
      <c r="B373" s="5"/>
      <c r="H373" s="16"/>
    </row>
    <row r="374" spans="2:8">
      <c r="B374" s="5"/>
      <c r="H374" s="16"/>
    </row>
    <row r="375" spans="2:8">
      <c r="B375" s="5"/>
      <c r="H375" s="16"/>
    </row>
    <row r="376" spans="2:8">
      <c r="B376" s="5"/>
      <c r="H376" s="16"/>
    </row>
    <row r="377" spans="2:8">
      <c r="B377" s="5"/>
      <c r="H377" s="16"/>
    </row>
    <row r="378" spans="2:8">
      <c r="B378" s="5"/>
      <c r="H378" s="16"/>
    </row>
    <row r="379" spans="2:8">
      <c r="B379" s="5"/>
      <c r="H379" s="16"/>
    </row>
    <row r="380" spans="2:8">
      <c r="B380" s="5"/>
      <c r="H380" s="16"/>
    </row>
    <row r="381" spans="2:8">
      <c r="B381" s="5"/>
      <c r="H381" s="16"/>
    </row>
    <row r="382" spans="2:8">
      <c r="B382" s="5"/>
      <c r="H382" s="16"/>
    </row>
    <row r="383" spans="2:8">
      <c r="B383" s="5"/>
      <c r="H383" s="16"/>
    </row>
    <row r="384" spans="2:8">
      <c r="B384" s="5"/>
      <c r="H384" s="16"/>
    </row>
    <row r="385" spans="2:8">
      <c r="B385" s="5"/>
      <c r="H385" s="16"/>
    </row>
    <row r="386" spans="2:8">
      <c r="B386" s="5"/>
      <c r="H386" s="16"/>
    </row>
    <row r="387" spans="2:8">
      <c r="B387" s="5"/>
      <c r="H387" s="16"/>
    </row>
    <row r="388" spans="2:8">
      <c r="B388" s="5"/>
      <c r="H388" s="16"/>
    </row>
    <row r="389" spans="2:8">
      <c r="B389" s="5"/>
      <c r="H389" s="16"/>
    </row>
    <row r="390" spans="2:8">
      <c r="B390" s="5"/>
      <c r="H390" s="16"/>
    </row>
    <row r="391" spans="2:8">
      <c r="B391" s="5"/>
      <c r="H391" s="16"/>
    </row>
    <row r="392" spans="2:8">
      <c r="B392" s="5"/>
      <c r="H392" s="16"/>
    </row>
    <row r="393" spans="2:8">
      <c r="B393" s="5"/>
      <c r="H393" s="16"/>
    </row>
    <row r="394" spans="2:8">
      <c r="B394" s="5"/>
      <c r="H394" s="16"/>
    </row>
    <row r="395" spans="2:8">
      <c r="B395" s="5"/>
      <c r="H395" s="16"/>
    </row>
    <row r="396" spans="2:8">
      <c r="B396" s="5"/>
      <c r="H396" s="16"/>
    </row>
    <row r="397" spans="2:8">
      <c r="B397" s="5"/>
      <c r="H397" s="16"/>
    </row>
    <row r="398" spans="2:8">
      <c r="B398" s="5"/>
      <c r="H398" s="16"/>
    </row>
    <row r="399" spans="2:8">
      <c r="B399" s="5"/>
      <c r="H399" s="16"/>
    </row>
    <row r="400" spans="2:8">
      <c r="B400" s="5"/>
      <c r="H400" s="16"/>
    </row>
    <row r="401" spans="2:8">
      <c r="B401" s="5"/>
      <c r="H401" s="16"/>
    </row>
    <row r="402" spans="2:8">
      <c r="B402" s="5"/>
      <c r="H402" s="16"/>
    </row>
    <row r="403" spans="2:8">
      <c r="B403" s="5"/>
      <c r="H403" s="16"/>
    </row>
    <row r="404" spans="2:8">
      <c r="B404" s="5"/>
      <c r="H404" s="16"/>
    </row>
    <row r="405" spans="2:8">
      <c r="B405" s="5"/>
      <c r="H405" s="16"/>
    </row>
    <row r="406" spans="2:8">
      <c r="B406" s="5"/>
      <c r="H406" s="16"/>
    </row>
    <row r="407" spans="2:8">
      <c r="B407" s="5"/>
      <c r="H407" s="16"/>
    </row>
    <row r="408" spans="2:8">
      <c r="B408" s="5"/>
      <c r="H408" s="16"/>
    </row>
    <row r="409" spans="2:8">
      <c r="B409" s="5"/>
      <c r="H409" s="16"/>
    </row>
    <row r="410" spans="2:8">
      <c r="B410" s="5"/>
      <c r="H410" s="16"/>
    </row>
    <row r="411" spans="2:8">
      <c r="B411" s="5"/>
      <c r="H411" s="16"/>
    </row>
    <row r="412" spans="2:8">
      <c r="B412" s="5"/>
      <c r="H412" s="16"/>
    </row>
    <row r="413" spans="2:8">
      <c r="B413" s="5"/>
      <c r="H413" s="16"/>
    </row>
    <row r="414" spans="2:8">
      <c r="B414" s="5"/>
      <c r="H414" s="16"/>
    </row>
    <row r="415" spans="2:8">
      <c r="B415" s="5"/>
      <c r="H415" s="16"/>
    </row>
    <row r="416" spans="2:8">
      <c r="B416" s="5"/>
      <c r="H416" s="16"/>
    </row>
    <row r="417" spans="2:8">
      <c r="B417" s="5"/>
      <c r="H417" s="16"/>
    </row>
    <row r="418" spans="2:8">
      <c r="B418" s="5"/>
      <c r="H418" s="16"/>
    </row>
    <row r="419" spans="2:8">
      <c r="B419" s="5"/>
      <c r="H419" s="16"/>
    </row>
    <row r="420" spans="2:8">
      <c r="B420" s="5"/>
      <c r="H420" s="16"/>
    </row>
    <row r="421" spans="2:8">
      <c r="B421" s="5"/>
      <c r="H421" s="16"/>
    </row>
    <row r="422" spans="2:8">
      <c r="B422" s="5"/>
      <c r="H422" s="16"/>
    </row>
    <row r="423" spans="2:8">
      <c r="B423" s="5"/>
      <c r="H423" s="16"/>
    </row>
    <row r="424" spans="2:8">
      <c r="B424" s="5"/>
      <c r="H424" s="16"/>
    </row>
    <row r="425" spans="2:8">
      <c r="B425" s="5"/>
      <c r="H425" s="16"/>
    </row>
    <row r="426" spans="2:8">
      <c r="B426" s="5"/>
      <c r="H426" s="16"/>
    </row>
    <row r="427" spans="2:8">
      <c r="B427" s="5"/>
      <c r="H427" s="16"/>
    </row>
    <row r="428" spans="2:8">
      <c r="B428" s="5"/>
      <c r="H428" s="16"/>
    </row>
    <row r="429" spans="2:8">
      <c r="B429" s="5"/>
      <c r="H429" s="16"/>
    </row>
    <row r="430" spans="2:8">
      <c r="B430" s="5"/>
      <c r="H430" s="16"/>
    </row>
    <row r="431" spans="2:8">
      <c r="B431" s="5"/>
      <c r="H431" s="16"/>
    </row>
    <row r="432" spans="2:8">
      <c r="B432" s="5"/>
      <c r="H432" s="16"/>
    </row>
    <row r="433" spans="2:8">
      <c r="B433" s="5"/>
      <c r="H433" s="16"/>
    </row>
    <row r="434" spans="2:8">
      <c r="B434" s="5"/>
      <c r="H434" s="16"/>
    </row>
    <row r="435" spans="2:8">
      <c r="B435" s="5"/>
      <c r="H435" s="16"/>
    </row>
    <row r="436" spans="2:8">
      <c r="B436" s="5"/>
      <c r="H436" s="16"/>
    </row>
    <row r="437" spans="2:8">
      <c r="B437" s="5"/>
      <c r="H437" s="16"/>
    </row>
    <row r="438" spans="2:8">
      <c r="B438" s="5"/>
      <c r="H438" s="16"/>
    </row>
    <row r="439" spans="2:8">
      <c r="B439" s="5"/>
      <c r="H439" s="16"/>
    </row>
    <row r="440" spans="2:8">
      <c r="B440" s="5"/>
      <c r="H440" s="16"/>
    </row>
    <row r="441" spans="2:8">
      <c r="B441" s="5"/>
      <c r="H441" s="16"/>
    </row>
    <row r="442" spans="2:8">
      <c r="B442" s="5"/>
      <c r="H442" s="16"/>
    </row>
    <row r="443" spans="2:8">
      <c r="B443" s="5"/>
      <c r="H443" s="16"/>
    </row>
    <row r="444" spans="2:8">
      <c r="B444" s="5"/>
      <c r="H444" s="16"/>
    </row>
    <row r="445" spans="2:8">
      <c r="B445" s="5"/>
      <c r="H445" s="16"/>
    </row>
    <row r="446" spans="2:8">
      <c r="B446" s="5"/>
      <c r="H446" s="16"/>
    </row>
    <row r="447" spans="2:8">
      <c r="B447" s="5"/>
      <c r="H447" s="16"/>
    </row>
    <row r="448" spans="2:8">
      <c r="B448" s="5"/>
      <c r="H448" s="16"/>
    </row>
    <row r="449" spans="2:8">
      <c r="B449" s="5"/>
      <c r="H449" s="16"/>
    </row>
    <row r="450" spans="2:8">
      <c r="B450" s="5"/>
      <c r="H450" s="16"/>
    </row>
    <row r="451" spans="2:8">
      <c r="B451" s="5"/>
      <c r="H451" s="16"/>
    </row>
    <row r="452" spans="2:8">
      <c r="B452" s="5"/>
      <c r="H452" s="16"/>
    </row>
    <row r="453" spans="2:8">
      <c r="B453" s="5"/>
      <c r="H453" s="16"/>
    </row>
    <row r="454" spans="2:8">
      <c r="B454" s="5"/>
      <c r="H454" s="16"/>
    </row>
    <row r="455" spans="2:8">
      <c r="B455" s="5"/>
      <c r="H455" s="16"/>
    </row>
    <row r="456" spans="2:8">
      <c r="B456" s="5"/>
      <c r="H456" s="16"/>
    </row>
    <row r="457" spans="2:8">
      <c r="B457" s="5"/>
      <c r="H457" s="16"/>
    </row>
    <row r="458" spans="2:8">
      <c r="B458" s="5"/>
      <c r="H458" s="16"/>
    </row>
    <row r="459" spans="2:8">
      <c r="B459" s="5"/>
      <c r="H459" s="16"/>
    </row>
    <row r="460" spans="2:8">
      <c r="B460" s="5"/>
      <c r="H460" s="16"/>
    </row>
    <row r="461" spans="2:8">
      <c r="B461" s="5"/>
      <c r="H461" s="16"/>
    </row>
    <row r="462" spans="2:8">
      <c r="B462" s="5"/>
      <c r="H462" s="16"/>
    </row>
    <row r="463" spans="2:8">
      <c r="B463" s="5"/>
      <c r="H463" s="16"/>
    </row>
    <row r="464" spans="2:8">
      <c r="B464" s="5"/>
      <c r="H464" s="16"/>
    </row>
    <row r="465" spans="2:8">
      <c r="B465" s="5"/>
      <c r="H465" s="16"/>
    </row>
    <row r="466" spans="2:8">
      <c r="B466" s="5"/>
      <c r="H466" s="16"/>
    </row>
    <row r="467" spans="2:8">
      <c r="B467" s="5"/>
      <c r="H467" s="16"/>
    </row>
    <row r="468" spans="2:8">
      <c r="B468" s="5"/>
      <c r="H468" s="16"/>
    </row>
    <row r="469" spans="2:8">
      <c r="B469" s="5"/>
      <c r="H469" s="16"/>
    </row>
    <row r="470" spans="2:8">
      <c r="B470" s="5"/>
      <c r="H470" s="16"/>
    </row>
    <row r="471" spans="2:8">
      <c r="B471" s="5"/>
      <c r="H471" s="16"/>
    </row>
    <row r="472" spans="2:8">
      <c r="B472" s="5"/>
      <c r="H472" s="16"/>
    </row>
    <row r="473" spans="2:8">
      <c r="B473" s="5"/>
      <c r="H473" s="16"/>
    </row>
    <row r="474" spans="2:8">
      <c r="B474" s="5"/>
      <c r="H474" s="16"/>
    </row>
    <row r="475" spans="2:8">
      <c r="B475" s="5"/>
      <c r="H475" s="16"/>
    </row>
    <row r="476" spans="2:8">
      <c r="B476" s="5"/>
      <c r="H476" s="16"/>
    </row>
    <row r="477" spans="2:8">
      <c r="B477" s="5"/>
      <c r="H477" s="16"/>
    </row>
    <row r="478" spans="2:8">
      <c r="B478" s="5"/>
      <c r="H478" s="16"/>
    </row>
    <row r="479" spans="2:8">
      <c r="B479" s="5"/>
      <c r="H479" s="16"/>
    </row>
    <row r="480" spans="2:8">
      <c r="B480" s="5"/>
      <c r="H480" s="16"/>
    </row>
    <row r="481" spans="2:8">
      <c r="B481" s="5"/>
      <c r="H481" s="16"/>
    </row>
    <row r="482" spans="2:8">
      <c r="B482" s="5"/>
      <c r="H482" s="16"/>
    </row>
    <row r="483" spans="2:8">
      <c r="B483" s="5"/>
      <c r="H483" s="16"/>
    </row>
    <row r="484" spans="2:8">
      <c r="B484" s="5"/>
      <c r="H484" s="16"/>
    </row>
    <row r="485" spans="2:8">
      <c r="B485" s="5"/>
      <c r="H485" s="16"/>
    </row>
    <row r="486" spans="2:8">
      <c r="B486" s="5"/>
      <c r="H486" s="16"/>
    </row>
    <row r="487" spans="2:8">
      <c r="B487" s="5"/>
      <c r="H487" s="16"/>
    </row>
    <row r="488" spans="2:8">
      <c r="B488" s="5"/>
      <c r="H488" s="16"/>
    </row>
    <row r="489" spans="2:8">
      <c r="B489" s="5"/>
      <c r="H489" s="16"/>
    </row>
    <row r="490" spans="2:8">
      <c r="B490" s="5"/>
      <c r="H490" s="16"/>
    </row>
    <row r="491" spans="2:8">
      <c r="B491" s="5"/>
      <c r="H491" s="16"/>
    </row>
    <row r="492" spans="2:8">
      <c r="B492" s="5"/>
      <c r="H492" s="16"/>
    </row>
    <row r="493" spans="2:8">
      <c r="B493" s="5"/>
      <c r="H493" s="16"/>
    </row>
    <row r="494" spans="2:8">
      <c r="B494" s="5"/>
      <c r="H494" s="16"/>
    </row>
    <row r="495" spans="2:8">
      <c r="B495" s="5"/>
      <c r="H495" s="16"/>
    </row>
    <row r="496" spans="2:8">
      <c r="B496" s="5"/>
      <c r="H496" s="16"/>
    </row>
    <row r="497" spans="2:8">
      <c r="B497" s="5"/>
      <c r="H497" s="16"/>
    </row>
    <row r="498" spans="2:8">
      <c r="B498" s="5"/>
      <c r="H498" s="16"/>
    </row>
    <row r="499" spans="2:8">
      <c r="B499" s="5"/>
      <c r="H499" s="16"/>
    </row>
    <row r="500" spans="2:8">
      <c r="B500" s="5"/>
      <c r="H500" s="16"/>
    </row>
    <row r="501" spans="2:8">
      <c r="B501" s="5"/>
      <c r="H501" s="16"/>
    </row>
    <row r="502" spans="2:8">
      <c r="B502" s="5"/>
      <c r="H502" s="16"/>
    </row>
    <row r="503" spans="2:8">
      <c r="B503" s="5"/>
      <c r="H503" s="16"/>
    </row>
    <row r="504" spans="2:8">
      <c r="B504" s="5"/>
      <c r="H504" s="16"/>
    </row>
    <row r="505" spans="2:8">
      <c r="B505" s="5"/>
      <c r="H505" s="16"/>
    </row>
    <row r="506" spans="2:8">
      <c r="B506" s="5"/>
      <c r="H506" s="16"/>
    </row>
    <row r="507" spans="2:8">
      <c r="B507" s="5"/>
      <c r="H507" s="16"/>
    </row>
    <row r="508" spans="2:8">
      <c r="B508" s="5"/>
      <c r="H508" s="16"/>
    </row>
    <row r="509" spans="2:8">
      <c r="B509" s="5"/>
      <c r="H509" s="16"/>
    </row>
    <row r="510" spans="2:8">
      <c r="B510" s="5"/>
      <c r="H510" s="16"/>
    </row>
    <row r="511" spans="2:8">
      <c r="B511" s="5"/>
      <c r="H511" s="16"/>
    </row>
    <row r="512" spans="2:8">
      <c r="B512" s="5"/>
      <c r="H512" s="16"/>
    </row>
    <row r="513" spans="2:8">
      <c r="B513" s="5"/>
      <c r="H513" s="16"/>
    </row>
    <row r="514" spans="2:8">
      <c r="B514" s="5"/>
      <c r="H514" s="16"/>
    </row>
    <row r="515" spans="2:8">
      <c r="B515" s="5"/>
      <c r="H515" s="16"/>
    </row>
    <row r="516" spans="2:8">
      <c r="B516" s="5"/>
      <c r="H516" s="16"/>
    </row>
    <row r="517" spans="2:8">
      <c r="B517" s="5"/>
      <c r="H517" s="16"/>
    </row>
    <row r="518" spans="2:8">
      <c r="B518" s="5"/>
      <c r="H518" s="16"/>
    </row>
    <row r="519" spans="2:8">
      <c r="B519" s="5"/>
      <c r="H519" s="16"/>
    </row>
    <row r="520" spans="2:8">
      <c r="B520" s="5"/>
      <c r="H520" s="16"/>
    </row>
    <row r="521" spans="2:8">
      <c r="B521" s="5"/>
      <c r="H521" s="16"/>
    </row>
    <row r="522" spans="2:8">
      <c r="B522" s="5"/>
      <c r="H522" s="16"/>
    </row>
    <row r="523" spans="2:8">
      <c r="B523" s="5"/>
      <c r="H523" s="16"/>
    </row>
    <row r="524" spans="2:8">
      <c r="B524" s="5"/>
      <c r="H524" s="16"/>
    </row>
    <row r="525" spans="2:8">
      <c r="B525" s="5"/>
      <c r="H525" s="16"/>
    </row>
    <row r="526" spans="2:8">
      <c r="B526" s="5"/>
      <c r="H526" s="16"/>
    </row>
    <row r="527" spans="2:8">
      <c r="B527" s="5"/>
      <c r="H527" s="16"/>
    </row>
    <row r="528" spans="2:8">
      <c r="B528" s="5"/>
      <c r="H528" s="16"/>
    </row>
    <row r="529" spans="2:8">
      <c r="B529" s="5"/>
      <c r="H529" s="16"/>
    </row>
    <row r="530" spans="2:8">
      <c r="B530" s="5"/>
      <c r="H530" s="16"/>
    </row>
    <row r="531" spans="2:8">
      <c r="B531" s="5"/>
      <c r="H531" s="16"/>
    </row>
    <row r="532" spans="2:8">
      <c r="B532" s="5"/>
      <c r="H532" s="16"/>
    </row>
    <row r="533" spans="2:8">
      <c r="B533" s="5"/>
      <c r="H533" s="16"/>
    </row>
    <row r="534" spans="2:8">
      <c r="B534" s="5"/>
      <c r="H534" s="16"/>
    </row>
    <row r="535" spans="2:8">
      <c r="B535" s="5"/>
      <c r="H535" s="16"/>
    </row>
    <row r="536" spans="2:8">
      <c r="B536" s="5"/>
      <c r="H536" s="16"/>
    </row>
    <row r="537" spans="2:8">
      <c r="B537" s="5"/>
      <c r="H537" s="16"/>
    </row>
    <row r="538" spans="2:8">
      <c r="B538" s="5"/>
      <c r="H538" s="16"/>
    </row>
    <row r="539" spans="2:8">
      <c r="B539" s="5"/>
      <c r="H539" s="16"/>
    </row>
    <row r="540" spans="2:8">
      <c r="B540" s="5"/>
      <c r="H540" s="16"/>
    </row>
    <row r="541" spans="2:8">
      <c r="B541" s="5"/>
      <c r="H541" s="16"/>
    </row>
    <row r="542" spans="2:8">
      <c r="B542" s="5"/>
      <c r="H542" s="16"/>
    </row>
    <row r="543" spans="2:8">
      <c r="B543" s="5"/>
      <c r="H543" s="16"/>
    </row>
    <row r="544" spans="2:8">
      <c r="B544" s="5"/>
      <c r="H544" s="16"/>
    </row>
    <row r="545" spans="2:8">
      <c r="B545" s="5"/>
      <c r="H545" s="16"/>
    </row>
    <row r="546" spans="2:8">
      <c r="B546" s="5"/>
      <c r="H546" s="16"/>
    </row>
    <row r="547" spans="2:8">
      <c r="B547" s="5"/>
      <c r="H547" s="16"/>
    </row>
    <row r="548" spans="2:8">
      <c r="B548" s="5"/>
      <c r="H548" s="16"/>
    </row>
    <row r="549" spans="2:8">
      <c r="B549" s="5"/>
      <c r="H549" s="16"/>
    </row>
    <row r="550" spans="2:8">
      <c r="B550" s="5"/>
      <c r="H550" s="16"/>
    </row>
    <row r="551" spans="2:8">
      <c r="B551" s="5"/>
      <c r="H551" s="16"/>
    </row>
    <row r="552" spans="2:8">
      <c r="B552" s="5"/>
      <c r="H552" s="16"/>
    </row>
    <row r="553" spans="2:8">
      <c r="B553" s="5"/>
      <c r="H553" s="16"/>
    </row>
    <row r="554" spans="2:8">
      <c r="B554" s="5"/>
      <c r="H554" s="16"/>
    </row>
    <row r="555" spans="2:8">
      <c r="B555" s="5"/>
      <c r="H555" s="16"/>
    </row>
    <row r="556" spans="2:8">
      <c r="B556" s="5"/>
      <c r="H556" s="16"/>
    </row>
    <row r="557" spans="2:8">
      <c r="B557" s="5"/>
      <c r="H557" s="16"/>
    </row>
    <row r="558" spans="2:8">
      <c r="B558" s="5"/>
      <c r="H558" s="16"/>
    </row>
    <row r="559" spans="2:8">
      <c r="B559" s="5"/>
      <c r="H559" s="16"/>
    </row>
    <row r="560" spans="2:8">
      <c r="B560" s="5"/>
      <c r="H560" s="16"/>
    </row>
    <row r="561" spans="2:8">
      <c r="B561" s="5"/>
      <c r="H561" s="16"/>
    </row>
    <row r="562" spans="2:8">
      <c r="B562" s="5"/>
      <c r="H562" s="16"/>
    </row>
    <row r="563" spans="2:8">
      <c r="B563" s="5"/>
      <c r="H563" s="16"/>
    </row>
    <row r="564" spans="2:8">
      <c r="B564" s="5"/>
      <c r="H564" s="16"/>
    </row>
    <row r="565" spans="2:8">
      <c r="B565" s="5"/>
      <c r="H565" s="16"/>
    </row>
    <row r="566" spans="2:8">
      <c r="B566" s="5"/>
      <c r="H566" s="16"/>
    </row>
    <row r="567" spans="2:8">
      <c r="B567" s="5"/>
      <c r="H567" s="16"/>
    </row>
    <row r="568" spans="2:8">
      <c r="B568" s="5"/>
      <c r="H568" s="16"/>
    </row>
    <row r="569" spans="2:8">
      <c r="B569" s="5"/>
      <c r="H569" s="16"/>
    </row>
    <row r="570" spans="2:8">
      <c r="B570" s="5"/>
      <c r="H570" s="16"/>
    </row>
    <row r="571" spans="2:8">
      <c r="B571" s="5"/>
      <c r="H571" s="16"/>
    </row>
    <row r="572" spans="2:8">
      <c r="B572" s="5"/>
      <c r="H572" s="16"/>
    </row>
    <row r="573" spans="2:8">
      <c r="B573" s="5"/>
      <c r="H573" s="16"/>
    </row>
    <row r="574" spans="2:8">
      <c r="B574" s="5"/>
      <c r="H574" s="16"/>
    </row>
    <row r="575" spans="2:8">
      <c r="B575" s="5"/>
      <c r="H575" s="16"/>
    </row>
    <row r="576" spans="2:8">
      <c r="B576" s="5"/>
      <c r="H576" s="16"/>
    </row>
    <row r="577" spans="2:8">
      <c r="B577" s="5"/>
      <c r="H577" s="16"/>
    </row>
    <row r="578" spans="2:8">
      <c r="B578" s="5"/>
      <c r="H578" s="16"/>
    </row>
    <row r="579" spans="2:8">
      <c r="B579" s="5"/>
      <c r="H579" s="16"/>
    </row>
    <row r="580" spans="2:8">
      <c r="B580" s="5"/>
      <c r="H580" s="16"/>
    </row>
    <row r="581" spans="2:8">
      <c r="B581" s="5"/>
      <c r="H581" s="16"/>
    </row>
    <row r="582" spans="2:8">
      <c r="B582" s="5"/>
      <c r="H582" s="16"/>
    </row>
    <row r="583" spans="2:8">
      <c r="B583" s="5"/>
      <c r="H583" s="16"/>
    </row>
    <row r="584" spans="2:8">
      <c r="B584" s="5"/>
      <c r="H584" s="16"/>
    </row>
    <row r="585" spans="2:8">
      <c r="B585" s="5"/>
      <c r="H585" s="16"/>
    </row>
    <row r="586" spans="2:8">
      <c r="B586" s="5"/>
      <c r="H586" s="16"/>
    </row>
    <row r="587" spans="2:8">
      <c r="B587" s="5"/>
      <c r="H587" s="16"/>
    </row>
    <row r="588" spans="2:8">
      <c r="B588" s="5"/>
      <c r="H588" s="16"/>
    </row>
    <row r="589" spans="2:8">
      <c r="B589" s="5"/>
      <c r="H589" s="16"/>
    </row>
    <row r="590" spans="2:8">
      <c r="B590" s="5"/>
      <c r="H590" s="16"/>
    </row>
    <row r="591" spans="2:8">
      <c r="B591" s="5"/>
      <c r="H591" s="16"/>
    </row>
    <row r="592" spans="2:8">
      <c r="B592" s="5"/>
      <c r="H592" s="16"/>
    </row>
    <row r="593" spans="2:8">
      <c r="B593" s="5"/>
      <c r="H593" s="16"/>
    </row>
    <row r="594" spans="2:8">
      <c r="B594" s="5"/>
      <c r="H594" s="16"/>
    </row>
    <row r="595" spans="2:8">
      <c r="B595" s="5"/>
      <c r="H595" s="16"/>
    </row>
    <row r="596" spans="2:8">
      <c r="B596" s="5"/>
      <c r="H596" s="16"/>
    </row>
    <row r="597" spans="2:8">
      <c r="B597" s="5"/>
      <c r="H597" s="16"/>
    </row>
    <row r="598" spans="2:8">
      <c r="B598" s="5"/>
      <c r="H598" s="16"/>
    </row>
    <row r="599" spans="2:8">
      <c r="B599" s="5"/>
      <c r="H599" s="16"/>
    </row>
    <row r="600" spans="2:8">
      <c r="B600" s="5"/>
      <c r="H600" s="16"/>
    </row>
    <row r="601" spans="2:8">
      <c r="B601" s="5"/>
      <c r="H601" s="16"/>
    </row>
    <row r="602" spans="2:8">
      <c r="B602" s="5"/>
      <c r="H602" s="16"/>
    </row>
    <row r="603" spans="2:8">
      <c r="B603" s="5"/>
      <c r="H603" s="16"/>
    </row>
    <row r="604" spans="2:8">
      <c r="B604" s="5"/>
      <c r="H604" s="16"/>
    </row>
    <row r="605" spans="2:8">
      <c r="B605" s="5"/>
      <c r="H605" s="16"/>
    </row>
    <row r="606" spans="2:8">
      <c r="B606" s="5"/>
      <c r="H606" s="16"/>
    </row>
    <row r="607" spans="2:8">
      <c r="B607" s="5"/>
      <c r="H607" s="16"/>
    </row>
    <row r="608" spans="2:8">
      <c r="B608" s="5"/>
      <c r="H608" s="16"/>
    </row>
    <row r="609" spans="2:8">
      <c r="B609" s="5"/>
      <c r="H609" s="16"/>
    </row>
    <row r="610" spans="2:8">
      <c r="B610" s="5"/>
      <c r="H610" s="16"/>
    </row>
    <row r="611" spans="2:8">
      <c r="B611" s="5"/>
      <c r="H611" s="16"/>
    </row>
    <row r="612" spans="2:8">
      <c r="B612" s="5"/>
      <c r="H612" s="16"/>
    </row>
    <row r="613" spans="2:8">
      <c r="B613" s="5"/>
      <c r="H613" s="16"/>
    </row>
    <row r="614" spans="2:8">
      <c r="B614" s="5"/>
      <c r="H614" s="16"/>
    </row>
    <row r="615" spans="2:8">
      <c r="B615" s="5"/>
      <c r="H615" s="16"/>
    </row>
    <row r="616" spans="2:8">
      <c r="B616" s="5"/>
      <c r="H616" s="16"/>
    </row>
    <row r="617" spans="2:8">
      <c r="B617" s="5"/>
      <c r="H617" s="16"/>
    </row>
    <row r="618" spans="2:8">
      <c r="B618" s="5"/>
      <c r="H618" s="16"/>
    </row>
    <row r="619" spans="2:8">
      <c r="B619" s="5"/>
      <c r="H619" s="16"/>
    </row>
    <row r="620" spans="2:8">
      <c r="B620" s="5"/>
      <c r="H620" s="16"/>
    </row>
    <row r="621" spans="2:8">
      <c r="B621" s="5"/>
      <c r="H621" s="16"/>
    </row>
    <row r="622" spans="2:8">
      <c r="B622" s="5"/>
      <c r="H622" s="16"/>
    </row>
    <row r="623" spans="2:8">
      <c r="B623" s="5"/>
      <c r="H623" s="16"/>
    </row>
    <row r="624" spans="2:8">
      <c r="B624" s="5"/>
      <c r="H624" s="16"/>
    </row>
    <row r="625" spans="2:8">
      <c r="B625" s="5"/>
      <c r="H625" s="16"/>
    </row>
    <row r="626" spans="2:8">
      <c r="B626" s="5"/>
      <c r="H626" s="16"/>
    </row>
    <row r="627" spans="2:8">
      <c r="B627" s="5"/>
      <c r="H627" s="16"/>
    </row>
    <row r="628" spans="2:8">
      <c r="B628" s="5"/>
      <c r="H628" s="16"/>
    </row>
    <row r="629" spans="2:8">
      <c r="B629" s="5"/>
      <c r="H629" s="16"/>
    </row>
    <row r="630" spans="2:8">
      <c r="B630" s="5"/>
      <c r="H630" s="16"/>
    </row>
    <row r="631" spans="2:8">
      <c r="B631" s="5"/>
      <c r="H631" s="16"/>
    </row>
    <row r="632" spans="2:8">
      <c r="B632" s="5"/>
      <c r="H632" s="16"/>
    </row>
    <row r="633" spans="2:8">
      <c r="B633" s="5"/>
      <c r="H633" s="16"/>
    </row>
    <row r="634" spans="2:8">
      <c r="B634" s="5"/>
      <c r="H634" s="16"/>
    </row>
    <row r="635" spans="2:8">
      <c r="B635" s="5"/>
      <c r="H635" s="16"/>
    </row>
    <row r="636" spans="2:8">
      <c r="B636" s="5"/>
      <c r="H636" s="16"/>
    </row>
    <row r="637" spans="2:8">
      <c r="B637" s="5"/>
      <c r="H637" s="16"/>
    </row>
    <row r="638" spans="2:8">
      <c r="B638" s="5"/>
      <c r="H638" s="16"/>
    </row>
    <row r="639" spans="2:8">
      <c r="B639" s="5"/>
      <c r="H639" s="16"/>
    </row>
    <row r="640" spans="2:8">
      <c r="B640" s="5"/>
      <c r="H640" s="16"/>
    </row>
    <row r="641" spans="2:8">
      <c r="B641" s="5"/>
      <c r="H641" s="16"/>
    </row>
    <row r="642" spans="2:8">
      <c r="B642" s="5"/>
      <c r="H642" s="16"/>
    </row>
    <row r="643" spans="2:8">
      <c r="B643" s="5"/>
      <c r="H643" s="16"/>
    </row>
    <row r="644" spans="2:8">
      <c r="B644" s="5"/>
      <c r="H644" s="16"/>
    </row>
    <row r="645" spans="2:8">
      <c r="B645" s="5"/>
      <c r="H645" s="16"/>
    </row>
    <row r="646" spans="2:8">
      <c r="B646" s="5"/>
      <c r="H646" s="16"/>
    </row>
    <row r="647" spans="2:8">
      <c r="B647" s="5"/>
      <c r="H647" s="16"/>
    </row>
    <row r="648" spans="2:8">
      <c r="B648" s="5"/>
      <c r="H648" s="16"/>
    </row>
    <row r="649" spans="2:8">
      <c r="B649" s="5"/>
      <c r="H649" s="16"/>
    </row>
    <row r="650" spans="2:8">
      <c r="B650" s="5"/>
      <c r="H650" s="16"/>
    </row>
    <row r="651" spans="2:8">
      <c r="B651" s="5"/>
      <c r="H651" s="16"/>
    </row>
    <row r="652" spans="2:8">
      <c r="B652" s="5"/>
      <c r="H652" s="16"/>
    </row>
    <row r="653" spans="2:8">
      <c r="B653" s="5"/>
      <c r="H653" s="16"/>
    </row>
    <row r="654" spans="2:8">
      <c r="B654" s="5"/>
      <c r="H654" s="16"/>
    </row>
    <row r="655" spans="2:8">
      <c r="B655" s="5"/>
      <c r="H655" s="16"/>
    </row>
    <row r="656" spans="2:8">
      <c r="B656" s="5"/>
      <c r="H656" s="16"/>
    </row>
    <row r="657" spans="2:8">
      <c r="B657" s="5"/>
      <c r="H657" s="16"/>
    </row>
    <row r="658" spans="2:8">
      <c r="B658" s="5"/>
      <c r="H658" s="16"/>
    </row>
    <row r="659" spans="2:8">
      <c r="B659" s="5"/>
      <c r="H659" s="16"/>
    </row>
    <row r="660" spans="2:8">
      <c r="B660" s="5"/>
      <c r="H660" s="16"/>
    </row>
    <row r="661" spans="2:8">
      <c r="B661" s="5"/>
      <c r="H661" s="16"/>
    </row>
    <row r="662" spans="2:8">
      <c r="B662" s="5"/>
      <c r="H662" s="16"/>
    </row>
    <row r="663" spans="2:8">
      <c r="B663" s="5"/>
      <c r="H663" s="16"/>
    </row>
    <row r="664" spans="2:8">
      <c r="B664" s="5"/>
      <c r="H664" s="16"/>
    </row>
    <row r="665" spans="2:8">
      <c r="B665" s="5"/>
      <c r="H665" s="16"/>
    </row>
    <row r="666" spans="2:8">
      <c r="B666" s="5"/>
      <c r="H666" s="16"/>
    </row>
    <row r="667" spans="2:8">
      <c r="B667" s="5"/>
      <c r="H667" s="16"/>
    </row>
    <row r="668" spans="2:8">
      <c r="B668" s="5"/>
      <c r="H668" s="16"/>
    </row>
    <row r="669" spans="2:8">
      <c r="B669" s="5"/>
      <c r="H669" s="16"/>
    </row>
    <row r="670" spans="2:8">
      <c r="B670" s="5"/>
      <c r="H670" s="16"/>
    </row>
    <row r="671" spans="2:8">
      <c r="B671" s="5"/>
      <c r="H671" s="16"/>
    </row>
    <row r="672" spans="2:8">
      <c r="B672" s="5"/>
      <c r="H672" s="16"/>
    </row>
    <row r="673" spans="2:8">
      <c r="B673" s="5"/>
      <c r="H673" s="16"/>
    </row>
    <row r="674" spans="2:8">
      <c r="B674" s="5"/>
      <c r="H674" s="16"/>
    </row>
    <row r="675" spans="2:8">
      <c r="B675" s="5"/>
      <c r="H675" s="16"/>
    </row>
    <row r="676" spans="2:8">
      <c r="B676" s="5"/>
      <c r="H676" s="16"/>
    </row>
    <row r="677" spans="2:8">
      <c r="B677" s="5"/>
      <c r="H677" s="16"/>
    </row>
    <row r="678" spans="2:8">
      <c r="B678" s="5"/>
      <c r="H678" s="16"/>
    </row>
    <row r="679" spans="2:8">
      <c r="B679" s="5"/>
      <c r="H679" s="16"/>
    </row>
    <row r="680" spans="2:8">
      <c r="B680" s="5"/>
      <c r="H680" s="16"/>
    </row>
    <row r="681" spans="2:8">
      <c r="B681" s="5"/>
      <c r="H681" s="16"/>
    </row>
    <row r="682" spans="2:8">
      <c r="B682" s="5"/>
      <c r="H682" s="16"/>
    </row>
    <row r="683" spans="2:8">
      <c r="B683" s="5"/>
      <c r="H683" s="16"/>
    </row>
    <row r="684" spans="2:8">
      <c r="B684" s="5"/>
      <c r="H684" s="16"/>
    </row>
    <row r="685" spans="2:8">
      <c r="B685" s="5"/>
      <c r="H685" s="16"/>
    </row>
    <row r="686" spans="2:8">
      <c r="B686" s="5"/>
      <c r="H686" s="16"/>
    </row>
    <row r="687" spans="2:8">
      <c r="B687" s="5"/>
      <c r="H687" s="16"/>
    </row>
    <row r="688" spans="2:8">
      <c r="B688" s="5"/>
      <c r="H688" s="16"/>
    </row>
    <row r="689" spans="2:8">
      <c r="B689" s="5"/>
      <c r="H689" s="16"/>
    </row>
    <row r="690" spans="2:8">
      <c r="B690" s="5"/>
      <c r="H690" s="16"/>
    </row>
    <row r="691" spans="2:8">
      <c r="B691" s="5"/>
      <c r="H691" s="16"/>
    </row>
    <row r="692" spans="2:8">
      <c r="B692" s="5"/>
      <c r="H692" s="16"/>
    </row>
    <row r="693" spans="2:8">
      <c r="B693" s="5"/>
      <c r="H693" s="16"/>
    </row>
    <row r="694" spans="2:8">
      <c r="B694" s="5"/>
      <c r="H694" s="16"/>
    </row>
    <row r="695" spans="2:8">
      <c r="B695" s="5"/>
      <c r="H695" s="16"/>
    </row>
    <row r="696" spans="2:8">
      <c r="B696" s="5"/>
      <c r="H696" s="16"/>
    </row>
    <row r="697" spans="2:8">
      <c r="B697" s="5"/>
      <c r="H697" s="16"/>
    </row>
    <row r="698" spans="2:8">
      <c r="B698" s="5"/>
      <c r="H698" s="16"/>
    </row>
    <row r="699" spans="2:8">
      <c r="B699" s="5"/>
      <c r="H699" s="16"/>
    </row>
    <row r="700" spans="2:8">
      <c r="B700" s="5"/>
      <c r="H700" s="16"/>
    </row>
    <row r="701" spans="2:8">
      <c r="B701" s="5"/>
      <c r="H701" s="16"/>
    </row>
    <row r="702" spans="2:8">
      <c r="B702" s="5"/>
      <c r="H702" s="16"/>
    </row>
    <row r="703" spans="2:8">
      <c r="B703" s="5"/>
      <c r="H703" s="16"/>
    </row>
    <row r="704" spans="2:8">
      <c r="B704" s="5"/>
      <c r="H704" s="16"/>
    </row>
    <row r="705" spans="2:8">
      <c r="B705" s="5"/>
      <c r="H705" s="16"/>
    </row>
    <row r="706" spans="2:8">
      <c r="B706" s="5"/>
      <c r="H706" s="16"/>
    </row>
    <row r="707" spans="2:8">
      <c r="B707" s="5"/>
      <c r="H707" s="16"/>
    </row>
    <row r="708" spans="2:8">
      <c r="B708" s="5"/>
      <c r="H708" s="16"/>
    </row>
    <row r="709" spans="2:8">
      <c r="B709" s="5"/>
      <c r="H709" s="16"/>
    </row>
    <row r="710" spans="2:8">
      <c r="B710" s="5"/>
      <c r="H710" s="16"/>
    </row>
    <row r="711" spans="2:8">
      <c r="B711" s="5"/>
      <c r="H711" s="16"/>
    </row>
    <row r="712" spans="2:8">
      <c r="B712" s="5"/>
      <c r="H712" s="16"/>
    </row>
    <row r="713" spans="2:8">
      <c r="B713" s="5"/>
      <c r="H713" s="16"/>
    </row>
    <row r="714" spans="2:8">
      <c r="B714" s="5"/>
      <c r="H714" s="16"/>
    </row>
    <row r="715" spans="2:8">
      <c r="B715" s="5"/>
      <c r="H715" s="16"/>
    </row>
    <row r="716" spans="2:8">
      <c r="B716" s="5"/>
      <c r="H716" s="16"/>
    </row>
    <row r="717" spans="2:8">
      <c r="B717" s="5"/>
      <c r="H717" s="16"/>
    </row>
    <row r="718" spans="2:8">
      <c r="B718" s="5"/>
      <c r="H718" s="16"/>
    </row>
    <row r="719" spans="2:8">
      <c r="B719" s="5"/>
      <c r="H719" s="16"/>
    </row>
    <row r="720" spans="2:8">
      <c r="B720" s="5"/>
      <c r="H720" s="16"/>
    </row>
    <row r="721" spans="2:8">
      <c r="B721" s="5"/>
      <c r="H721" s="16"/>
    </row>
    <row r="722" spans="2:8">
      <c r="B722" s="5"/>
      <c r="H722" s="16"/>
    </row>
    <row r="723" spans="2:8">
      <c r="B723" s="5"/>
      <c r="H723" s="16"/>
    </row>
    <row r="724" spans="2:8">
      <c r="B724" s="5"/>
      <c r="H724" s="16"/>
    </row>
    <row r="725" spans="2:8">
      <c r="B725" s="5"/>
      <c r="H725" s="16"/>
    </row>
    <row r="726" spans="2:8">
      <c r="B726" s="5"/>
      <c r="H726" s="16"/>
    </row>
    <row r="727" spans="2:8">
      <c r="B727" s="5"/>
      <c r="H727" s="16"/>
    </row>
    <row r="728" spans="2:8">
      <c r="B728" s="5"/>
      <c r="H728" s="16"/>
    </row>
    <row r="729" spans="2:8">
      <c r="B729" s="5"/>
      <c r="H729" s="16"/>
    </row>
    <row r="730" spans="2:8">
      <c r="B730" s="5"/>
      <c r="H730" s="16"/>
    </row>
    <row r="731" spans="2:8">
      <c r="B731" s="5"/>
      <c r="H731" s="16"/>
    </row>
    <row r="732" spans="2:8">
      <c r="B732" s="5"/>
      <c r="H732" s="16"/>
    </row>
    <row r="733" spans="2:8">
      <c r="B733" s="5"/>
      <c r="H733" s="16"/>
    </row>
    <row r="734" spans="2:8">
      <c r="B734" s="5"/>
      <c r="H734" s="16"/>
    </row>
    <row r="735" spans="2:8">
      <c r="B735" s="5"/>
      <c r="H735" s="16"/>
    </row>
    <row r="736" spans="2:8">
      <c r="B736" s="5"/>
      <c r="H736" s="16"/>
    </row>
    <row r="737" spans="2:8">
      <c r="B737" s="5"/>
      <c r="H737" s="16"/>
    </row>
    <row r="738" spans="2:8">
      <c r="B738" s="5"/>
      <c r="H738" s="16"/>
    </row>
    <row r="739" spans="2:8">
      <c r="B739" s="5"/>
      <c r="H739" s="16"/>
    </row>
    <row r="740" spans="2:8">
      <c r="B740" s="5"/>
      <c r="H740" s="16"/>
    </row>
    <row r="741" spans="2:8">
      <c r="B741" s="5"/>
      <c r="H741" s="16"/>
    </row>
    <row r="742" spans="2:8">
      <c r="B742" s="5"/>
      <c r="H742" s="16"/>
    </row>
    <row r="743" spans="2:8">
      <c r="B743" s="5"/>
      <c r="H743" s="16"/>
    </row>
    <row r="744" spans="2:8">
      <c r="B744" s="5"/>
      <c r="H744" s="16"/>
    </row>
    <row r="745" spans="2:8">
      <c r="B745" s="5"/>
      <c r="H745" s="16"/>
    </row>
    <row r="746" spans="2:8">
      <c r="B746" s="5"/>
      <c r="H746" s="16"/>
    </row>
    <row r="747" spans="2:8">
      <c r="B747" s="5"/>
      <c r="H747" s="16"/>
    </row>
    <row r="748" spans="2:8">
      <c r="B748" s="5"/>
      <c r="H748" s="16"/>
    </row>
    <row r="749" spans="2:8">
      <c r="B749" s="5"/>
      <c r="H749" s="16"/>
    </row>
    <row r="750" spans="2:8">
      <c r="B750" s="5"/>
      <c r="H750" s="16"/>
    </row>
    <row r="751" spans="2:8">
      <c r="B751" s="5"/>
      <c r="H751" s="16"/>
    </row>
    <row r="752" spans="2:8">
      <c r="B752" s="5"/>
      <c r="H752" s="16"/>
    </row>
    <row r="753" spans="2:8">
      <c r="B753" s="5"/>
      <c r="H753" s="16"/>
    </row>
    <row r="754" spans="2:8">
      <c r="B754" s="5"/>
      <c r="H754" s="16"/>
    </row>
    <row r="755" spans="2:8">
      <c r="B755" s="5"/>
      <c r="H755" s="16"/>
    </row>
    <row r="756" spans="2:8">
      <c r="B756" s="5"/>
      <c r="H756" s="16"/>
    </row>
    <row r="757" spans="2:8">
      <c r="B757" s="5"/>
      <c r="H757" s="16"/>
    </row>
    <row r="758" spans="2:8">
      <c r="B758" s="5"/>
      <c r="H758" s="16"/>
    </row>
    <row r="759" spans="2:8">
      <c r="B759" s="5"/>
      <c r="H759" s="16"/>
    </row>
    <row r="760" spans="2:8">
      <c r="B760" s="5"/>
      <c r="H760" s="16"/>
    </row>
    <row r="761" spans="2:8">
      <c r="B761" s="5"/>
      <c r="H761" s="16"/>
    </row>
    <row r="762" spans="2:8">
      <c r="B762" s="5"/>
      <c r="H762" s="16"/>
    </row>
    <row r="763" spans="2:8">
      <c r="B763" s="5"/>
      <c r="H763" s="16"/>
    </row>
    <row r="764" spans="2:8">
      <c r="B764" s="5"/>
      <c r="H764" s="16"/>
    </row>
    <row r="765" spans="2:8">
      <c r="B765" s="5"/>
      <c r="H765" s="16"/>
    </row>
    <row r="766" spans="2:8">
      <c r="B766" s="5"/>
      <c r="H766" s="16"/>
    </row>
    <row r="767" spans="2:8">
      <c r="B767" s="5"/>
      <c r="H767" s="16"/>
    </row>
    <row r="768" spans="2:8">
      <c r="B768" s="5"/>
      <c r="H768" s="16"/>
    </row>
    <row r="769" spans="2:8">
      <c r="B769" s="5"/>
      <c r="H769" s="16"/>
    </row>
    <row r="770" spans="2:8">
      <c r="B770" s="5"/>
      <c r="H770" s="16"/>
    </row>
    <row r="771" spans="2:8">
      <c r="B771" s="5"/>
      <c r="H771" s="16"/>
    </row>
    <row r="772" spans="2:8">
      <c r="B772" s="5"/>
      <c r="H772" s="16"/>
    </row>
    <row r="773" spans="2:8">
      <c r="B773" s="5"/>
      <c r="H773" s="16"/>
    </row>
    <row r="774" spans="2:8">
      <c r="B774" s="5"/>
      <c r="H774" s="16"/>
    </row>
    <row r="775" spans="2:8">
      <c r="B775" s="5"/>
      <c r="H775" s="16"/>
    </row>
    <row r="776" spans="2:8">
      <c r="B776" s="5"/>
      <c r="H776" s="16"/>
    </row>
    <row r="777" spans="2:8">
      <c r="B777" s="5"/>
      <c r="H777" s="16"/>
    </row>
    <row r="778" spans="2:8">
      <c r="B778" s="5"/>
      <c r="H778" s="16"/>
    </row>
    <row r="779" spans="2:8">
      <c r="B779" s="5"/>
      <c r="H779" s="16"/>
    </row>
    <row r="780" spans="2:8">
      <c r="B780" s="5"/>
      <c r="H780" s="16"/>
    </row>
    <row r="781" spans="2:8">
      <c r="B781" s="5"/>
      <c r="H781" s="16"/>
    </row>
    <row r="782" spans="2:8">
      <c r="B782" s="5"/>
      <c r="H782" s="16"/>
    </row>
    <row r="783" spans="2:8">
      <c r="B783" s="5"/>
      <c r="H783" s="16"/>
    </row>
    <row r="784" spans="2:8">
      <c r="B784" s="5"/>
      <c r="H784" s="16"/>
    </row>
    <row r="785" spans="2:8">
      <c r="B785" s="5"/>
      <c r="H785" s="16"/>
    </row>
    <row r="786" spans="2:8">
      <c r="B786" s="5"/>
      <c r="H786" s="16"/>
    </row>
    <row r="787" spans="2:8">
      <c r="B787" s="5"/>
      <c r="H787" s="16"/>
    </row>
    <row r="788" spans="2:8">
      <c r="B788" s="5"/>
      <c r="H788" s="16"/>
    </row>
    <row r="789" spans="2:8">
      <c r="B789" s="5"/>
      <c r="H789" s="16"/>
    </row>
    <row r="790" spans="2:8">
      <c r="B790" s="5"/>
      <c r="H790" s="16"/>
    </row>
    <row r="791" spans="2:8">
      <c r="B791" s="5"/>
      <c r="H791" s="16"/>
    </row>
    <row r="792" spans="2:8">
      <c r="B792" s="5"/>
      <c r="H792" s="16"/>
    </row>
    <row r="793" spans="2:8">
      <c r="B793" s="5"/>
      <c r="H793" s="16"/>
    </row>
    <row r="794" spans="2:8">
      <c r="B794" s="5"/>
      <c r="H794" s="16"/>
    </row>
    <row r="795" spans="2:8">
      <c r="B795" s="5"/>
      <c r="H795" s="16"/>
    </row>
    <row r="796" spans="2:8">
      <c r="B796" s="5"/>
      <c r="H796" s="16"/>
    </row>
    <row r="797" spans="2:8">
      <c r="B797" s="5"/>
      <c r="H797" s="16"/>
    </row>
    <row r="798" spans="2:8">
      <c r="B798" s="5"/>
      <c r="H798" s="16"/>
    </row>
    <row r="799" spans="2:8">
      <c r="B799" s="5"/>
      <c r="H799" s="16"/>
    </row>
    <row r="800" spans="2:8">
      <c r="B800" s="5"/>
      <c r="H800" s="16"/>
    </row>
    <row r="801" spans="2:8">
      <c r="B801" s="5"/>
      <c r="H801" s="16"/>
    </row>
    <row r="802" spans="2:8">
      <c r="B802" s="5"/>
      <c r="H802" s="16"/>
    </row>
    <row r="803" spans="2:8">
      <c r="B803" s="5"/>
      <c r="H803" s="16"/>
    </row>
    <row r="804" spans="2:8">
      <c r="B804" s="5"/>
      <c r="H804" s="16"/>
    </row>
    <row r="805" spans="2:8">
      <c r="B805" s="5"/>
      <c r="H805" s="16"/>
    </row>
    <row r="806" spans="2:8">
      <c r="B806" s="5"/>
      <c r="H806" s="16"/>
    </row>
    <row r="807" spans="2:8">
      <c r="B807" s="5"/>
      <c r="H807" s="16"/>
    </row>
    <row r="808" spans="2:8">
      <c r="B808" s="5"/>
      <c r="H808" s="16"/>
    </row>
    <row r="809" spans="2:8">
      <c r="B809" s="5"/>
      <c r="H809" s="16"/>
    </row>
    <row r="810" spans="2:8">
      <c r="B810" s="5"/>
      <c r="H810" s="16"/>
    </row>
    <row r="811" spans="2:8">
      <c r="B811" s="5"/>
      <c r="H811" s="16"/>
    </row>
    <row r="812" spans="2:8">
      <c r="B812" s="5"/>
      <c r="H812" s="16"/>
    </row>
    <row r="813" spans="2:8">
      <c r="B813" s="5"/>
      <c r="H813" s="16"/>
    </row>
    <row r="814" spans="2:8">
      <c r="B814" s="5"/>
      <c r="H814" s="16"/>
    </row>
    <row r="815" spans="2:8">
      <c r="B815" s="5"/>
      <c r="H815" s="16"/>
    </row>
    <row r="816" spans="2:8">
      <c r="B816" s="5"/>
      <c r="H816" s="16"/>
    </row>
    <row r="817" spans="2:8">
      <c r="B817" s="5"/>
      <c r="H817" s="16"/>
    </row>
    <row r="818" spans="2:8">
      <c r="B818" s="5"/>
      <c r="H818" s="16"/>
    </row>
    <row r="819" spans="2:8">
      <c r="B819" s="5"/>
      <c r="H819" s="16"/>
    </row>
    <row r="820" spans="2:8">
      <c r="B820" s="5"/>
      <c r="H820" s="16"/>
    </row>
    <row r="821" spans="2:8">
      <c r="B821" s="5"/>
      <c r="H821" s="16"/>
    </row>
    <row r="822" spans="2:8">
      <c r="B822" s="5"/>
      <c r="H822" s="16"/>
    </row>
    <row r="823" spans="2:8">
      <c r="B823" s="5"/>
      <c r="H823" s="16"/>
    </row>
    <row r="824" spans="2:8">
      <c r="B824" s="5"/>
      <c r="H824" s="16"/>
    </row>
    <row r="825" spans="2:8">
      <c r="B825" s="5"/>
      <c r="H825" s="16"/>
    </row>
    <row r="826" spans="2:8">
      <c r="B826" s="5"/>
      <c r="H826" s="16"/>
    </row>
    <row r="827" spans="2:8">
      <c r="B827" s="5"/>
      <c r="H827" s="16"/>
    </row>
    <row r="828" spans="2:8">
      <c r="B828" s="5"/>
      <c r="H828" s="16"/>
    </row>
    <row r="829" spans="2:8">
      <c r="B829" s="5"/>
      <c r="H829" s="16"/>
    </row>
    <row r="830" spans="2:8">
      <c r="B830" s="5"/>
      <c r="H830" s="16"/>
    </row>
    <row r="831" spans="2:8">
      <c r="B831" s="5"/>
      <c r="H831" s="16"/>
    </row>
    <row r="832" spans="2:8">
      <c r="B832" s="5"/>
      <c r="H832" s="16"/>
    </row>
    <row r="833" spans="2:8">
      <c r="B833" s="5"/>
      <c r="H833" s="16"/>
    </row>
    <row r="834" spans="2:8">
      <c r="B834" s="5"/>
      <c r="H834" s="16"/>
    </row>
    <row r="835" spans="2:8">
      <c r="B835" s="5"/>
      <c r="H835" s="16"/>
    </row>
    <row r="836" spans="2:8">
      <c r="B836" s="5"/>
      <c r="H836" s="16"/>
    </row>
    <row r="837" spans="2:8">
      <c r="B837" s="5"/>
      <c r="H837" s="16"/>
    </row>
    <row r="838" spans="2:8">
      <c r="B838" s="5"/>
      <c r="H838" s="16"/>
    </row>
    <row r="839" spans="2:8">
      <c r="B839" s="5"/>
      <c r="H839" s="16"/>
    </row>
    <row r="840" spans="2:8">
      <c r="B840" s="5"/>
      <c r="H840" s="16"/>
    </row>
    <row r="841" spans="2:8">
      <c r="B841" s="5"/>
      <c r="H841" s="16"/>
    </row>
    <row r="842" spans="2:8">
      <c r="B842" s="5"/>
      <c r="H842" s="16"/>
    </row>
    <row r="843" spans="2:8">
      <c r="B843" s="5"/>
      <c r="H843" s="16"/>
    </row>
    <row r="844" spans="2:8">
      <c r="B844" s="5"/>
      <c r="H844" s="16"/>
    </row>
    <row r="845" spans="2:8">
      <c r="B845" s="5"/>
      <c r="H845" s="16"/>
    </row>
    <row r="846" spans="2:8">
      <c r="B846" s="5"/>
      <c r="H846" s="16"/>
    </row>
    <row r="847" spans="2:8">
      <c r="B847" s="5"/>
      <c r="H847" s="16"/>
    </row>
    <row r="848" spans="2:8">
      <c r="B848" s="5"/>
      <c r="H848" s="16"/>
    </row>
    <row r="849" spans="2:8">
      <c r="B849" s="5"/>
      <c r="H849" s="16"/>
    </row>
    <row r="850" spans="2:8">
      <c r="B850" s="5"/>
      <c r="H850" s="16"/>
    </row>
    <row r="851" spans="2:8">
      <c r="B851" s="5"/>
      <c r="H851" s="16"/>
    </row>
    <row r="852" spans="2:8">
      <c r="B852" s="5"/>
      <c r="H852" s="16"/>
    </row>
    <row r="853" spans="2:8">
      <c r="B853" s="5"/>
      <c r="H853" s="16"/>
    </row>
    <row r="854" spans="2:8">
      <c r="B854" s="5"/>
      <c r="H854" s="16"/>
    </row>
    <row r="855" spans="2:8">
      <c r="B855" s="5"/>
      <c r="H855" s="16"/>
    </row>
    <row r="856" spans="2:8">
      <c r="B856" s="5"/>
      <c r="H856" s="16"/>
    </row>
    <row r="857" spans="2:8">
      <c r="B857" s="5"/>
      <c r="H857" s="16"/>
    </row>
    <row r="858" spans="2:8">
      <c r="B858" s="5"/>
      <c r="H858" s="16"/>
    </row>
    <row r="859" spans="2:8">
      <c r="B859" s="5"/>
      <c r="H859" s="16"/>
    </row>
    <row r="860" spans="2:8">
      <c r="B860" s="5"/>
      <c r="H860" s="16"/>
    </row>
    <row r="861" spans="2:8">
      <c r="B861" s="5"/>
      <c r="H861" s="16"/>
    </row>
    <row r="862" spans="2:8">
      <c r="B862" s="5"/>
      <c r="H862" s="16"/>
    </row>
    <row r="863" spans="2:8">
      <c r="B863" s="5"/>
      <c r="H863" s="16"/>
    </row>
    <row r="864" spans="2:8">
      <c r="B864" s="5"/>
      <c r="H864" s="16"/>
    </row>
    <row r="865" spans="2:8">
      <c r="B865" s="5"/>
      <c r="H865" s="16"/>
    </row>
    <row r="866" spans="2:8">
      <c r="B866" s="5"/>
      <c r="H866" s="16"/>
    </row>
    <row r="867" spans="2:8">
      <c r="B867" s="5"/>
      <c r="H867" s="16"/>
    </row>
    <row r="868" spans="2:8">
      <c r="B868" s="5"/>
      <c r="H868" s="16"/>
    </row>
    <row r="869" spans="2:8">
      <c r="B869" s="5"/>
      <c r="H869" s="16"/>
    </row>
    <row r="870" spans="2:8">
      <c r="B870" s="5"/>
      <c r="H870" s="16"/>
    </row>
    <row r="871" spans="2:8">
      <c r="B871" s="5"/>
      <c r="H871" s="16"/>
    </row>
    <row r="872" spans="2:8">
      <c r="B872" s="5"/>
      <c r="H872" s="16"/>
    </row>
    <row r="873" spans="2:8">
      <c r="B873" s="5"/>
      <c r="H873" s="16"/>
    </row>
    <row r="874" spans="2:8">
      <c r="B874" s="5"/>
      <c r="H874" s="16"/>
    </row>
    <row r="875" spans="2:8">
      <c r="B875" s="5"/>
      <c r="H875" s="16"/>
    </row>
    <row r="876" spans="2:8">
      <c r="B876" s="5"/>
      <c r="H876" s="16"/>
    </row>
    <row r="877" spans="2:8">
      <c r="B877" s="5"/>
      <c r="H877" s="16"/>
    </row>
    <row r="878" spans="2:8">
      <c r="B878" s="5"/>
      <c r="H878" s="16"/>
    </row>
    <row r="879" spans="2:8">
      <c r="B879" s="5"/>
      <c r="H879" s="16"/>
    </row>
    <row r="880" spans="2:8">
      <c r="B880" s="5"/>
      <c r="H880" s="16"/>
    </row>
    <row r="881" spans="2:8">
      <c r="B881" s="5"/>
      <c r="H881" s="16"/>
    </row>
    <row r="882" spans="2:8">
      <c r="B882" s="5"/>
      <c r="H882" s="16"/>
    </row>
    <row r="883" spans="2:8">
      <c r="B883" s="5"/>
      <c r="H883" s="16"/>
    </row>
    <row r="884" spans="2:8">
      <c r="B884" s="5"/>
      <c r="H884" s="16"/>
    </row>
    <row r="885" spans="2:8">
      <c r="B885" s="5"/>
      <c r="H885" s="16"/>
    </row>
    <row r="886" spans="2:8">
      <c r="B886" s="5"/>
      <c r="H886" s="16"/>
    </row>
    <row r="887" spans="2:8">
      <c r="B887" s="5"/>
      <c r="H887" s="16"/>
    </row>
    <row r="888" spans="2:8">
      <c r="B888" s="5"/>
      <c r="H888" s="16"/>
    </row>
    <row r="889" spans="2:8">
      <c r="B889" s="5"/>
      <c r="H889" s="16"/>
    </row>
    <row r="890" spans="2:8">
      <c r="B890" s="5"/>
      <c r="H890" s="16"/>
    </row>
    <row r="891" spans="2:8">
      <c r="B891" s="5"/>
      <c r="H891" s="16"/>
    </row>
    <row r="892" spans="2:8">
      <c r="B892" s="5"/>
      <c r="H892" s="16"/>
    </row>
  </sheetData>
  <mergeCells count="27">
    <mergeCell ref="C43:F43"/>
    <mergeCell ref="G43:H43"/>
    <mergeCell ref="A4:H4"/>
    <mergeCell ref="A10:F10"/>
    <mergeCell ref="A17:F17"/>
    <mergeCell ref="A23:F23"/>
    <mergeCell ref="A29:F29"/>
    <mergeCell ref="A35:F35"/>
    <mergeCell ref="A38:F38"/>
    <mergeCell ref="C41:F41"/>
    <mergeCell ref="G41:H41"/>
    <mergeCell ref="C42:F42"/>
    <mergeCell ref="G42:H42"/>
    <mergeCell ref="C44:F44"/>
    <mergeCell ref="G44:H44"/>
    <mergeCell ref="C45:F45"/>
    <mergeCell ref="G45:H45"/>
    <mergeCell ref="C46:F46"/>
    <mergeCell ref="G46:H46"/>
    <mergeCell ref="C50:F50"/>
    <mergeCell ref="G50:H50"/>
    <mergeCell ref="C47:F47"/>
    <mergeCell ref="G47:H47"/>
    <mergeCell ref="C48:F48"/>
    <mergeCell ref="G48:H48"/>
    <mergeCell ref="C49:F49"/>
    <mergeCell ref="G49:H49"/>
  </mergeCells>
  <phoneticPr fontId="24" type="noConversion"/>
  <dataValidations disablePrompts="1" count="1">
    <dataValidation type="list" allowBlank="1" showInputMessage="1" showErrorMessage="1" sqref="B42:B48" xr:uid="{00000000-0002-0000-0A00-000000000000}">
      <formula1>$L$41:$L$45</formula1>
    </dataValidation>
  </dataValidation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L891"/>
  <sheetViews>
    <sheetView showZeros="0" zoomScale="65" zoomScaleNormal="65" workbookViewId="0">
      <selection activeCell="A4" sqref="A4:H4"/>
    </sheetView>
  </sheetViews>
  <sheetFormatPr defaultColWidth="10.875" defaultRowHeight="18.95"/>
  <cols>
    <col min="1" max="1" width="35.625" customWidth="1"/>
    <col min="2" max="2" width="14.625" style="16" customWidth="1"/>
    <col min="3" max="7" width="15.875" style="5" customWidth="1"/>
    <col min="8" max="8" width="15.875" style="17" customWidth="1"/>
    <col min="9" max="9" width="10.875" style="5"/>
    <col min="10" max="12" width="0" style="5" hidden="1" customWidth="1"/>
    <col min="13" max="16384" width="10.875" style="5"/>
  </cols>
  <sheetData>
    <row r="1" spans="1:10" customFormat="1" ht="15.95">
      <c r="A1" s="41"/>
      <c r="B1" s="42"/>
      <c r="C1" s="43"/>
      <c r="D1" s="43"/>
      <c r="E1" s="45" t="s">
        <v>25</v>
      </c>
      <c r="F1" s="43"/>
      <c r="G1" s="45" t="s">
        <v>26</v>
      </c>
      <c r="H1" s="44"/>
    </row>
    <row r="2" spans="1:10">
      <c r="A2" s="30"/>
      <c r="B2" s="18" t="s">
        <v>27</v>
      </c>
      <c r="C2" s="18" t="s">
        <v>28</v>
      </c>
      <c r="D2" s="18" t="s">
        <v>65</v>
      </c>
      <c r="E2" s="18" t="s">
        <v>30</v>
      </c>
      <c r="F2" s="18" t="s">
        <v>66</v>
      </c>
      <c r="G2" s="18" t="s">
        <v>32</v>
      </c>
      <c r="H2" s="18" t="s">
        <v>33</v>
      </c>
    </row>
    <row r="3" spans="1:10" ht="21" customHeight="1">
      <c r="A3" s="31" t="s">
        <v>7</v>
      </c>
      <c r="B3" s="6">
        <f>'Week 9'!H3+1</f>
        <v>45956</v>
      </c>
      <c r="C3" s="6">
        <f t="shared" ref="C3:H3" si="0">B3+1</f>
        <v>45957</v>
      </c>
      <c r="D3" s="6">
        <f t="shared" si="0"/>
        <v>45958</v>
      </c>
      <c r="E3" s="6">
        <f t="shared" si="0"/>
        <v>45959</v>
      </c>
      <c r="F3" s="6">
        <f t="shared" si="0"/>
        <v>45960</v>
      </c>
      <c r="G3" s="6">
        <f t="shared" si="0"/>
        <v>45961</v>
      </c>
      <c r="H3" s="6">
        <f t="shared" si="0"/>
        <v>45962</v>
      </c>
    </row>
    <row r="4" spans="1:10" s="7" customFormat="1">
      <c r="A4" s="181" t="s">
        <v>34</v>
      </c>
      <c r="B4" s="181"/>
      <c r="C4" s="181"/>
      <c r="D4" s="181"/>
      <c r="E4" s="181"/>
      <c r="F4" s="181"/>
      <c r="G4" s="181"/>
      <c r="H4" s="181"/>
    </row>
    <row r="5" spans="1:10" s="7" customFormat="1" ht="26.1" customHeight="1">
      <c r="A5" s="32" t="s">
        <v>8</v>
      </c>
      <c r="B5" s="27"/>
      <c r="C5" s="27"/>
      <c r="D5" s="27"/>
      <c r="E5" s="27"/>
      <c r="F5" s="27"/>
      <c r="G5" s="27"/>
      <c r="H5" s="27"/>
    </row>
    <row r="6" spans="1:10" s="7" customFormat="1" ht="26.1" customHeight="1">
      <c r="A6" s="4" t="s">
        <v>23</v>
      </c>
      <c r="B6" s="62"/>
      <c r="C6" s="62"/>
      <c r="D6" s="62"/>
      <c r="E6" s="62"/>
      <c r="F6" s="62"/>
      <c r="G6" s="62"/>
      <c r="H6" s="62"/>
    </row>
    <row r="7" spans="1:10" s="7" customFormat="1" ht="21.95" customHeight="1">
      <c r="A7" s="32" t="s">
        <v>35</v>
      </c>
      <c r="B7" s="27"/>
      <c r="C7" s="28"/>
      <c r="D7" s="28"/>
      <c r="E7" s="28"/>
      <c r="F7" s="28"/>
      <c r="G7" s="28"/>
      <c r="H7" s="27"/>
    </row>
    <row r="8" spans="1:10" s="7" customFormat="1" ht="24.95" customHeight="1" thickBot="1">
      <c r="A8" s="83" t="s">
        <v>36</v>
      </c>
      <c r="B8" s="84">
        <f t="shared" ref="B8:H8" si="1">B5+B6+B7</f>
        <v>0</v>
      </c>
      <c r="C8" s="84">
        <f t="shared" si="1"/>
        <v>0</v>
      </c>
      <c r="D8" s="84">
        <f t="shared" si="1"/>
        <v>0</v>
      </c>
      <c r="E8" s="84">
        <f t="shared" si="1"/>
        <v>0</v>
      </c>
      <c r="F8" s="84">
        <f t="shared" si="1"/>
        <v>0</v>
      </c>
      <c r="G8" s="84">
        <f t="shared" si="1"/>
        <v>0</v>
      </c>
      <c r="H8" s="84">
        <f t="shared" si="1"/>
        <v>0</v>
      </c>
    </row>
    <row r="9" spans="1:10" s="7" customFormat="1" ht="24.95" customHeight="1" thickBot="1">
      <c r="A9" s="33"/>
      <c r="B9" s="29"/>
      <c r="C9" s="29"/>
      <c r="D9" s="29"/>
      <c r="E9" s="29"/>
      <c r="F9" s="29"/>
      <c r="G9" s="63" t="s">
        <v>37</v>
      </c>
      <c r="H9" s="64">
        <f>SUM(B8:H8)</f>
        <v>0</v>
      </c>
    </row>
    <row r="10" spans="1:10" s="7" customFormat="1" ht="21" thickTop="1" thickBot="1">
      <c r="A10" s="182" t="s">
        <v>38</v>
      </c>
      <c r="B10" s="183"/>
      <c r="C10" s="183"/>
      <c r="D10" s="183"/>
      <c r="E10" s="183"/>
      <c r="F10" s="183"/>
      <c r="G10" s="65" t="s">
        <v>39</v>
      </c>
      <c r="H10" s="66">
        <v>-0.08</v>
      </c>
      <c r="I10" s="5"/>
      <c r="J10" s="26"/>
    </row>
    <row r="11" spans="1:10" s="7" customFormat="1" ht="30" customHeight="1">
      <c r="A11" s="39" t="s">
        <v>8</v>
      </c>
      <c r="B11" s="9"/>
      <c r="C11" s="9"/>
      <c r="D11" s="67"/>
      <c r="E11" s="67"/>
      <c r="F11" s="9"/>
      <c r="G11" s="68"/>
      <c r="H11" s="69"/>
    </row>
    <row r="12" spans="1:10" s="7" customFormat="1" ht="30" customHeight="1">
      <c r="A12" s="70" t="s">
        <v>23</v>
      </c>
      <c r="B12" s="59"/>
      <c r="C12" s="58"/>
      <c r="D12" s="58"/>
      <c r="E12" s="58"/>
      <c r="F12" s="58"/>
      <c r="G12" s="58"/>
      <c r="H12" s="59"/>
    </row>
    <row r="13" spans="1:10" s="7" customFormat="1" ht="30" customHeight="1">
      <c r="A13" s="3" t="s">
        <v>35</v>
      </c>
      <c r="B13" s="8"/>
      <c r="C13" s="8"/>
      <c r="D13" s="8"/>
      <c r="E13" s="8"/>
      <c r="F13" s="8"/>
      <c r="G13" s="8"/>
      <c r="H13" s="8"/>
    </row>
    <row r="14" spans="1:10" s="7" customFormat="1" ht="27" customHeight="1" thickBot="1">
      <c r="A14" s="85" t="s">
        <v>36</v>
      </c>
      <c r="B14" s="87">
        <f t="shared" ref="B14:H14" si="2">B11+B12+B13</f>
        <v>0</v>
      </c>
      <c r="C14" s="87">
        <f t="shared" si="2"/>
        <v>0</v>
      </c>
      <c r="D14" s="87">
        <f t="shared" si="2"/>
        <v>0</v>
      </c>
      <c r="E14" s="87">
        <f t="shared" si="2"/>
        <v>0</v>
      </c>
      <c r="F14" s="87">
        <f t="shared" si="2"/>
        <v>0</v>
      </c>
      <c r="G14" s="87">
        <f t="shared" si="2"/>
        <v>0</v>
      </c>
      <c r="H14" s="87">
        <f t="shared" si="2"/>
        <v>0</v>
      </c>
    </row>
    <row r="15" spans="1:10" s="7" customFormat="1" ht="24.95" customHeight="1" thickBot="1">
      <c r="A15" s="86" t="s">
        <v>40</v>
      </c>
      <c r="B15" s="92" t="e">
        <f t="shared" ref="B15:H15" si="3">(B14-B8)/B8</f>
        <v>#DIV/0!</v>
      </c>
      <c r="C15" s="93" t="e">
        <f t="shared" si="3"/>
        <v>#DIV/0!</v>
      </c>
      <c r="D15" s="93" t="e">
        <f t="shared" si="3"/>
        <v>#DIV/0!</v>
      </c>
      <c r="E15" s="93" t="e">
        <f t="shared" si="3"/>
        <v>#DIV/0!</v>
      </c>
      <c r="F15" s="93" t="e">
        <f t="shared" si="3"/>
        <v>#DIV/0!</v>
      </c>
      <c r="G15" s="93" t="e">
        <f t="shared" si="3"/>
        <v>#DIV/0!</v>
      </c>
      <c r="H15" s="94" t="e">
        <f t="shared" si="3"/>
        <v>#DIV/0!</v>
      </c>
      <c r="I15" s="71"/>
    </row>
    <row r="16" spans="1:10" ht="30" customHeight="1" thickBot="1">
      <c r="B16" s="88"/>
      <c r="C16" s="88"/>
      <c r="D16" s="88"/>
      <c r="E16" s="88"/>
      <c r="F16" s="89"/>
      <c r="G16" s="90" t="s">
        <v>37</v>
      </c>
      <c r="H16" s="91">
        <f>SUM(B14:H14)</f>
        <v>0</v>
      </c>
    </row>
    <row r="17" spans="1:8" s="7" customFormat="1" ht="21.95" thickTop="1" thickBot="1">
      <c r="A17" s="184" t="s">
        <v>41</v>
      </c>
      <c r="B17" s="185"/>
      <c r="C17" s="185"/>
      <c r="D17" s="185"/>
      <c r="E17" s="185"/>
      <c r="F17" s="185"/>
      <c r="G17" s="72" t="s">
        <v>42</v>
      </c>
      <c r="H17" s="66" t="e">
        <f>(H16-H9)/H9</f>
        <v>#DIV/0!</v>
      </c>
    </row>
    <row r="18" spans="1:8" s="7" customFormat="1" ht="30" customHeight="1">
      <c r="A18" s="35" t="s">
        <v>43</v>
      </c>
      <c r="B18" s="12"/>
      <c r="C18" s="12"/>
      <c r="D18" s="73"/>
      <c r="E18" s="73"/>
      <c r="F18" s="12"/>
      <c r="G18" s="24"/>
      <c r="H18" s="74"/>
    </row>
    <row r="19" spans="1:8" s="7" customFormat="1" ht="30" customHeight="1">
      <c r="A19" s="35" t="str">
        <f>'Average w6-9'!A19</f>
        <v>Non Meal Plan Meals</v>
      </c>
      <c r="B19" s="12"/>
      <c r="C19" s="12"/>
      <c r="D19" s="73"/>
      <c r="E19" s="73"/>
      <c r="F19" s="12"/>
      <c r="G19" s="24"/>
      <c r="H19" s="74"/>
    </row>
    <row r="20" spans="1:8" s="7" customFormat="1" ht="30" customHeight="1">
      <c r="A20" s="35" t="str">
        <f>'Average w6-9'!A20</f>
        <v xml:space="preserve">Meal numbers </v>
      </c>
      <c r="B20" s="95"/>
      <c r="C20" s="95"/>
      <c r="D20" s="67"/>
      <c r="E20" s="67"/>
      <c r="F20" s="95"/>
      <c r="G20" s="95"/>
      <c r="H20" s="75"/>
    </row>
    <row r="21" spans="1:8" s="7" customFormat="1" ht="24.95" customHeight="1" thickBot="1">
      <c r="A21" s="36" t="s">
        <v>45</v>
      </c>
      <c r="B21" s="77">
        <f>SUM(B18:B20)</f>
        <v>0</v>
      </c>
      <c r="C21" s="77">
        <f>SUM(C18:C20)</f>
        <v>0</v>
      </c>
      <c r="D21" s="133"/>
      <c r="E21" s="133"/>
      <c r="F21" s="77">
        <f>SUM(F18:F20)</f>
        <v>0</v>
      </c>
      <c r="G21" s="77">
        <f>SUM(G18:G20)</f>
        <v>0</v>
      </c>
      <c r="H21" s="77">
        <f>SUM(H18:H20)</f>
        <v>0</v>
      </c>
    </row>
    <row r="22" spans="1:8" s="7" customFormat="1" ht="24.95" customHeight="1" thickBot="1">
      <c r="A22" s="34" t="s">
        <v>40</v>
      </c>
      <c r="B22" s="92" t="e">
        <f>(B21-B5)/B5</f>
        <v>#DIV/0!</v>
      </c>
      <c r="C22" s="93" t="e">
        <f>(C21-C5)/C5</f>
        <v>#DIV/0!</v>
      </c>
      <c r="D22" s="99"/>
      <c r="E22" s="99"/>
      <c r="F22" s="93" t="e">
        <f>(F21-F5)/F5</f>
        <v>#DIV/0!</v>
      </c>
      <c r="G22" s="93" t="e">
        <f>(G21-G5)/G5</f>
        <v>#DIV/0!</v>
      </c>
      <c r="H22" s="94" t="e">
        <f>(H21-H5)/H5</f>
        <v>#DIV/0!</v>
      </c>
    </row>
    <row r="23" spans="1:8" s="7" customFormat="1">
      <c r="A23" s="186" t="s">
        <v>46</v>
      </c>
      <c r="B23" s="187"/>
      <c r="C23" s="187"/>
      <c r="D23" s="187"/>
      <c r="E23" s="187"/>
      <c r="F23" s="188" t="s">
        <v>47</v>
      </c>
      <c r="G23" s="97"/>
      <c r="H23" s="98"/>
    </row>
    <row r="24" spans="1:8" s="7" customFormat="1" ht="30" customHeight="1">
      <c r="A24" s="35" t="s">
        <v>43</v>
      </c>
      <c r="B24" s="11"/>
      <c r="C24" s="12"/>
      <c r="D24" s="12"/>
      <c r="E24" s="12"/>
      <c r="F24" s="12"/>
      <c r="G24" s="12"/>
      <c r="H24" s="11"/>
    </row>
    <row r="25" spans="1:8" s="7" customFormat="1" ht="30" customHeight="1">
      <c r="A25" s="35" t="str">
        <f>A19</f>
        <v>Non Meal Plan Meals</v>
      </c>
      <c r="B25" s="117"/>
      <c r="C25" s="117"/>
      <c r="D25" s="117"/>
      <c r="E25" s="117"/>
      <c r="F25" s="117"/>
      <c r="G25" s="117"/>
      <c r="H25" s="117"/>
    </row>
    <row r="26" spans="1:8" s="7" customFormat="1" ht="30" customHeight="1">
      <c r="A26" s="35" t="str">
        <f>A20</f>
        <v xml:space="preserve">Meal numbers </v>
      </c>
      <c r="B26" s="11"/>
      <c r="C26" s="11"/>
      <c r="D26" s="11"/>
      <c r="E26" s="11"/>
      <c r="F26" s="11"/>
      <c r="G26" s="11"/>
      <c r="H26" s="11"/>
    </row>
    <row r="27" spans="1:8" s="7" customFormat="1" ht="27.95" customHeight="1" thickBot="1">
      <c r="A27" s="36" t="s">
        <v>50</v>
      </c>
      <c r="B27" s="100">
        <f t="shared" ref="B27:H27" si="4">SUM(B24:B26)</f>
        <v>0</v>
      </c>
      <c r="C27" s="100">
        <f t="shared" si="4"/>
        <v>0</v>
      </c>
      <c r="D27" s="100">
        <f t="shared" si="4"/>
        <v>0</v>
      </c>
      <c r="E27" s="100">
        <f t="shared" si="4"/>
        <v>0</v>
      </c>
      <c r="F27" s="100">
        <f t="shared" si="4"/>
        <v>0</v>
      </c>
      <c r="G27" s="100">
        <f t="shared" si="4"/>
        <v>0</v>
      </c>
      <c r="H27" s="100">
        <f t="shared" si="4"/>
        <v>0</v>
      </c>
    </row>
    <row r="28" spans="1:8" s="7" customFormat="1" ht="24.95" customHeight="1" thickBot="1">
      <c r="A28" s="34" t="s">
        <v>40</v>
      </c>
      <c r="B28" s="92" t="e">
        <f t="shared" ref="B28:H28" si="5">(B27-B6)/B6</f>
        <v>#DIV/0!</v>
      </c>
      <c r="C28" s="93" t="e">
        <f t="shared" si="5"/>
        <v>#DIV/0!</v>
      </c>
      <c r="D28" s="93" t="e">
        <f t="shared" si="5"/>
        <v>#DIV/0!</v>
      </c>
      <c r="E28" s="93" t="e">
        <f t="shared" si="5"/>
        <v>#DIV/0!</v>
      </c>
      <c r="F28" s="93" t="e">
        <f t="shared" si="5"/>
        <v>#DIV/0!</v>
      </c>
      <c r="G28" s="93" t="e">
        <f t="shared" si="5"/>
        <v>#DIV/0!</v>
      </c>
      <c r="H28" s="94" t="e">
        <f t="shared" si="5"/>
        <v>#DIV/0!</v>
      </c>
    </row>
    <row r="29" spans="1:8" s="7" customFormat="1">
      <c r="A29" s="189" t="s">
        <v>51</v>
      </c>
      <c r="B29" s="190"/>
      <c r="C29" s="190"/>
      <c r="D29" s="190"/>
      <c r="E29" s="190"/>
      <c r="F29" s="191" t="s">
        <v>35</v>
      </c>
      <c r="G29" s="101"/>
      <c r="H29" s="102"/>
    </row>
    <row r="30" spans="1:8" s="7" customFormat="1" ht="30" customHeight="1">
      <c r="A30" s="35" t="s">
        <v>43</v>
      </c>
      <c r="B30" s="10"/>
      <c r="C30" s="9"/>
      <c r="D30" s="9"/>
      <c r="E30" s="9"/>
      <c r="F30" s="9"/>
      <c r="G30" s="9"/>
      <c r="H30" s="10"/>
    </row>
    <row r="31" spans="1:8" s="7" customFormat="1" ht="30" customHeight="1">
      <c r="A31" s="35" t="str">
        <f>A25</f>
        <v>Non Meal Plan Meals</v>
      </c>
      <c r="B31" s="60"/>
      <c r="C31" s="60"/>
      <c r="D31" s="60"/>
      <c r="E31" s="60"/>
      <c r="F31" s="60"/>
      <c r="G31" s="60"/>
      <c r="H31" s="60"/>
    </row>
    <row r="32" spans="1:8" s="7" customFormat="1" ht="30" customHeight="1">
      <c r="A32" s="35" t="str">
        <f>A26</f>
        <v xml:space="preserve">Meal numbers </v>
      </c>
      <c r="B32" s="10"/>
      <c r="C32" s="10"/>
      <c r="D32" s="10"/>
      <c r="E32" s="10"/>
      <c r="F32" s="10"/>
      <c r="G32" s="10"/>
      <c r="H32" s="10"/>
    </row>
    <row r="33" spans="1:12" s="7" customFormat="1" ht="30.95" customHeight="1" thickBot="1">
      <c r="A33" s="36" t="s">
        <v>53</v>
      </c>
      <c r="B33" s="103">
        <f t="shared" ref="B33:H33" si="6">SUM(B30:B32)</f>
        <v>0</v>
      </c>
      <c r="C33" s="103">
        <f t="shared" si="6"/>
        <v>0</v>
      </c>
      <c r="D33" s="103">
        <f t="shared" si="6"/>
        <v>0</v>
      </c>
      <c r="E33" s="103">
        <f t="shared" si="6"/>
        <v>0</v>
      </c>
      <c r="F33" s="103">
        <f t="shared" si="6"/>
        <v>0</v>
      </c>
      <c r="G33" s="103">
        <f t="shared" si="6"/>
        <v>0</v>
      </c>
      <c r="H33" s="103">
        <f t="shared" si="6"/>
        <v>0</v>
      </c>
    </row>
    <row r="34" spans="1:12" s="7" customFormat="1" ht="24.95" customHeight="1" thickBot="1">
      <c r="A34" s="34" t="s">
        <v>40</v>
      </c>
      <c r="B34" s="92" t="e">
        <f t="shared" ref="B34:H34" si="7">(B33-B7)/B7</f>
        <v>#DIV/0!</v>
      </c>
      <c r="C34" s="93" t="e">
        <f t="shared" si="7"/>
        <v>#DIV/0!</v>
      </c>
      <c r="D34" s="93" t="e">
        <f t="shared" si="7"/>
        <v>#DIV/0!</v>
      </c>
      <c r="E34" s="93" t="e">
        <f t="shared" si="7"/>
        <v>#DIV/0!</v>
      </c>
      <c r="F34" s="93" t="e">
        <f t="shared" si="7"/>
        <v>#DIV/0!</v>
      </c>
      <c r="G34" s="93" t="e">
        <f t="shared" si="7"/>
        <v>#DIV/0!</v>
      </c>
      <c r="H34" s="94" t="e">
        <f t="shared" si="7"/>
        <v>#DIV/0!</v>
      </c>
    </row>
    <row r="35" spans="1:12" s="7" customFormat="1">
      <c r="A35" s="192" t="s">
        <v>54</v>
      </c>
      <c r="B35" s="193"/>
      <c r="C35" s="193"/>
      <c r="D35" s="193"/>
      <c r="E35" s="193"/>
      <c r="F35" s="194" t="s">
        <v>35</v>
      </c>
      <c r="G35" s="104"/>
      <c r="H35" s="105"/>
    </row>
    <row r="36" spans="1:12" s="7" customFormat="1" ht="30.95" customHeight="1" thickBot="1">
      <c r="A36" s="78" t="s">
        <v>55</v>
      </c>
      <c r="B36" s="77">
        <f t="shared" ref="B36:H36" si="8">B33+B27+B21</f>
        <v>0</v>
      </c>
      <c r="C36" s="77">
        <f t="shared" si="8"/>
        <v>0</v>
      </c>
      <c r="D36" s="77">
        <f t="shared" si="8"/>
        <v>0</v>
      </c>
      <c r="E36" s="77">
        <f t="shared" si="8"/>
        <v>0</v>
      </c>
      <c r="F36" s="77">
        <f t="shared" si="8"/>
        <v>0</v>
      </c>
      <c r="G36" s="77">
        <f t="shared" si="8"/>
        <v>0</v>
      </c>
      <c r="H36" s="77">
        <f t="shared" si="8"/>
        <v>0</v>
      </c>
    </row>
    <row r="37" spans="1:12" s="7" customFormat="1" ht="24.95" customHeight="1" thickBot="1">
      <c r="A37" s="34" t="s">
        <v>40</v>
      </c>
      <c r="B37" s="92" t="e">
        <f t="shared" ref="B37:H37" si="9">(B36-B8)/B8</f>
        <v>#DIV/0!</v>
      </c>
      <c r="C37" s="93" t="e">
        <f t="shared" si="9"/>
        <v>#DIV/0!</v>
      </c>
      <c r="D37" s="93" t="e">
        <f t="shared" si="9"/>
        <v>#DIV/0!</v>
      </c>
      <c r="E37" s="93" t="e">
        <f t="shared" si="9"/>
        <v>#DIV/0!</v>
      </c>
      <c r="F37" s="93" t="e">
        <f t="shared" si="9"/>
        <v>#DIV/0!</v>
      </c>
      <c r="G37" s="93" t="e">
        <f t="shared" si="9"/>
        <v>#DIV/0!</v>
      </c>
      <c r="H37" s="94" t="e">
        <f t="shared" si="9"/>
        <v>#DIV/0!</v>
      </c>
    </row>
    <row r="38" spans="1:12" ht="30" customHeight="1" thickBot="1">
      <c r="A38" s="195"/>
      <c r="B38" s="196"/>
      <c r="C38" s="196"/>
      <c r="D38" s="196"/>
      <c r="E38" s="196"/>
      <c r="F38" s="196"/>
      <c r="G38" s="106" t="s">
        <v>37</v>
      </c>
      <c r="H38" s="107">
        <f>SUM(B36:H36)</f>
        <v>0</v>
      </c>
    </row>
    <row r="39" spans="1:12" s="7" customFormat="1" ht="24.95" customHeight="1" thickTop="1">
      <c r="A39" s="37"/>
      <c r="B39" s="25"/>
      <c r="C39" s="25"/>
      <c r="D39" s="25"/>
      <c r="E39" s="25"/>
      <c r="F39" s="25"/>
      <c r="G39" s="79" t="s">
        <v>40</v>
      </c>
      <c r="H39" s="80" t="e">
        <f>(H38-H9)/H9</f>
        <v>#DIV/0!</v>
      </c>
    </row>
    <row r="40" spans="1:12" s="7" customFormat="1" ht="24.95" customHeight="1" thickBot="1">
      <c r="A40" s="37"/>
      <c r="B40" s="25"/>
      <c r="C40" s="25"/>
      <c r="D40" s="25"/>
      <c r="E40" s="25"/>
      <c r="F40" s="25"/>
      <c r="G40" s="81" t="s">
        <v>56</v>
      </c>
      <c r="H40" s="82" t="e">
        <f>(H38-H16)/H16</f>
        <v>#DIV/0!</v>
      </c>
    </row>
    <row r="41" spans="1:12" s="46" customFormat="1" ht="23.1" customHeight="1">
      <c r="A41" s="40"/>
      <c r="B41" s="47" t="s">
        <v>57</v>
      </c>
      <c r="C41" s="197" t="s">
        <v>58</v>
      </c>
      <c r="D41" s="197"/>
      <c r="E41" s="197"/>
      <c r="F41" s="197"/>
      <c r="G41" s="198">
        <v>2020</v>
      </c>
      <c r="H41" s="199"/>
    </row>
    <row r="42" spans="1:12" ht="30" customHeight="1">
      <c r="A42" s="1" t="s">
        <v>0</v>
      </c>
      <c r="B42" s="57" t="s">
        <v>59</v>
      </c>
      <c r="C42" s="180"/>
      <c r="D42" s="180"/>
      <c r="E42" s="180"/>
      <c r="F42" s="180"/>
      <c r="G42" s="206" t="s">
        <v>101</v>
      </c>
      <c r="H42" s="210"/>
      <c r="I42" s="46"/>
      <c r="J42" s="126"/>
      <c r="L42" s="7" t="s">
        <v>61</v>
      </c>
    </row>
    <row r="43" spans="1:12" ht="30" customHeight="1">
      <c r="A43" s="1" t="s">
        <v>1</v>
      </c>
      <c r="B43" s="57" t="s">
        <v>59</v>
      </c>
      <c r="C43" s="175" t="s">
        <v>102</v>
      </c>
      <c r="D43" s="175"/>
      <c r="E43" s="175"/>
      <c r="F43" s="175"/>
      <c r="G43" s="206"/>
      <c r="H43" s="210"/>
      <c r="I43" s="46"/>
      <c r="J43" s="126"/>
      <c r="L43" s="5" t="s">
        <v>62</v>
      </c>
    </row>
    <row r="44" spans="1:12" ht="30" customHeight="1">
      <c r="A44" s="1" t="s">
        <v>2</v>
      </c>
      <c r="B44" s="57" t="s">
        <v>59</v>
      </c>
      <c r="C44" s="175"/>
      <c r="D44" s="175"/>
      <c r="E44" s="175"/>
      <c r="F44" s="175"/>
      <c r="G44" s="206"/>
      <c r="H44" s="210"/>
      <c r="I44" s="46"/>
      <c r="J44" s="126"/>
      <c r="L44" s="5" t="s">
        <v>63</v>
      </c>
    </row>
    <row r="45" spans="1:12" ht="30" customHeight="1">
      <c r="A45" s="1" t="s">
        <v>3</v>
      </c>
      <c r="B45" s="57" t="s">
        <v>59</v>
      </c>
      <c r="C45" s="175"/>
      <c r="D45" s="175"/>
      <c r="E45" s="175"/>
      <c r="F45" s="175"/>
      <c r="G45" s="206"/>
      <c r="H45" s="210"/>
      <c r="I45" s="46"/>
      <c r="J45" s="126"/>
      <c r="L45" s="5" t="s">
        <v>64</v>
      </c>
    </row>
    <row r="46" spans="1:12" ht="30.95" customHeight="1">
      <c r="A46" s="1" t="s">
        <v>4</v>
      </c>
      <c r="B46" s="57" t="s">
        <v>59</v>
      </c>
      <c r="C46" s="175"/>
      <c r="D46" s="175"/>
      <c r="E46" s="175"/>
      <c r="F46" s="175"/>
      <c r="G46" s="126"/>
      <c r="H46" s="126"/>
      <c r="I46" s="46"/>
      <c r="J46" s="126"/>
    </row>
    <row r="47" spans="1:12" ht="30" customHeight="1">
      <c r="A47" s="1" t="s">
        <v>5</v>
      </c>
      <c r="B47" s="57" t="s">
        <v>59</v>
      </c>
      <c r="C47" s="175"/>
      <c r="D47" s="175"/>
      <c r="E47" s="175"/>
      <c r="F47" s="175"/>
      <c r="G47" s="126"/>
      <c r="H47" s="126"/>
      <c r="I47" s="46"/>
      <c r="J47" s="126"/>
    </row>
    <row r="48" spans="1:12" ht="30" customHeight="1">
      <c r="A48" s="1" t="s">
        <v>6</v>
      </c>
      <c r="B48" s="57" t="s">
        <v>59</v>
      </c>
      <c r="C48" s="175"/>
      <c r="D48" s="175"/>
      <c r="E48" s="175"/>
      <c r="F48" s="175"/>
      <c r="G48" s="206"/>
      <c r="H48" s="210"/>
      <c r="I48" s="46"/>
      <c r="J48" s="126"/>
    </row>
    <row r="49" spans="1:8" ht="21" customHeight="1">
      <c r="A49" s="2"/>
      <c r="B49" s="14"/>
      <c r="C49" s="175"/>
      <c r="D49" s="175"/>
      <c r="E49" s="175"/>
      <c r="F49" s="175"/>
      <c r="G49" s="176"/>
      <c r="H49" s="177"/>
    </row>
    <row r="50" spans="1:8">
      <c r="A50" s="30"/>
      <c r="B50" s="18" t="s">
        <v>27</v>
      </c>
      <c r="C50" s="18" t="s">
        <v>28</v>
      </c>
      <c r="D50" s="18" t="s">
        <v>65</v>
      </c>
      <c r="E50" s="18" t="s">
        <v>30</v>
      </c>
      <c r="F50" s="18" t="s">
        <v>66</v>
      </c>
      <c r="G50" s="18" t="s">
        <v>32</v>
      </c>
      <c r="H50" s="18" t="s">
        <v>33</v>
      </c>
    </row>
    <row r="51" spans="1:8" ht="27" customHeight="1">
      <c r="A51" s="38" t="s">
        <v>91</v>
      </c>
      <c r="B51" s="10"/>
      <c r="C51" s="10"/>
      <c r="D51" s="10"/>
      <c r="E51" s="10"/>
      <c r="F51" s="10"/>
      <c r="G51" s="10"/>
      <c r="H51" s="10"/>
    </row>
    <row r="52" spans="1:8" customFormat="1" ht="15.95">
      <c r="A52" s="48"/>
      <c r="B52" s="22"/>
      <c r="C52" s="21"/>
      <c r="D52" s="21"/>
      <c r="E52" s="21"/>
      <c r="F52" s="21"/>
      <c r="G52" s="23" t="s">
        <v>37</v>
      </c>
      <c r="H52" s="23">
        <f>SUM(B51:H51)</f>
        <v>0</v>
      </c>
    </row>
    <row r="53" spans="1:8">
      <c r="A53" s="30"/>
      <c r="B53" s="18" t="s">
        <v>27</v>
      </c>
      <c r="C53" s="18" t="s">
        <v>28</v>
      </c>
      <c r="D53" s="18" t="s">
        <v>65</v>
      </c>
      <c r="E53" s="18" t="s">
        <v>30</v>
      </c>
      <c r="F53" s="18" t="s">
        <v>66</v>
      </c>
      <c r="G53" s="18" t="s">
        <v>32</v>
      </c>
      <c r="H53" s="18" t="s">
        <v>33</v>
      </c>
    </row>
    <row r="54" spans="1:8">
      <c r="A54" s="38" t="s">
        <v>69</v>
      </c>
      <c r="B54" s="51"/>
      <c r="C54" s="52"/>
      <c r="D54" s="52"/>
      <c r="E54" s="52"/>
      <c r="F54" s="52"/>
      <c r="G54" s="20"/>
      <c r="H54" s="15"/>
    </row>
    <row r="55" spans="1:8" customFormat="1" ht="15.95">
      <c r="A55" s="49" t="s">
        <v>70</v>
      </c>
      <c r="B55" s="53"/>
      <c r="C55" s="53" t="s">
        <v>71</v>
      </c>
      <c r="D55" s="54"/>
      <c r="E55" s="54"/>
      <c r="F55" s="55"/>
      <c r="G55" s="50" t="s">
        <v>37</v>
      </c>
      <c r="H55" s="23"/>
    </row>
    <row r="56" spans="1:8">
      <c r="H56" s="16"/>
    </row>
    <row r="57" spans="1:8">
      <c r="H57" s="16"/>
    </row>
    <row r="58" spans="1:8">
      <c r="H58" s="16"/>
    </row>
    <row r="59" spans="1:8">
      <c r="H59" s="16"/>
    </row>
    <row r="60" spans="1:8">
      <c r="H60" s="16"/>
    </row>
    <row r="61" spans="1:8">
      <c r="H61" s="16"/>
    </row>
    <row r="62" spans="1:8">
      <c r="H62" s="16"/>
    </row>
    <row r="63" spans="1:8">
      <c r="B63" s="5"/>
      <c r="H63" s="16"/>
    </row>
    <row r="64" spans="1:8">
      <c r="B64" s="5"/>
      <c r="H64" s="16"/>
    </row>
    <row r="65" spans="2:8">
      <c r="B65" s="5"/>
      <c r="H65" s="16"/>
    </row>
    <row r="66" spans="2:8">
      <c r="B66" s="5"/>
      <c r="H66" s="16"/>
    </row>
    <row r="67" spans="2:8">
      <c r="B67" s="5"/>
      <c r="H67" s="16"/>
    </row>
    <row r="68" spans="2:8">
      <c r="B68" s="5"/>
      <c r="H68" s="16"/>
    </row>
    <row r="69" spans="2:8">
      <c r="B69" s="5"/>
      <c r="H69" s="16"/>
    </row>
    <row r="70" spans="2:8">
      <c r="B70" s="5"/>
      <c r="H70" s="16"/>
    </row>
    <row r="71" spans="2:8">
      <c r="B71" s="5"/>
      <c r="H71" s="16"/>
    </row>
    <row r="72" spans="2:8">
      <c r="B72" s="5"/>
      <c r="H72" s="16"/>
    </row>
    <row r="73" spans="2:8">
      <c r="B73" s="5"/>
      <c r="H73" s="16"/>
    </row>
    <row r="74" spans="2:8">
      <c r="B74" s="5"/>
      <c r="H74" s="16"/>
    </row>
    <row r="75" spans="2:8">
      <c r="B75" s="5"/>
      <c r="H75" s="16"/>
    </row>
    <row r="76" spans="2:8">
      <c r="B76" s="5"/>
      <c r="H76" s="16"/>
    </row>
    <row r="77" spans="2:8">
      <c r="B77" s="5"/>
      <c r="H77" s="16"/>
    </row>
    <row r="78" spans="2:8">
      <c r="B78" s="5"/>
      <c r="H78" s="16"/>
    </row>
    <row r="79" spans="2:8">
      <c r="B79" s="5"/>
      <c r="H79" s="16"/>
    </row>
    <row r="80" spans="2:8">
      <c r="B80" s="5"/>
      <c r="H80" s="16"/>
    </row>
    <row r="81" spans="2:8">
      <c r="B81" s="5"/>
      <c r="H81" s="16"/>
    </row>
    <row r="82" spans="2:8">
      <c r="B82" s="5"/>
      <c r="H82" s="16"/>
    </row>
    <row r="83" spans="2:8">
      <c r="B83" s="5"/>
      <c r="H83" s="16"/>
    </row>
    <row r="84" spans="2:8">
      <c r="B84" s="5"/>
      <c r="H84" s="16"/>
    </row>
    <row r="85" spans="2:8">
      <c r="B85" s="5"/>
      <c r="H85" s="16"/>
    </row>
    <row r="86" spans="2:8">
      <c r="B86" s="5"/>
      <c r="H86" s="16"/>
    </row>
    <row r="87" spans="2:8">
      <c r="B87" s="5"/>
      <c r="H87" s="16"/>
    </row>
    <row r="88" spans="2:8">
      <c r="B88" s="5"/>
      <c r="H88" s="16"/>
    </row>
    <row r="89" spans="2:8">
      <c r="B89" s="5"/>
      <c r="H89" s="16"/>
    </row>
    <row r="90" spans="2:8">
      <c r="B90" s="5"/>
      <c r="H90" s="16"/>
    </row>
    <row r="91" spans="2:8">
      <c r="B91" s="5"/>
      <c r="H91" s="16"/>
    </row>
    <row r="92" spans="2:8">
      <c r="B92" s="5"/>
      <c r="H92" s="16"/>
    </row>
    <row r="93" spans="2:8">
      <c r="B93" s="5"/>
      <c r="H93" s="16"/>
    </row>
    <row r="94" spans="2:8">
      <c r="B94" s="5"/>
      <c r="H94" s="16"/>
    </row>
    <row r="95" spans="2:8">
      <c r="B95" s="5"/>
      <c r="H95" s="16"/>
    </row>
    <row r="96" spans="2:8">
      <c r="B96" s="5"/>
      <c r="H96" s="16"/>
    </row>
    <row r="97" spans="2:8">
      <c r="B97" s="5"/>
      <c r="H97" s="16"/>
    </row>
    <row r="98" spans="2:8">
      <c r="B98" s="5"/>
      <c r="H98" s="16"/>
    </row>
    <row r="99" spans="2:8">
      <c r="B99" s="5"/>
      <c r="H99" s="16"/>
    </row>
    <row r="100" spans="2:8">
      <c r="B100" s="5"/>
      <c r="H100" s="16"/>
    </row>
    <row r="101" spans="2:8">
      <c r="B101" s="5"/>
      <c r="H101" s="16"/>
    </row>
    <row r="102" spans="2:8">
      <c r="B102" s="5"/>
      <c r="H102" s="16"/>
    </row>
    <row r="103" spans="2:8">
      <c r="B103" s="5"/>
      <c r="H103" s="16"/>
    </row>
    <row r="104" spans="2:8">
      <c r="B104" s="5"/>
      <c r="H104" s="16"/>
    </row>
    <row r="105" spans="2:8">
      <c r="B105" s="5"/>
      <c r="H105" s="16"/>
    </row>
    <row r="106" spans="2:8">
      <c r="B106" s="5"/>
      <c r="H106" s="16"/>
    </row>
    <row r="107" spans="2:8">
      <c r="B107" s="5"/>
      <c r="H107" s="16"/>
    </row>
    <row r="108" spans="2:8">
      <c r="B108" s="5"/>
      <c r="H108" s="16"/>
    </row>
    <row r="109" spans="2:8">
      <c r="B109" s="5"/>
      <c r="H109" s="16"/>
    </row>
    <row r="110" spans="2:8">
      <c r="B110" s="5"/>
      <c r="H110" s="16"/>
    </row>
    <row r="111" spans="2:8">
      <c r="B111" s="5"/>
      <c r="H111" s="16"/>
    </row>
    <row r="112" spans="2:8">
      <c r="B112" s="5"/>
      <c r="H112" s="16"/>
    </row>
    <row r="113" spans="2:8">
      <c r="B113" s="5"/>
      <c r="H113" s="16"/>
    </row>
    <row r="114" spans="2:8">
      <c r="B114" s="5"/>
      <c r="H114" s="16"/>
    </row>
    <row r="115" spans="2:8">
      <c r="B115" s="5"/>
      <c r="H115" s="16"/>
    </row>
    <row r="116" spans="2:8">
      <c r="B116" s="5"/>
      <c r="H116" s="16"/>
    </row>
    <row r="117" spans="2:8">
      <c r="B117" s="5"/>
      <c r="H117" s="16"/>
    </row>
    <row r="118" spans="2:8">
      <c r="B118" s="5"/>
      <c r="H118" s="16"/>
    </row>
    <row r="119" spans="2:8">
      <c r="B119" s="5"/>
      <c r="H119" s="16"/>
    </row>
    <row r="120" spans="2:8">
      <c r="B120" s="5"/>
      <c r="H120" s="16"/>
    </row>
    <row r="121" spans="2:8">
      <c r="B121" s="5"/>
      <c r="H121" s="16"/>
    </row>
    <row r="122" spans="2:8">
      <c r="B122" s="5"/>
      <c r="H122" s="16"/>
    </row>
    <row r="123" spans="2:8">
      <c r="B123" s="5"/>
      <c r="H123" s="16"/>
    </row>
    <row r="124" spans="2:8">
      <c r="B124" s="5"/>
      <c r="H124" s="16"/>
    </row>
    <row r="125" spans="2:8">
      <c r="B125" s="5"/>
      <c r="H125" s="16"/>
    </row>
    <row r="126" spans="2:8">
      <c r="B126" s="5"/>
      <c r="H126" s="16"/>
    </row>
    <row r="127" spans="2:8">
      <c r="B127" s="5"/>
      <c r="H127" s="16"/>
    </row>
    <row r="128" spans="2:8">
      <c r="B128" s="5"/>
      <c r="H128" s="16"/>
    </row>
    <row r="129" spans="2:8">
      <c r="B129" s="5"/>
      <c r="H129" s="16"/>
    </row>
    <row r="130" spans="2:8">
      <c r="B130" s="5"/>
      <c r="H130" s="16"/>
    </row>
    <row r="131" spans="2:8">
      <c r="B131" s="5"/>
      <c r="H131" s="16"/>
    </row>
    <row r="132" spans="2:8">
      <c r="B132" s="5"/>
      <c r="H132" s="16"/>
    </row>
    <row r="133" spans="2:8">
      <c r="B133" s="5"/>
      <c r="H133" s="16"/>
    </row>
    <row r="134" spans="2:8">
      <c r="B134" s="5"/>
      <c r="H134" s="16"/>
    </row>
    <row r="135" spans="2:8">
      <c r="B135" s="5"/>
      <c r="H135" s="16"/>
    </row>
    <row r="136" spans="2:8">
      <c r="B136" s="5"/>
      <c r="H136" s="16"/>
    </row>
    <row r="137" spans="2:8">
      <c r="B137" s="5"/>
      <c r="H137" s="16"/>
    </row>
    <row r="138" spans="2:8">
      <c r="B138" s="5"/>
      <c r="H138" s="16"/>
    </row>
    <row r="139" spans="2:8">
      <c r="B139" s="5"/>
      <c r="H139" s="16"/>
    </row>
    <row r="140" spans="2:8">
      <c r="B140" s="5"/>
      <c r="H140" s="16"/>
    </row>
    <row r="141" spans="2:8">
      <c r="B141" s="5"/>
      <c r="H141" s="16"/>
    </row>
    <row r="142" spans="2:8">
      <c r="B142" s="5"/>
      <c r="H142" s="16"/>
    </row>
    <row r="143" spans="2:8">
      <c r="B143" s="5"/>
      <c r="H143" s="16"/>
    </row>
    <row r="144" spans="2:8">
      <c r="B144" s="5"/>
      <c r="H144" s="16"/>
    </row>
    <row r="145" spans="2:8">
      <c r="B145" s="5"/>
      <c r="H145" s="16"/>
    </row>
    <row r="146" spans="2:8">
      <c r="B146" s="5"/>
      <c r="H146" s="16"/>
    </row>
    <row r="147" spans="2:8">
      <c r="B147" s="5"/>
      <c r="H147" s="16"/>
    </row>
    <row r="148" spans="2:8">
      <c r="B148" s="5"/>
      <c r="H148" s="16"/>
    </row>
    <row r="149" spans="2:8">
      <c r="B149" s="5"/>
      <c r="H149" s="16"/>
    </row>
    <row r="150" spans="2:8">
      <c r="B150" s="5"/>
      <c r="H150" s="16"/>
    </row>
    <row r="151" spans="2:8">
      <c r="B151" s="5"/>
      <c r="H151" s="16"/>
    </row>
    <row r="152" spans="2:8">
      <c r="B152" s="5"/>
      <c r="H152" s="16"/>
    </row>
    <row r="153" spans="2:8">
      <c r="B153" s="5"/>
      <c r="H153" s="16"/>
    </row>
    <row r="154" spans="2:8">
      <c r="B154" s="5"/>
      <c r="H154" s="16"/>
    </row>
    <row r="155" spans="2:8">
      <c r="B155" s="5"/>
      <c r="H155" s="16"/>
    </row>
    <row r="156" spans="2:8">
      <c r="B156" s="5"/>
      <c r="H156" s="16"/>
    </row>
    <row r="157" spans="2:8">
      <c r="B157" s="5"/>
      <c r="H157" s="16"/>
    </row>
    <row r="158" spans="2:8">
      <c r="B158" s="5"/>
      <c r="H158" s="16"/>
    </row>
    <row r="159" spans="2:8">
      <c r="B159" s="5"/>
      <c r="H159" s="16"/>
    </row>
    <row r="160" spans="2:8">
      <c r="B160" s="5"/>
      <c r="H160" s="16"/>
    </row>
    <row r="161" spans="2:8">
      <c r="B161" s="5"/>
      <c r="H161" s="16"/>
    </row>
    <row r="162" spans="2:8">
      <c r="B162" s="5"/>
      <c r="H162" s="16"/>
    </row>
    <row r="163" spans="2:8">
      <c r="B163" s="5"/>
      <c r="H163" s="16"/>
    </row>
    <row r="164" spans="2:8">
      <c r="B164" s="5"/>
      <c r="H164" s="16"/>
    </row>
    <row r="165" spans="2:8">
      <c r="B165" s="5"/>
      <c r="H165" s="16"/>
    </row>
    <row r="166" spans="2:8">
      <c r="B166" s="5"/>
      <c r="H166" s="16"/>
    </row>
    <row r="167" spans="2:8">
      <c r="B167" s="5"/>
      <c r="H167" s="16"/>
    </row>
    <row r="168" spans="2:8">
      <c r="B168" s="5"/>
      <c r="H168" s="16"/>
    </row>
    <row r="169" spans="2:8">
      <c r="B169" s="5"/>
      <c r="H169" s="16"/>
    </row>
    <row r="170" spans="2:8">
      <c r="B170" s="5"/>
      <c r="H170" s="16"/>
    </row>
    <row r="171" spans="2:8">
      <c r="B171" s="5"/>
      <c r="H171" s="16"/>
    </row>
    <row r="172" spans="2:8">
      <c r="B172" s="5"/>
      <c r="H172" s="16"/>
    </row>
    <row r="173" spans="2:8">
      <c r="B173" s="5"/>
      <c r="H173" s="16"/>
    </row>
    <row r="174" spans="2:8">
      <c r="B174" s="5"/>
      <c r="H174" s="16"/>
    </row>
    <row r="175" spans="2:8">
      <c r="B175" s="5"/>
      <c r="H175" s="16"/>
    </row>
    <row r="176" spans="2:8">
      <c r="B176" s="5"/>
      <c r="H176" s="16"/>
    </row>
    <row r="177" spans="2:8">
      <c r="B177" s="5"/>
      <c r="H177" s="16"/>
    </row>
    <row r="178" spans="2:8">
      <c r="B178" s="5"/>
      <c r="H178" s="16"/>
    </row>
    <row r="179" spans="2:8">
      <c r="B179" s="5"/>
      <c r="H179" s="16"/>
    </row>
    <row r="180" spans="2:8">
      <c r="B180" s="5"/>
      <c r="H180" s="16"/>
    </row>
    <row r="181" spans="2:8">
      <c r="B181" s="5"/>
      <c r="H181" s="16"/>
    </row>
    <row r="182" spans="2:8">
      <c r="B182" s="5"/>
      <c r="H182" s="16"/>
    </row>
    <row r="183" spans="2:8">
      <c r="B183" s="5"/>
      <c r="H183" s="16"/>
    </row>
    <row r="184" spans="2:8">
      <c r="B184" s="5"/>
      <c r="H184" s="16"/>
    </row>
    <row r="185" spans="2:8">
      <c r="B185" s="5"/>
      <c r="H185" s="16"/>
    </row>
    <row r="186" spans="2:8">
      <c r="B186" s="5"/>
      <c r="H186" s="16"/>
    </row>
    <row r="187" spans="2:8">
      <c r="B187" s="5"/>
      <c r="H187" s="16"/>
    </row>
    <row r="188" spans="2:8">
      <c r="B188" s="5"/>
      <c r="H188" s="16"/>
    </row>
    <row r="189" spans="2:8">
      <c r="B189" s="5"/>
      <c r="H189" s="16"/>
    </row>
    <row r="190" spans="2:8">
      <c r="B190" s="5"/>
      <c r="H190" s="16"/>
    </row>
    <row r="191" spans="2:8">
      <c r="B191" s="5"/>
      <c r="H191" s="16"/>
    </row>
    <row r="192" spans="2:8">
      <c r="B192" s="5"/>
      <c r="H192" s="16"/>
    </row>
    <row r="193" spans="2:8">
      <c r="B193" s="5"/>
      <c r="H193" s="16"/>
    </row>
    <row r="194" spans="2:8">
      <c r="B194" s="5"/>
      <c r="H194" s="16"/>
    </row>
    <row r="195" spans="2:8">
      <c r="B195" s="5"/>
      <c r="H195" s="16"/>
    </row>
    <row r="196" spans="2:8">
      <c r="B196" s="5"/>
      <c r="H196" s="16"/>
    </row>
    <row r="197" spans="2:8">
      <c r="B197" s="5"/>
      <c r="H197" s="16"/>
    </row>
    <row r="198" spans="2:8">
      <c r="B198" s="5"/>
      <c r="H198" s="16"/>
    </row>
    <row r="199" spans="2:8">
      <c r="B199" s="5"/>
      <c r="H199" s="16"/>
    </row>
    <row r="200" spans="2:8">
      <c r="B200" s="5"/>
      <c r="H200" s="16"/>
    </row>
    <row r="201" spans="2:8">
      <c r="B201" s="5"/>
      <c r="H201" s="16"/>
    </row>
    <row r="202" spans="2:8">
      <c r="B202" s="5"/>
      <c r="H202" s="16"/>
    </row>
    <row r="203" spans="2:8">
      <c r="B203" s="5"/>
      <c r="H203" s="16"/>
    </row>
    <row r="204" spans="2:8">
      <c r="B204" s="5"/>
      <c r="H204" s="16"/>
    </row>
    <row r="205" spans="2:8">
      <c r="B205" s="5"/>
      <c r="H205" s="16"/>
    </row>
    <row r="206" spans="2:8">
      <c r="B206" s="5"/>
      <c r="H206" s="16"/>
    </row>
    <row r="207" spans="2:8">
      <c r="B207" s="5"/>
      <c r="H207" s="16"/>
    </row>
    <row r="208" spans="2:8">
      <c r="B208" s="5"/>
      <c r="H208" s="16"/>
    </row>
    <row r="209" spans="2:8">
      <c r="B209" s="5"/>
      <c r="H209" s="16"/>
    </row>
    <row r="210" spans="2:8">
      <c r="B210" s="5"/>
      <c r="H210" s="16"/>
    </row>
    <row r="211" spans="2:8">
      <c r="B211" s="5"/>
      <c r="H211" s="16"/>
    </row>
    <row r="212" spans="2:8">
      <c r="B212" s="5"/>
      <c r="H212" s="16"/>
    </row>
    <row r="213" spans="2:8">
      <c r="B213" s="5"/>
      <c r="H213" s="16"/>
    </row>
    <row r="214" spans="2:8">
      <c r="B214" s="5"/>
      <c r="H214" s="16"/>
    </row>
    <row r="215" spans="2:8">
      <c r="B215" s="5"/>
      <c r="H215" s="16"/>
    </row>
    <row r="216" spans="2:8">
      <c r="B216" s="5"/>
      <c r="H216" s="16"/>
    </row>
    <row r="217" spans="2:8">
      <c r="B217" s="5"/>
      <c r="H217" s="16"/>
    </row>
    <row r="218" spans="2:8">
      <c r="B218" s="5"/>
      <c r="H218" s="16"/>
    </row>
    <row r="219" spans="2:8">
      <c r="B219" s="5"/>
      <c r="H219" s="16"/>
    </row>
    <row r="220" spans="2:8">
      <c r="B220" s="5"/>
      <c r="H220" s="16"/>
    </row>
    <row r="221" spans="2:8">
      <c r="B221" s="5"/>
      <c r="H221" s="16"/>
    </row>
    <row r="222" spans="2:8">
      <c r="B222" s="5"/>
      <c r="H222" s="16"/>
    </row>
    <row r="223" spans="2:8">
      <c r="B223" s="5"/>
      <c r="H223" s="16"/>
    </row>
    <row r="224" spans="2:8">
      <c r="B224" s="5"/>
      <c r="H224" s="16"/>
    </row>
    <row r="225" spans="2:8">
      <c r="B225" s="5"/>
      <c r="H225" s="16"/>
    </row>
    <row r="226" spans="2:8">
      <c r="B226" s="5"/>
      <c r="H226" s="16"/>
    </row>
    <row r="227" spans="2:8">
      <c r="B227" s="5"/>
      <c r="H227" s="16"/>
    </row>
    <row r="228" spans="2:8">
      <c r="B228" s="5"/>
      <c r="H228" s="16"/>
    </row>
    <row r="229" spans="2:8">
      <c r="B229" s="5"/>
      <c r="H229" s="16"/>
    </row>
    <row r="230" spans="2:8">
      <c r="B230" s="5"/>
      <c r="H230" s="16"/>
    </row>
    <row r="231" spans="2:8">
      <c r="B231" s="5"/>
      <c r="H231" s="16"/>
    </row>
    <row r="232" spans="2:8">
      <c r="B232" s="5"/>
      <c r="H232" s="16"/>
    </row>
    <row r="233" spans="2:8">
      <c r="B233" s="5"/>
      <c r="H233" s="16"/>
    </row>
    <row r="234" spans="2:8">
      <c r="B234" s="5"/>
      <c r="H234" s="16"/>
    </row>
    <row r="235" spans="2:8">
      <c r="B235" s="5"/>
      <c r="H235" s="16"/>
    </row>
    <row r="236" spans="2:8">
      <c r="B236" s="5"/>
      <c r="H236" s="16"/>
    </row>
    <row r="237" spans="2:8">
      <c r="B237" s="5"/>
      <c r="H237" s="16"/>
    </row>
    <row r="238" spans="2:8">
      <c r="B238" s="5"/>
      <c r="H238" s="16"/>
    </row>
    <row r="239" spans="2:8">
      <c r="B239" s="5"/>
      <c r="H239" s="16"/>
    </row>
    <row r="240" spans="2:8">
      <c r="B240" s="5"/>
      <c r="H240" s="16"/>
    </row>
    <row r="241" spans="2:8">
      <c r="B241" s="5"/>
      <c r="H241" s="16"/>
    </row>
    <row r="242" spans="2:8">
      <c r="B242" s="5"/>
      <c r="H242" s="16"/>
    </row>
    <row r="243" spans="2:8">
      <c r="B243" s="5"/>
      <c r="H243" s="16"/>
    </row>
    <row r="244" spans="2:8">
      <c r="B244" s="5"/>
      <c r="H244" s="16"/>
    </row>
    <row r="245" spans="2:8">
      <c r="B245" s="5"/>
      <c r="H245" s="16"/>
    </row>
    <row r="246" spans="2:8">
      <c r="B246" s="5"/>
      <c r="H246" s="16"/>
    </row>
    <row r="247" spans="2:8">
      <c r="B247" s="5"/>
      <c r="H247" s="16"/>
    </row>
    <row r="248" spans="2:8">
      <c r="B248" s="5"/>
      <c r="H248" s="16"/>
    </row>
    <row r="249" spans="2:8">
      <c r="B249" s="5"/>
      <c r="H249" s="16"/>
    </row>
    <row r="250" spans="2:8">
      <c r="B250" s="5"/>
      <c r="H250" s="16"/>
    </row>
    <row r="251" spans="2:8">
      <c r="B251" s="5"/>
      <c r="H251" s="16"/>
    </row>
    <row r="252" spans="2:8">
      <c r="B252" s="5"/>
      <c r="H252" s="16"/>
    </row>
    <row r="253" spans="2:8">
      <c r="B253" s="5"/>
      <c r="H253" s="16"/>
    </row>
    <row r="254" spans="2:8">
      <c r="B254" s="5"/>
      <c r="H254" s="16"/>
    </row>
    <row r="255" spans="2:8">
      <c r="B255" s="5"/>
      <c r="H255" s="16"/>
    </row>
    <row r="256" spans="2:8">
      <c r="B256" s="5"/>
      <c r="H256" s="16"/>
    </row>
    <row r="257" spans="2:8">
      <c r="B257" s="5"/>
      <c r="H257" s="16"/>
    </row>
    <row r="258" spans="2:8">
      <c r="B258" s="5"/>
      <c r="H258" s="16"/>
    </row>
    <row r="259" spans="2:8">
      <c r="B259" s="5"/>
      <c r="H259" s="16"/>
    </row>
    <row r="260" spans="2:8">
      <c r="B260" s="5"/>
      <c r="H260" s="16"/>
    </row>
    <row r="261" spans="2:8">
      <c r="B261" s="5"/>
      <c r="H261" s="16"/>
    </row>
    <row r="262" spans="2:8">
      <c r="B262" s="5"/>
      <c r="H262" s="16"/>
    </row>
    <row r="263" spans="2:8">
      <c r="B263" s="5"/>
      <c r="H263" s="16"/>
    </row>
    <row r="264" spans="2:8">
      <c r="B264" s="5"/>
      <c r="H264" s="16"/>
    </row>
    <row r="265" spans="2:8">
      <c r="B265" s="5"/>
      <c r="H265" s="16"/>
    </row>
    <row r="266" spans="2:8">
      <c r="B266" s="5"/>
      <c r="H266" s="16"/>
    </row>
    <row r="267" spans="2:8">
      <c r="B267" s="5"/>
      <c r="H267" s="16"/>
    </row>
    <row r="268" spans="2:8">
      <c r="B268" s="5"/>
      <c r="H268" s="16"/>
    </row>
    <row r="269" spans="2:8">
      <c r="B269" s="5"/>
      <c r="H269" s="16"/>
    </row>
    <row r="270" spans="2:8">
      <c r="B270" s="5"/>
      <c r="H270" s="16"/>
    </row>
    <row r="271" spans="2:8">
      <c r="B271" s="5"/>
      <c r="H271" s="16"/>
    </row>
    <row r="272" spans="2:8">
      <c r="B272" s="5"/>
      <c r="H272" s="16"/>
    </row>
    <row r="273" spans="2:8">
      <c r="B273" s="5"/>
      <c r="H273" s="16"/>
    </row>
    <row r="274" spans="2:8">
      <c r="B274" s="5"/>
      <c r="H274" s="16"/>
    </row>
    <row r="275" spans="2:8">
      <c r="B275" s="5"/>
      <c r="H275" s="16"/>
    </row>
    <row r="276" spans="2:8">
      <c r="B276" s="5"/>
      <c r="H276" s="16"/>
    </row>
    <row r="277" spans="2:8">
      <c r="B277" s="5"/>
      <c r="H277" s="16"/>
    </row>
    <row r="278" spans="2:8">
      <c r="B278" s="5"/>
      <c r="H278" s="16"/>
    </row>
    <row r="279" spans="2:8">
      <c r="B279" s="5"/>
      <c r="H279" s="16"/>
    </row>
    <row r="280" spans="2:8">
      <c r="B280" s="5"/>
      <c r="H280" s="16"/>
    </row>
    <row r="281" spans="2:8">
      <c r="B281" s="5"/>
      <c r="H281" s="16"/>
    </row>
    <row r="282" spans="2:8">
      <c r="B282" s="5"/>
      <c r="H282" s="16"/>
    </row>
    <row r="283" spans="2:8">
      <c r="B283" s="5"/>
      <c r="H283" s="16"/>
    </row>
    <row r="284" spans="2:8">
      <c r="B284" s="5"/>
      <c r="H284" s="16"/>
    </row>
    <row r="285" spans="2:8">
      <c r="B285" s="5"/>
      <c r="H285" s="16"/>
    </row>
    <row r="286" spans="2:8">
      <c r="B286" s="5"/>
      <c r="H286" s="16"/>
    </row>
    <row r="287" spans="2:8">
      <c r="B287" s="5"/>
      <c r="H287" s="16"/>
    </row>
    <row r="288" spans="2:8">
      <c r="B288" s="5"/>
      <c r="H288" s="16"/>
    </row>
    <row r="289" spans="2:8">
      <c r="B289" s="5"/>
      <c r="H289" s="16"/>
    </row>
    <row r="290" spans="2:8">
      <c r="B290" s="5"/>
      <c r="H290" s="16"/>
    </row>
    <row r="291" spans="2:8">
      <c r="B291" s="5"/>
      <c r="H291" s="16"/>
    </row>
    <row r="292" spans="2:8">
      <c r="B292" s="5"/>
      <c r="H292" s="16"/>
    </row>
    <row r="293" spans="2:8">
      <c r="B293" s="5"/>
      <c r="H293" s="16"/>
    </row>
    <row r="294" spans="2:8">
      <c r="B294" s="5"/>
      <c r="H294" s="16"/>
    </row>
    <row r="295" spans="2:8">
      <c r="B295" s="5"/>
      <c r="H295" s="16"/>
    </row>
    <row r="296" spans="2:8">
      <c r="B296" s="5"/>
      <c r="H296" s="16"/>
    </row>
    <row r="297" spans="2:8">
      <c r="B297" s="5"/>
      <c r="H297" s="16"/>
    </row>
    <row r="298" spans="2:8">
      <c r="B298" s="5"/>
      <c r="H298" s="16"/>
    </row>
    <row r="299" spans="2:8">
      <c r="B299" s="5"/>
      <c r="H299" s="16"/>
    </row>
    <row r="300" spans="2:8">
      <c r="B300" s="5"/>
      <c r="H300" s="16"/>
    </row>
    <row r="301" spans="2:8">
      <c r="B301" s="5"/>
      <c r="H301" s="16"/>
    </row>
    <row r="302" spans="2:8">
      <c r="B302" s="5"/>
      <c r="H302" s="16"/>
    </row>
    <row r="303" spans="2:8">
      <c r="B303" s="5"/>
      <c r="H303" s="16"/>
    </row>
    <row r="304" spans="2:8">
      <c r="B304" s="5"/>
      <c r="H304" s="16"/>
    </row>
    <row r="305" spans="2:8">
      <c r="B305" s="5"/>
      <c r="H305" s="16"/>
    </row>
    <row r="306" spans="2:8">
      <c r="B306" s="5"/>
      <c r="H306" s="16"/>
    </row>
    <row r="307" spans="2:8">
      <c r="B307" s="5"/>
      <c r="H307" s="16"/>
    </row>
    <row r="308" spans="2:8">
      <c r="B308" s="5"/>
      <c r="H308" s="16"/>
    </row>
    <row r="309" spans="2:8">
      <c r="B309" s="5"/>
      <c r="H309" s="16"/>
    </row>
    <row r="310" spans="2:8">
      <c r="B310" s="5"/>
      <c r="H310" s="16"/>
    </row>
    <row r="311" spans="2:8">
      <c r="B311" s="5"/>
      <c r="H311" s="16"/>
    </row>
    <row r="312" spans="2:8">
      <c r="B312" s="5"/>
      <c r="H312" s="16"/>
    </row>
    <row r="313" spans="2:8">
      <c r="B313" s="5"/>
      <c r="H313" s="16"/>
    </row>
    <row r="314" spans="2:8">
      <c r="B314" s="5"/>
      <c r="H314" s="16"/>
    </row>
    <row r="315" spans="2:8">
      <c r="B315" s="5"/>
      <c r="H315" s="16"/>
    </row>
    <row r="316" spans="2:8">
      <c r="B316" s="5"/>
      <c r="H316" s="16"/>
    </row>
    <row r="317" spans="2:8">
      <c r="B317" s="5"/>
      <c r="H317" s="16"/>
    </row>
    <row r="318" spans="2:8">
      <c r="B318" s="5"/>
      <c r="H318" s="16"/>
    </row>
    <row r="319" spans="2:8">
      <c r="B319" s="5"/>
      <c r="H319" s="16"/>
    </row>
    <row r="320" spans="2:8">
      <c r="B320" s="5"/>
      <c r="H320" s="16"/>
    </row>
    <row r="321" spans="2:8">
      <c r="B321" s="5"/>
      <c r="H321" s="16"/>
    </row>
    <row r="322" spans="2:8">
      <c r="B322" s="5"/>
      <c r="H322" s="16"/>
    </row>
    <row r="323" spans="2:8">
      <c r="B323" s="5"/>
      <c r="H323" s="16"/>
    </row>
    <row r="324" spans="2:8">
      <c r="B324" s="5"/>
      <c r="H324" s="16"/>
    </row>
    <row r="325" spans="2:8">
      <c r="B325" s="5"/>
      <c r="H325" s="16"/>
    </row>
    <row r="326" spans="2:8">
      <c r="B326" s="5"/>
      <c r="H326" s="16"/>
    </row>
    <row r="327" spans="2:8">
      <c r="B327" s="5"/>
      <c r="H327" s="16"/>
    </row>
    <row r="328" spans="2:8">
      <c r="B328" s="5"/>
      <c r="H328" s="16"/>
    </row>
    <row r="329" spans="2:8">
      <c r="B329" s="5"/>
      <c r="H329" s="16"/>
    </row>
    <row r="330" spans="2:8">
      <c r="B330" s="5"/>
      <c r="H330" s="16"/>
    </row>
    <row r="331" spans="2:8">
      <c r="B331" s="5"/>
      <c r="H331" s="16"/>
    </row>
    <row r="332" spans="2:8">
      <c r="B332" s="5"/>
      <c r="H332" s="16"/>
    </row>
    <row r="333" spans="2:8">
      <c r="B333" s="5"/>
      <c r="H333" s="16"/>
    </row>
    <row r="334" spans="2:8">
      <c r="B334" s="5"/>
      <c r="H334" s="16"/>
    </row>
    <row r="335" spans="2:8">
      <c r="B335" s="5"/>
      <c r="H335" s="16"/>
    </row>
    <row r="336" spans="2:8">
      <c r="B336" s="5"/>
      <c r="H336" s="16"/>
    </row>
    <row r="337" spans="2:8">
      <c r="B337" s="5"/>
      <c r="H337" s="16"/>
    </row>
    <row r="338" spans="2:8">
      <c r="B338" s="5"/>
      <c r="H338" s="16"/>
    </row>
    <row r="339" spans="2:8">
      <c r="B339" s="5"/>
      <c r="H339" s="16"/>
    </row>
    <row r="340" spans="2:8">
      <c r="B340" s="5"/>
      <c r="H340" s="16"/>
    </row>
    <row r="341" spans="2:8">
      <c r="B341" s="5"/>
      <c r="H341" s="16"/>
    </row>
    <row r="342" spans="2:8">
      <c r="B342" s="5"/>
      <c r="H342" s="16"/>
    </row>
    <row r="343" spans="2:8">
      <c r="B343" s="5"/>
      <c r="H343" s="16"/>
    </row>
    <row r="344" spans="2:8">
      <c r="B344" s="5"/>
      <c r="H344" s="16"/>
    </row>
    <row r="345" spans="2:8">
      <c r="B345" s="5"/>
      <c r="H345" s="16"/>
    </row>
    <row r="346" spans="2:8">
      <c r="B346" s="5"/>
      <c r="H346" s="16"/>
    </row>
    <row r="347" spans="2:8">
      <c r="B347" s="5"/>
      <c r="H347" s="16"/>
    </row>
    <row r="348" spans="2:8">
      <c r="B348" s="5"/>
      <c r="H348" s="16"/>
    </row>
    <row r="349" spans="2:8">
      <c r="B349" s="5"/>
      <c r="H349" s="16"/>
    </row>
    <row r="350" spans="2:8">
      <c r="B350" s="5"/>
      <c r="H350" s="16"/>
    </row>
    <row r="351" spans="2:8">
      <c r="B351" s="5"/>
      <c r="H351" s="16"/>
    </row>
    <row r="352" spans="2:8">
      <c r="B352" s="5"/>
      <c r="H352" s="16"/>
    </row>
    <row r="353" spans="2:8">
      <c r="B353" s="5"/>
      <c r="H353" s="16"/>
    </row>
    <row r="354" spans="2:8">
      <c r="B354" s="5"/>
      <c r="H354" s="16"/>
    </row>
    <row r="355" spans="2:8">
      <c r="B355" s="5"/>
      <c r="H355" s="16"/>
    </row>
    <row r="356" spans="2:8">
      <c r="B356" s="5"/>
      <c r="H356" s="16"/>
    </row>
    <row r="357" spans="2:8">
      <c r="B357" s="5"/>
      <c r="H357" s="16"/>
    </row>
    <row r="358" spans="2:8">
      <c r="B358" s="5"/>
      <c r="H358" s="16"/>
    </row>
    <row r="359" spans="2:8">
      <c r="B359" s="5"/>
      <c r="H359" s="16"/>
    </row>
    <row r="360" spans="2:8">
      <c r="B360" s="5"/>
      <c r="H360" s="16"/>
    </row>
    <row r="361" spans="2:8">
      <c r="B361" s="5"/>
      <c r="H361" s="16"/>
    </row>
    <row r="362" spans="2:8">
      <c r="B362" s="5"/>
      <c r="H362" s="16"/>
    </row>
    <row r="363" spans="2:8">
      <c r="B363" s="5"/>
      <c r="H363" s="16"/>
    </row>
    <row r="364" spans="2:8">
      <c r="B364" s="5"/>
      <c r="H364" s="16"/>
    </row>
    <row r="365" spans="2:8">
      <c r="B365" s="5"/>
      <c r="H365" s="16"/>
    </row>
    <row r="366" spans="2:8">
      <c r="B366" s="5"/>
      <c r="H366" s="16"/>
    </row>
    <row r="367" spans="2:8">
      <c r="B367" s="5"/>
      <c r="H367" s="16"/>
    </row>
    <row r="368" spans="2:8">
      <c r="B368" s="5"/>
      <c r="H368" s="16"/>
    </row>
    <row r="369" spans="2:8">
      <c r="B369" s="5"/>
      <c r="H369" s="16"/>
    </row>
    <row r="370" spans="2:8">
      <c r="B370" s="5"/>
      <c r="H370" s="16"/>
    </row>
    <row r="371" spans="2:8">
      <c r="B371" s="5"/>
      <c r="H371" s="16"/>
    </row>
    <row r="372" spans="2:8">
      <c r="B372" s="5"/>
      <c r="H372" s="16"/>
    </row>
    <row r="373" spans="2:8">
      <c r="B373" s="5"/>
      <c r="H373" s="16"/>
    </row>
    <row r="374" spans="2:8">
      <c r="B374" s="5"/>
      <c r="H374" s="16"/>
    </row>
    <row r="375" spans="2:8">
      <c r="B375" s="5"/>
      <c r="H375" s="16"/>
    </row>
    <row r="376" spans="2:8">
      <c r="B376" s="5"/>
      <c r="H376" s="16"/>
    </row>
    <row r="377" spans="2:8">
      <c r="B377" s="5"/>
      <c r="H377" s="16"/>
    </row>
    <row r="378" spans="2:8">
      <c r="B378" s="5"/>
      <c r="H378" s="16"/>
    </row>
    <row r="379" spans="2:8">
      <c r="B379" s="5"/>
      <c r="H379" s="16"/>
    </row>
    <row r="380" spans="2:8">
      <c r="B380" s="5"/>
      <c r="H380" s="16"/>
    </row>
    <row r="381" spans="2:8">
      <c r="B381" s="5"/>
      <c r="H381" s="16"/>
    </row>
    <row r="382" spans="2:8">
      <c r="B382" s="5"/>
      <c r="H382" s="16"/>
    </row>
    <row r="383" spans="2:8">
      <c r="B383" s="5"/>
      <c r="H383" s="16"/>
    </row>
    <row r="384" spans="2:8">
      <c r="B384" s="5"/>
      <c r="H384" s="16"/>
    </row>
    <row r="385" spans="2:8">
      <c r="B385" s="5"/>
      <c r="H385" s="16"/>
    </row>
    <row r="386" spans="2:8">
      <c r="B386" s="5"/>
      <c r="H386" s="16"/>
    </row>
    <row r="387" spans="2:8">
      <c r="B387" s="5"/>
      <c r="H387" s="16"/>
    </row>
    <row r="388" spans="2:8">
      <c r="B388" s="5"/>
      <c r="H388" s="16"/>
    </row>
    <row r="389" spans="2:8">
      <c r="B389" s="5"/>
      <c r="H389" s="16"/>
    </row>
    <row r="390" spans="2:8">
      <c r="B390" s="5"/>
      <c r="H390" s="16"/>
    </row>
    <row r="391" spans="2:8">
      <c r="B391" s="5"/>
      <c r="H391" s="16"/>
    </row>
    <row r="392" spans="2:8">
      <c r="B392" s="5"/>
      <c r="H392" s="16"/>
    </row>
    <row r="393" spans="2:8">
      <c r="B393" s="5"/>
      <c r="H393" s="16"/>
    </row>
    <row r="394" spans="2:8">
      <c r="B394" s="5"/>
      <c r="H394" s="16"/>
    </row>
    <row r="395" spans="2:8">
      <c r="B395" s="5"/>
      <c r="H395" s="16"/>
    </row>
    <row r="396" spans="2:8">
      <c r="B396" s="5"/>
      <c r="H396" s="16"/>
    </row>
    <row r="397" spans="2:8">
      <c r="B397" s="5"/>
      <c r="H397" s="16"/>
    </row>
    <row r="398" spans="2:8">
      <c r="B398" s="5"/>
      <c r="H398" s="16"/>
    </row>
    <row r="399" spans="2:8">
      <c r="B399" s="5"/>
      <c r="H399" s="16"/>
    </row>
    <row r="400" spans="2:8">
      <c r="B400" s="5"/>
      <c r="H400" s="16"/>
    </row>
    <row r="401" spans="2:8">
      <c r="B401" s="5"/>
      <c r="H401" s="16"/>
    </row>
    <row r="402" spans="2:8">
      <c r="B402" s="5"/>
      <c r="H402" s="16"/>
    </row>
    <row r="403" spans="2:8">
      <c r="B403" s="5"/>
      <c r="H403" s="16"/>
    </row>
    <row r="404" spans="2:8">
      <c r="B404" s="5"/>
      <c r="H404" s="16"/>
    </row>
    <row r="405" spans="2:8">
      <c r="B405" s="5"/>
      <c r="H405" s="16"/>
    </row>
    <row r="406" spans="2:8">
      <c r="B406" s="5"/>
      <c r="H406" s="16"/>
    </row>
    <row r="407" spans="2:8">
      <c r="B407" s="5"/>
      <c r="H407" s="16"/>
    </row>
    <row r="408" spans="2:8">
      <c r="B408" s="5"/>
      <c r="H408" s="16"/>
    </row>
    <row r="409" spans="2:8">
      <c r="B409" s="5"/>
      <c r="H409" s="16"/>
    </row>
    <row r="410" spans="2:8">
      <c r="B410" s="5"/>
      <c r="H410" s="16"/>
    </row>
    <row r="411" spans="2:8">
      <c r="B411" s="5"/>
      <c r="H411" s="16"/>
    </row>
    <row r="412" spans="2:8">
      <c r="B412" s="5"/>
      <c r="H412" s="16"/>
    </row>
    <row r="413" spans="2:8">
      <c r="B413" s="5"/>
      <c r="H413" s="16"/>
    </row>
    <row r="414" spans="2:8">
      <c r="B414" s="5"/>
      <c r="H414" s="16"/>
    </row>
    <row r="415" spans="2:8">
      <c r="B415" s="5"/>
      <c r="H415" s="16"/>
    </row>
    <row r="416" spans="2:8">
      <c r="B416" s="5"/>
      <c r="H416" s="16"/>
    </row>
    <row r="417" spans="2:8">
      <c r="B417" s="5"/>
      <c r="H417" s="16"/>
    </row>
    <row r="418" spans="2:8">
      <c r="B418" s="5"/>
      <c r="H418" s="16"/>
    </row>
    <row r="419" spans="2:8">
      <c r="B419" s="5"/>
      <c r="H419" s="16"/>
    </row>
    <row r="420" spans="2:8">
      <c r="B420" s="5"/>
      <c r="H420" s="16"/>
    </row>
    <row r="421" spans="2:8">
      <c r="B421" s="5"/>
      <c r="H421" s="16"/>
    </row>
    <row r="422" spans="2:8">
      <c r="B422" s="5"/>
      <c r="H422" s="16"/>
    </row>
    <row r="423" spans="2:8">
      <c r="B423" s="5"/>
      <c r="H423" s="16"/>
    </row>
    <row r="424" spans="2:8">
      <c r="B424" s="5"/>
      <c r="H424" s="16"/>
    </row>
    <row r="425" spans="2:8">
      <c r="B425" s="5"/>
      <c r="H425" s="16"/>
    </row>
    <row r="426" spans="2:8">
      <c r="B426" s="5"/>
      <c r="H426" s="16"/>
    </row>
    <row r="427" spans="2:8">
      <c r="B427" s="5"/>
      <c r="H427" s="16"/>
    </row>
    <row r="428" spans="2:8">
      <c r="B428" s="5"/>
      <c r="H428" s="16"/>
    </row>
    <row r="429" spans="2:8">
      <c r="B429" s="5"/>
      <c r="H429" s="16"/>
    </row>
    <row r="430" spans="2:8">
      <c r="B430" s="5"/>
      <c r="H430" s="16"/>
    </row>
    <row r="431" spans="2:8">
      <c r="B431" s="5"/>
      <c r="H431" s="16"/>
    </row>
    <row r="432" spans="2:8">
      <c r="B432" s="5"/>
      <c r="H432" s="16"/>
    </row>
    <row r="433" spans="2:8">
      <c r="B433" s="5"/>
      <c r="H433" s="16"/>
    </row>
    <row r="434" spans="2:8">
      <c r="B434" s="5"/>
      <c r="H434" s="16"/>
    </row>
    <row r="435" spans="2:8">
      <c r="B435" s="5"/>
      <c r="H435" s="16"/>
    </row>
    <row r="436" spans="2:8">
      <c r="B436" s="5"/>
      <c r="H436" s="16"/>
    </row>
    <row r="437" spans="2:8">
      <c r="B437" s="5"/>
      <c r="H437" s="16"/>
    </row>
    <row r="438" spans="2:8">
      <c r="B438" s="5"/>
      <c r="H438" s="16"/>
    </row>
    <row r="439" spans="2:8">
      <c r="B439" s="5"/>
      <c r="H439" s="16"/>
    </row>
    <row r="440" spans="2:8">
      <c r="B440" s="5"/>
      <c r="H440" s="16"/>
    </row>
    <row r="441" spans="2:8">
      <c r="B441" s="5"/>
      <c r="H441" s="16"/>
    </row>
    <row r="442" spans="2:8">
      <c r="B442" s="5"/>
      <c r="H442" s="16"/>
    </row>
    <row r="443" spans="2:8">
      <c r="B443" s="5"/>
      <c r="H443" s="16"/>
    </row>
    <row r="444" spans="2:8">
      <c r="B444" s="5"/>
      <c r="H444" s="16"/>
    </row>
    <row r="445" spans="2:8">
      <c r="B445" s="5"/>
      <c r="H445" s="16"/>
    </row>
    <row r="446" spans="2:8">
      <c r="B446" s="5"/>
      <c r="H446" s="16"/>
    </row>
    <row r="447" spans="2:8">
      <c r="B447" s="5"/>
      <c r="H447" s="16"/>
    </row>
    <row r="448" spans="2:8">
      <c r="B448" s="5"/>
      <c r="H448" s="16"/>
    </row>
    <row r="449" spans="2:8">
      <c r="B449" s="5"/>
      <c r="H449" s="16"/>
    </row>
    <row r="450" spans="2:8">
      <c r="B450" s="5"/>
      <c r="H450" s="16"/>
    </row>
    <row r="451" spans="2:8">
      <c r="B451" s="5"/>
      <c r="H451" s="16"/>
    </row>
    <row r="452" spans="2:8">
      <c r="B452" s="5"/>
      <c r="H452" s="16"/>
    </row>
    <row r="453" spans="2:8">
      <c r="B453" s="5"/>
      <c r="H453" s="16"/>
    </row>
    <row r="454" spans="2:8">
      <c r="B454" s="5"/>
      <c r="H454" s="16"/>
    </row>
    <row r="455" spans="2:8">
      <c r="B455" s="5"/>
      <c r="H455" s="16"/>
    </row>
    <row r="456" spans="2:8">
      <c r="B456" s="5"/>
      <c r="H456" s="16"/>
    </row>
    <row r="457" spans="2:8">
      <c r="B457" s="5"/>
      <c r="H457" s="16"/>
    </row>
    <row r="458" spans="2:8">
      <c r="B458" s="5"/>
      <c r="H458" s="16"/>
    </row>
    <row r="459" spans="2:8">
      <c r="B459" s="5"/>
      <c r="H459" s="16"/>
    </row>
    <row r="460" spans="2:8">
      <c r="B460" s="5"/>
      <c r="H460" s="16"/>
    </row>
    <row r="461" spans="2:8">
      <c r="B461" s="5"/>
      <c r="H461" s="16"/>
    </row>
    <row r="462" spans="2:8">
      <c r="B462" s="5"/>
      <c r="H462" s="16"/>
    </row>
    <row r="463" spans="2:8">
      <c r="B463" s="5"/>
      <c r="H463" s="16"/>
    </row>
    <row r="464" spans="2:8">
      <c r="B464" s="5"/>
      <c r="H464" s="16"/>
    </row>
    <row r="465" spans="2:8">
      <c r="B465" s="5"/>
      <c r="H465" s="16"/>
    </row>
    <row r="466" spans="2:8">
      <c r="B466" s="5"/>
      <c r="H466" s="16"/>
    </row>
    <row r="467" spans="2:8">
      <c r="B467" s="5"/>
      <c r="H467" s="16"/>
    </row>
    <row r="468" spans="2:8">
      <c r="B468" s="5"/>
      <c r="H468" s="16"/>
    </row>
    <row r="469" spans="2:8">
      <c r="B469" s="5"/>
      <c r="H469" s="16"/>
    </row>
    <row r="470" spans="2:8">
      <c r="B470" s="5"/>
      <c r="H470" s="16"/>
    </row>
    <row r="471" spans="2:8">
      <c r="B471" s="5"/>
      <c r="H471" s="16"/>
    </row>
    <row r="472" spans="2:8">
      <c r="B472" s="5"/>
      <c r="H472" s="16"/>
    </row>
    <row r="473" spans="2:8">
      <c r="B473" s="5"/>
      <c r="H473" s="16"/>
    </row>
    <row r="474" spans="2:8">
      <c r="B474" s="5"/>
      <c r="H474" s="16"/>
    </row>
    <row r="475" spans="2:8">
      <c r="B475" s="5"/>
      <c r="H475" s="16"/>
    </row>
    <row r="476" spans="2:8">
      <c r="B476" s="5"/>
      <c r="H476" s="16"/>
    </row>
    <row r="477" spans="2:8">
      <c r="B477" s="5"/>
      <c r="H477" s="16"/>
    </row>
    <row r="478" spans="2:8">
      <c r="B478" s="5"/>
      <c r="H478" s="16"/>
    </row>
    <row r="479" spans="2:8">
      <c r="B479" s="5"/>
      <c r="H479" s="16"/>
    </row>
    <row r="480" spans="2:8">
      <c r="B480" s="5"/>
      <c r="H480" s="16"/>
    </row>
    <row r="481" spans="2:8">
      <c r="B481" s="5"/>
      <c r="H481" s="16"/>
    </row>
    <row r="482" spans="2:8">
      <c r="B482" s="5"/>
      <c r="H482" s="16"/>
    </row>
    <row r="483" spans="2:8">
      <c r="B483" s="5"/>
      <c r="H483" s="16"/>
    </row>
    <row r="484" spans="2:8">
      <c r="B484" s="5"/>
      <c r="H484" s="16"/>
    </row>
    <row r="485" spans="2:8">
      <c r="B485" s="5"/>
      <c r="H485" s="16"/>
    </row>
    <row r="486" spans="2:8">
      <c r="B486" s="5"/>
      <c r="H486" s="16"/>
    </row>
    <row r="487" spans="2:8">
      <c r="B487" s="5"/>
      <c r="H487" s="16"/>
    </row>
    <row r="488" spans="2:8">
      <c r="B488" s="5"/>
      <c r="H488" s="16"/>
    </row>
    <row r="489" spans="2:8">
      <c r="B489" s="5"/>
      <c r="H489" s="16"/>
    </row>
    <row r="490" spans="2:8">
      <c r="B490" s="5"/>
      <c r="H490" s="16"/>
    </row>
    <row r="491" spans="2:8">
      <c r="B491" s="5"/>
      <c r="H491" s="16"/>
    </row>
    <row r="492" spans="2:8">
      <c r="B492" s="5"/>
      <c r="H492" s="16"/>
    </row>
    <row r="493" spans="2:8">
      <c r="B493" s="5"/>
      <c r="H493" s="16"/>
    </row>
    <row r="494" spans="2:8">
      <c r="B494" s="5"/>
      <c r="H494" s="16"/>
    </row>
    <row r="495" spans="2:8">
      <c r="B495" s="5"/>
      <c r="H495" s="16"/>
    </row>
    <row r="496" spans="2:8">
      <c r="B496" s="5"/>
      <c r="H496" s="16"/>
    </row>
    <row r="497" spans="2:8">
      <c r="B497" s="5"/>
      <c r="H497" s="16"/>
    </row>
    <row r="498" spans="2:8">
      <c r="B498" s="5"/>
      <c r="H498" s="16"/>
    </row>
    <row r="499" spans="2:8">
      <c r="B499" s="5"/>
      <c r="H499" s="16"/>
    </row>
    <row r="500" spans="2:8">
      <c r="B500" s="5"/>
      <c r="H500" s="16"/>
    </row>
    <row r="501" spans="2:8">
      <c r="B501" s="5"/>
      <c r="H501" s="16"/>
    </row>
    <row r="502" spans="2:8">
      <c r="B502" s="5"/>
      <c r="H502" s="16"/>
    </row>
    <row r="503" spans="2:8">
      <c r="B503" s="5"/>
      <c r="H503" s="16"/>
    </row>
    <row r="504" spans="2:8">
      <c r="B504" s="5"/>
      <c r="H504" s="16"/>
    </row>
    <row r="505" spans="2:8">
      <c r="B505" s="5"/>
      <c r="H505" s="16"/>
    </row>
    <row r="506" spans="2:8">
      <c r="B506" s="5"/>
      <c r="H506" s="16"/>
    </row>
    <row r="507" spans="2:8">
      <c r="B507" s="5"/>
      <c r="H507" s="16"/>
    </row>
    <row r="508" spans="2:8">
      <c r="B508" s="5"/>
      <c r="H508" s="16"/>
    </row>
    <row r="509" spans="2:8">
      <c r="B509" s="5"/>
      <c r="H509" s="16"/>
    </row>
    <row r="510" spans="2:8">
      <c r="B510" s="5"/>
      <c r="H510" s="16"/>
    </row>
    <row r="511" spans="2:8">
      <c r="B511" s="5"/>
      <c r="H511" s="16"/>
    </row>
    <row r="512" spans="2:8">
      <c r="B512" s="5"/>
      <c r="H512" s="16"/>
    </row>
    <row r="513" spans="2:8">
      <c r="B513" s="5"/>
      <c r="H513" s="16"/>
    </row>
    <row r="514" spans="2:8">
      <c r="B514" s="5"/>
      <c r="H514" s="16"/>
    </row>
    <row r="515" spans="2:8">
      <c r="B515" s="5"/>
      <c r="H515" s="16"/>
    </row>
    <row r="516" spans="2:8">
      <c r="B516" s="5"/>
      <c r="H516" s="16"/>
    </row>
    <row r="517" spans="2:8">
      <c r="B517" s="5"/>
      <c r="H517" s="16"/>
    </row>
    <row r="518" spans="2:8">
      <c r="B518" s="5"/>
      <c r="H518" s="16"/>
    </row>
    <row r="519" spans="2:8">
      <c r="B519" s="5"/>
      <c r="H519" s="16"/>
    </row>
    <row r="520" spans="2:8">
      <c r="B520" s="5"/>
      <c r="H520" s="16"/>
    </row>
    <row r="521" spans="2:8">
      <c r="B521" s="5"/>
      <c r="H521" s="16"/>
    </row>
    <row r="522" spans="2:8">
      <c r="B522" s="5"/>
      <c r="H522" s="16"/>
    </row>
    <row r="523" spans="2:8">
      <c r="B523" s="5"/>
      <c r="H523" s="16"/>
    </row>
    <row r="524" spans="2:8">
      <c r="B524" s="5"/>
      <c r="H524" s="16"/>
    </row>
    <row r="525" spans="2:8">
      <c r="B525" s="5"/>
      <c r="H525" s="16"/>
    </row>
    <row r="526" spans="2:8">
      <c r="B526" s="5"/>
      <c r="H526" s="16"/>
    </row>
    <row r="527" spans="2:8">
      <c r="B527" s="5"/>
      <c r="H527" s="16"/>
    </row>
    <row r="528" spans="2:8">
      <c r="B528" s="5"/>
      <c r="H528" s="16"/>
    </row>
    <row r="529" spans="2:8">
      <c r="B529" s="5"/>
      <c r="H529" s="16"/>
    </row>
    <row r="530" spans="2:8">
      <c r="B530" s="5"/>
      <c r="H530" s="16"/>
    </row>
    <row r="531" spans="2:8">
      <c r="B531" s="5"/>
      <c r="H531" s="16"/>
    </row>
    <row r="532" spans="2:8">
      <c r="B532" s="5"/>
      <c r="H532" s="16"/>
    </row>
    <row r="533" spans="2:8">
      <c r="B533" s="5"/>
      <c r="H533" s="16"/>
    </row>
    <row r="534" spans="2:8">
      <c r="B534" s="5"/>
      <c r="H534" s="16"/>
    </row>
    <row r="535" spans="2:8">
      <c r="B535" s="5"/>
      <c r="H535" s="16"/>
    </row>
    <row r="536" spans="2:8">
      <c r="B536" s="5"/>
      <c r="H536" s="16"/>
    </row>
    <row r="537" spans="2:8">
      <c r="B537" s="5"/>
      <c r="H537" s="16"/>
    </row>
    <row r="538" spans="2:8">
      <c r="B538" s="5"/>
      <c r="H538" s="16"/>
    </row>
    <row r="539" spans="2:8">
      <c r="B539" s="5"/>
      <c r="H539" s="16"/>
    </row>
    <row r="540" spans="2:8">
      <c r="B540" s="5"/>
      <c r="H540" s="16"/>
    </row>
    <row r="541" spans="2:8">
      <c r="B541" s="5"/>
      <c r="H541" s="16"/>
    </row>
    <row r="542" spans="2:8">
      <c r="B542" s="5"/>
      <c r="H542" s="16"/>
    </row>
    <row r="543" spans="2:8">
      <c r="B543" s="5"/>
      <c r="H543" s="16"/>
    </row>
    <row r="544" spans="2:8">
      <c r="B544" s="5"/>
      <c r="H544" s="16"/>
    </row>
    <row r="545" spans="2:8">
      <c r="B545" s="5"/>
      <c r="H545" s="16"/>
    </row>
    <row r="546" spans="2:8">
      <c r="B546" s="5"/>
      <c r="H546" s="16"/>
    </row>
    <row r="547" spans="2:8">
      <c r="B547" s="5"/>
      <c r="H547" s="16"/>
    </row>
    <row r="548" spans="2:8">
      <c r="B548" s="5"/>
      <c r="H548" s="16"/>
    </row>
    <row r="549" spans="2:8">
      <c r="B549" s="5"/>
      <c r="H549" s="16"/>
    </row>
    <row r="550" spans="2:8">
      <c r="B550" s="5"/>
      <c r="H550" s="16"/>
    </row>
    <row r="551" spans="2:8">
      <c r="B551" s="5"/>
      <c r="H551" s="16"/>
    </row>
    <row r="552" spans="2:8">
      <c r="B552" s="5"/>
      <c r="H552" s="16"/>
    </row>
    <row r="553" spans="2:8">
      <c r="B553" s="5"/>
      <c r="H553" s="16"/>
    </row>
    <row r="554" spans="2:8">
      <c r="B554" s="5"/>
      <c r="H554" s="16"/>
    </row>
    <row r="555" spans="2:8">
      <c r="B555" s="5"/>
      <c r="H555" s="16"/>
    </row>
    <row r="556" spans="2:8">
      <c r="B556" s="5"/>
      <c r="H556" s="16"/>
    </row>
    <row r="557" spans="2:8">
      <c r="B557" s="5"/>
      <c r="H557" s="16"/>
    </row>
    <row r="558" spans="2:8">
      <c r="B558" s="5"/>
      <c r="H558" s="16"/>
    </row>
    <row r="559" spans="2:8">
      <c r="B559" s="5"/>
      <c r="H559" s="16"/>
    </row>
    <row r="560" spans="2:8">
      <c r="B560" s="5"/>
      <c r="H560" s="16"/>
    </row>
    <row r="561" spans="2:8">
      <c r="B561" s="5"/>
      <c r="H561" s="16"/>
    </row>
    <row r="562" spans="2:8">
      <c r="B562" s="5"/>
      <c r="H562" s="16"/>
    </row>
    <row r="563" spans="2:8">
      <c r="B563" s="5"/>
      <c r="H563" s="16"/>
    </row>
    <row r="564" spans="2:8">
      <c r="B564" s="5"/>
      <c r="H564" s="16"/>
    </row>
    <row r="565" spans="2:8">
      <c r="B565" s="5"/>
      <c r="H565" s="16"/>
    </row>
    <row r="566" spans="2:8">
      <c r="B566" s="5"/>
      <c r="H566" s="16"/>
    </row>
    <row r="567" spans="2:8">
      <c r="B567" s="5"/>
      <c r="H567" s="16"/>
    </row>
    <row r="568" spans="2:8">
      <c r="B568" s="5"/>
      <c r="H568" s="16"/>
    </row>
    <row r="569" spans="2:8">
      <c r="B569" s="5"/>
      <c r="H569" s="16"/>
    </row>
    <row r="570" spans="2:8">
      <c r="B570" s="5"/>
      <c r="H570" s="16"/>
    </row>
    <row r="571" spans="2:8">
      <c r="B571" s="5"/>
      <c r="H571" s="16"/>
    </row>
    <row r="572" spans="2:8">
      <c r="B572" s="5"/>
      <c r="H572" s="16"/>
    </row>
    <row r="573" spans="2:8">
      <c r="B573" s="5"/>
      <c r="H573" s="16"/>
    </row>
    <row r="574" spans="2:8">
      <c r="B574" s="5"/>
      <c r="H574" s="16"/>
    </row>
    <row r="575" spans="2:8">
      <c r="B575" s="5"/>
      <c r="H575" s="16"/>
    </row>
    <row r="576" spans="2:8">
      <c r="B576" s="5"/>
      <c r="H576" s="16"/>
    </row>
    <row r="577" spans="2:8">
      <c r="B577" s="5"/>
      <c r="H577" s="16"/>
    </row>
    <row r="578" spans="2:8">
      <c r="B578" s="5"/>
      <c r="H578" s="16"/>
    </row>
    <row r="579" spans="2:8">
      <c r="B579" s="5"/>
      <c r="H579" s="16"/>
    </row>
    <row r="580" spans="2:8">
      <c r="B580" s="5"/>
      <c r="H580" s="16"/>
    </row>
    <row r="581" spans="2:8">
      <c r="B581" s="5"/>
      <c r="H581" s="16"/>
    </row>
    <row r="582" spans="2:8">
      <c r="B582" s="5"/>
      <c r="H582" s="16"/>
    </row>
    <row r="583" spans="2:8">
      <c r="B583" s="5"/>
      <c r="H583" s="16"/>
    </row>
    <row r="584" spans="2:8">
      <c r="B584" s="5"/>
      <c r="H584" s="16"/>
    </row>
    <row r="585" spans="2:8">
      <c r="B585" s="5"/>
      <c r="H585" s="16"/>
    </row>
    <row r="586" spans="2:8">
      <c r="B586" s="5"/>
      <c r="H586" s="16"/>
    </row>
    <row r="587" spans="2:8">
      <c r="B587" s="5"/>
      <c r="H587" s="16"/>
    </row>
    <row r="588" spans="2:8">
      <c r="B588" s="5"/>
      <c r="H588" s="16"/>
    </row>
    <row r="589" spans="2:8">
      <c r="B589" s="5"/>
      <c r="H589" s="16"/>
    </row>
    <row r="590" spans="2:8">
      <c r="B590" s="5"/>
      <c r="H590" s="16"/>
    </row>
    <row r="591" spans="2:8">
      <c r="B591" s="5"/>
      <c r="H591" s="16"/>
    </row>
    <row r="592" spans="2:8">
      <c r="B592" s="5"/>
      <c r="H592" s="16"/>
    </row>
    <row r="593" spans="2:8">
      <c r="B593" s="5"/>
      <c r="H593" s="16"/>
    </row>
    <row r="594" spans="2:8">
      <c r="B594" s="5"/>
      <c r="H594" s="16"/>
    </row>
    <row r="595" spans="2:8">
      <c r="B595" s="5"/>
      <c r="H595" s="16"/>
    </row>
    <row r="596" spans="2:8">
      <c r="B596" s="5"/>
      <c r="H596" s="16"/>
    </row>
    <row r="597" spans="2:8">
      <c r="B597" s="5"/>
      <c r="H597" s="16"/>
    </row>
    <row r="598" spans="2:8">
      <c r="B598" s="5"/>
      <c r="H598" s="16"/>
    </row>
    <row r="599" spans="2:8">
      <c r="B599" s="5"/>
      <c r="H599" s="16"/>
    </row>
    <row r="600" spans="2:8">
      <c r="B600" s="5"/>
      <c r="H600" s="16"/>
    </row>
    <row r="601" spans="2:8">
      <c r="B601" s="5"/>
      <c r="H601" s="16"/>
    </row>
    <row r="602" spans="2:8">
      <c r="B602" s="5"/>
      <c r="H602" s="16"/>
    </row>
    <row r="603" spans="2:8">
      <c r="B603" s="5"/>
      <c r="H603" s="16"/>
    </row>
    <row r="604" spans="2:8">
      <c r="B604" s="5"/>
      <c r="H604" s="16"/>
    </row>
    <row r="605" spans="2:8">
      <c r="B605" s="5"/>
      <c r="H605" s="16"/>
    </row>
    <row r="606" spans="2:8">
      <c r="B606" s="5"/>
      <c r="H606" s="16"/>
    </row>
    <row r="607" spans="2:8">
      <c r="B607" s="5"/>
      <c r="H607" s="16"/>
    </row>
    <row r="608" spans="2:8">
      <c r="B608" s="5"/>
      <c r="H608" s="16"/>
    </row>
    <row r="609" spans="2:8">
      <c r="B609" s="5"/>
      <c r="H609" s="16"/>
    </row>
    <row r="610" spans="2:8">
      <c r="B610" s="5"/>
      <c r="H610" s="16"/>
    </row>
    <row r="611" spans="2:8">
      <c r="B611" s="5"/>
      <c r="H611" s="16"/>
    </row>
    <row r="612" spans="2:8">
      <c r="B612" s="5"/>
      <c r="H612" s="16"/>
    </row>
    <row r="613" spans="2:8">
      <c r="B613" s="5"/>
      <c r="H613" s="16"/>
    </row>
    <row r="614" spans="2:8">
      <c r="B614" s="5"/>
      <c r="H614" s="16"/>
    </row>
    <row r="615" spans="2:8">
      <c r="B615" s="5"/>
      <c r="H615" s="16"/>
    </row>
    <row r="616" spans="2:8">
      <c r="B616" s="5"/>
      <c r="H616" s="16"/>
    </row>
    <row r="617" spans="2:8">
      <c r="B617" s="5"/>
      <c r="H617" s="16"/>
    </row>
    <row r="618" spans="2:8">
      <c r="B618" s="5"/>
      <c r="H618" s="16"/>
    </row>
    <row r="619" spans="2:8">
      <c r="B619" s="5"/>
      <c r="H619" s="16"/>
    </row>
    <row r="620" spans="2:8">
      <c r="B620" s="5"/>
      <c r="H620" s="16"/>
    </row>
    <row r="621" spans="2:8">
      <c r="B621" s="5"/>
      <c r="H621" s="16"/>
    </row>
    <row r="622" spans="2:8">
      <c r="B622" s="5"/>
      <c r="H622" s="16"/>
    </row>
    <row r="623" spans="2:8">
      <c r="B623" s="5"/>
      <c r="H623" s="16"/>
    </row>
    <row r="624" spans="2:8">
      <c r="B624" s="5"/>
      <c r="H624" s="16"/>
    </row>
    <row r="625" spans="2:8">
      <c r="B625" s="5"/>
      <c r="H625" s="16"/>
    </row>
    <row r="626" spans="2:8">
      <c r="B626" s="5"/>
      <c r="H626" s="16"/>
    </row>
    <row r="627" spans="2:8">
      <c r="B627" s="5"/>
      <c r="H627" s="16"/>
    </row>
    <row r="628" spans="2:8">
      <c r="B628" s="5"/>
      <c r="H628" s="16"/>
    </row>
    <row r="629" spans="2:8">
      <c r="B629" s="5"/>
      <c r="H629" s="16"/>
    </row>
    <row r="630" spans="2:8">
      <c r="B630" s="5"/>
      <c r="H630" s="16"/>
    </row>
    <row r="631" spans="2:8">
      <c r="B631" s="5"/>
      <c r="H631" s="16"/>
    </row>
    <row r="632" spans="2:8">
      <c r="B632" s="5"/>
      <c r="H632" s="16"/>
    </row>
    <row r="633" spans="2:8">
      <c r="B633" s="5"/>
      <c r="H633" s="16"/>
    </row>
    <row r="634" spans="2:8">
      <c r="B634" s="5"/>
      <c r="H634" s="16"/>
    </row>
    <row r="635" spans="2:8">
      <c r="B635" s="5"/>
      <c r="H635" s="16"/>
    </row>
    <row r="636" spans="2:8">
      <c r="B636" s="5"/>
      <c r="H636" s="16"/>
    </row>
    <row r="637" spans="2:8">
      <c r="B637" s="5"/>
      <c r="H637" s="16"/>
    </row>
    <row r="638" spans="2:8">
      <c r="B638" s="5"/>
      <c r="H638" s="16"/>
    </row>
    <row r="639" spans="2:8">
      <c r="B639" s="5"/>
      <c r="H639" s="16"/>
    </row>
    <row r="640" spans="2:8">
      <c r="B640" s="5"/>
      <c r="H640" s="16"/>
    </row>
    <row r="641" spans="2:8">
      <c r="B641" s="5"/>
      <c r="H641" s="16"/>
    </row>
    <row r="642" spans="2:8">
      <c r="B642" s="5"/>
      <c r="H642" s="16"/>
    </row>
    <row r="643" spans="2:8">
      <c r="B643" s="5"/>
      <c r="H643" s="16"/>
    </row>
    <row r="644" spans="2:8">
      <c r="B644" s="5"/>
      <c r="H644" s="16"/>
    </row>
    <row r="645" spans="2:8">
      <c r="B645" s="5"/>
      <c r="H645" s="16"/>
    </row>
    <row r="646" spans="2:8">
      <c r="B646" s="5"/>
      <c r="H646" s="16"/>
    </row>
    <row r="647" spans="2:8">
      <c r="B647" s="5"/>
      <c r="H647" s="16"/>
    </row>
    <row r="648" spans="2:8">
      <c r="B648" s="5"/>
      <c r="H648" s="16"/>
    </row>
    <row r="649" spans="2:8">
      <c r="B649" s="5"/>
      <c r="H649" s="16"/>
    </row>
    <row r="650" spans="2:8">
      <c r="B650" s="5"/>
      <c r="H650" s="16"/>
    </row>
    <row r="651" spans="2:8">
      <c r="B651" s="5"/>
      <c r="H651" s="16"/>
    </row>
    <row r="652" spans="2:8">
      <c r="B652" s="5"/>
      <c r="H652" s="16"/>
    </row>
    <row r="653" spans="2:8">
      <c r="B653" s="5"/>
      <c r="H653" s="16"/>
    </row>
    <row r="654" spans="2:8">
      <c r="B654" s="5"/>
      <c r="H654" s="16"/>
    </row>
    <row r="655" spans="2:8">
      <c r="B655" s="5"/>
      <c r="H655" s="16"/>
    </row>
    <row r="656" spans="2:8">
      <c r="B656" s="5"/>
      <c r="H656" s="16"/>
    </row>
    <row r="657" spans="2:8">
      <c r="B657" s="5"/>
      <c r="H657" s="16"/>
    </row>
    <row r="658" spans="2:8">
      <c r="B658" s="5"/>
      <c r="H658" s="16"/>
    </row>
    <row r="659" spans="2:8">
      <c r="B659" s="5"/>
      <c r="H659" s="16"/>
    </row>
    <row r="660" spans="2:8">
      <c r="B660" s="5"/>
      <c r="H660" s="16"/>
    </row>
    <row r="661" spans="2:8">
      <c r="B661" s="5"/>
      <c r="H661" s="16"/>
    </row>
    <row r="662" spans="2:8">
      <c r="B662" s="5"/>
      <c r="H662" s="16"/>
    </row>
    <row r="663" spans="2:8">
      <c r="B663" s="5"/>
      <c r="H663" s="16"/>
    </row>
    <row r="664" spans="2:8">
      <c r="B664" s="5"/>
      <c r="H664" s="16"/>
    </row>
    <row r="665" spans="2:8">
      <c r="B665" s="5"/>
      <c r="H665" s="16"/>
    </row>
    <row r="666" spans="2:8">
      <c r="B666" s="5"/>
      <c r="H666" s="16"/>
    </row>
    <row r="667" spans="2:8">
      <c r="B667" s="5"/>
      <c r="H667" s="16"/>
    </row>
    <row r="668" spans="2:8">
      <c r="B668" s="5"/>
      <c r="H668" s="16"/>
    </row>
    <row r="669" spans="2:8">
      <c r="B669" s="5"/>
      <c r="H669" s="16"/>
    </row>
    <row r="670" spans="2:8">
      <c r="B670" s="5"/>
      <c r="H670" s="16"/>
    </row>
    <row r="671" spans="2:8">
      <c r="B671" s="5"/>
      <c r="H671" s="16"/>
    </row>
    <row r="672" spans="2:8">
      <c r="B672" s="5"/>
      <c r="H672" s="16"/>
    </row>
    <row r="673" spans="2:8">
      <c r="B673" s="5"/>
      <c r="H673" s="16"/>
    </row>
    <row r="674" spans="2:8">
      <c r="B674" s="5"/>
      <c r="H674" s="16"/>
    </row>
    <row r="675" spans="2:8">
      <c r="B675" s="5"/>
      <c r="H675" s="16"/>
    </row>
    <row r="676" spans="2:8">
      <c r="B676" s="5"/>
      <c r="H676" s="16"/>
    </row>
    <row r="677" spans="2:8">
      <c r="B677" s="5"/>
      <c r="H677" s="16"/>
    </row>
    <row r="678" spans="2:8">
      <c r="B678" s="5"/>
      <c r="H678" s="16"/>
    </row>
    <row r="679" spans="2:8">
      <c r="B679" s="5"/>
      <c r="H679" s="16"/>
    </row>
    <row r="680" spans="2:8">
      <c r="B680" s="5"/>
      <c r="H680" s="16"/>
    </row>
    <row r="681" spans="2:8">
      <c r="B681" s="5"/>
      <c r="H681" s="16"/>
    </row>
    <row r="682" spans="2:8">
      <c r="B682" s="5"/>
      <c r="H682" s="16"/>
    </row>
    <row r="683" spans="2:8">
      <c r="B683" s="5"/>
      <c r="H683" s="16"/>
    </row>
    <row r="684" spans="2:8">
      <c r="B684" s="5"/>
      <c r="H684" s="16"/>
    </row>
    <row r="685" spans="2:8">
      <c r="B685" s="5"/>
      <c r="H685" s="16"/>
    </row>
    <row r="686" spans="2:8">
      <c r="B686" s="5"/>
      <c r="H686" s="16"/>
    </row>
    <row r="687" spans="2:8">
      <c r="B687" s="5"/>
      <c r="H687" s="16"/>
    </row>
    <row r="688" spans="2:8">
      <c r="B688" s="5"/>
      <c r="H688" s="16"/>
    </row>
    <row r="689" spans="2:8">
      <c r="B689" s="5"/>
      <c r="H689" s="16"/>
    </row>
    <row r="690" spans="2:8">
      <c r="B690" s="5"/>
      <c r="H690" s="16"/>
    </row>
    <row r="691" spans="2:8">
      <c r="B691" s="5"/>
      <c r="H691" s="16"/>
    </row>
    <row r="692" spans="2:8">
      <c r="B692" s="5"/>
      <c r="H692" s="16"/>
    </row>
    <row r="693" spans="2:8">
      <c r="B693" s="5"/>
      <c r="H693" s="16"/>
    </row>
    <row r="694" spans="2:8">
      <c r="B694" s="5"/>
      <c r="H694" s="16"/>
    </row>
    <row r="695" spans="2:8">
      <c r="B695" s="5"/>
      <c r="H695" s="16"/>
    </row>
    <row r="696" spans="2:8">
      <c r="B696" s="5"/>
      <c r="H696" s="16"/>
    </row>
    <row r="697" spans="2:8">
      <c r="B697" s="5"/>
      <c r="H697" s="16"/>
    </row>
    <row r="698" spans="2:8">
      <c r="B698" s="5"/>
      <c r="H698" s="16"/>
    </row>
    <row r="699" spans="2:8">
      <c r="B699" s="5"/>
      <c r="H699" s="16"/>
    </row>
    <row r="700" spans="2:8">
      <c r="B700" s="5"/>
      <c r="H700" s="16"/>
    </row>
    <row r="701" spans="2:8">
      <c r="B701" s="5"/>
      <c r="H701" s="16"/>
    </row>
    <row r="702" spans="2:8">
      <c r="B702" s="5"/>
      <c r="H702" s="16"/>
    </row>
    <row r="703" spans="2:8">
      <c r="B703" s="5"/>
      <c r="H703" s="16"/>
    </row>
    <row r="704" spans="2:8">
      <c r="B704" s="5"/>
      <c r="H704" s="16"/>
    </row>
    <row r="705" spans="2:8">
      <c r="B705" s="5"/>
      <c r="H705" s="16"/>
    </row>
    <row r="706" spans="2:8">
      <c r="B706" s="5"/>
      <c r="H706" s="16"/>
    </row>
    <row r="707" spans="2:8">
      <c r="B707" s="5"/>
      <c r="H707" s="16"/>
    </row>
    <row r="708" spans="2:8">
      <c r="B708" s="5"/>
      <c r="H708" s="16"/>
    </row>
    <row r="709" spans="2:8">
      <c r="B709" s="5"/>
      <c r="H709" s="16"/>
    </row>
    <row r="710" spans="2:8">
      <c r="B710" s="5"/>
      <c r="H710" s="16"/>
    </row>
    <row r="711" spans="2:8">
      <c r="B711" s="5"/>
      <c r="H711" s="16"/>
    </row>
    <row r="712" spans="2:8">
      <c r="B712" s="5"/>
      <c r="H712" s="16"/>
    </row>
    <row r="713" spans="2:8">
      <c r="B713" s="5"/>
      <c r="H713" s="16"/>
    </row>
    <row r="714" spans="2:8">
      <c r="B714" s="5"/>
      <c r="H714" s="16"/>
    </row>
    <row r="715" spans="2:8">
      <c r="B715" s="5"/>
      <c r="H715" s="16"/>
    </row>
    <row r="716" spans="2:8">
      <c r="B716" s="5"/>
      <c r="H716" s="16"/>
    </row>
    <row r="717" spans="2:8">
      <c r="B717" s="5"/>
      <c r="H717" s="16"/>
    </row>
    <row r="718" spans="2:8">
      <c r="B718" s="5"/>
      <c r="H718" s="16"/>
    </row>
    <row r="719" spans="2:8">
      <c r="B719" s="5"/>
      <c r="H719" s="16"/>
    </row>
    <row r="720" spans="2:8">
      <c r="B720" s="5"/>
      <c r="H720" s="16"/>
    </row>
    <row r="721" spans="2:8">
      <c r="B721" s="5"/>
      <c r="H721" s="16"/>
    </row>
    <row r="722" spans="2:8">
      <c r="B722" s="5"/>
      <c r="H722" s="16"/>
    </row>
    <row r="723" spans="2:8">
      <c r="B723" s="5"/>
      <c r="H723" s="16"/>
    </row>
    <row r="724" spans="2:8">
      <c r="B724" s="5"/>
      <c r="H724" s="16"/>
    </row>
    <row r="725" spans="2:8">
      <c r="B725" s="5"/>
      <c r="H725" s="16"/>
    </row>
    <row r="726" spans="2:8">
      <c r="B726" s="5"/>
      <c r="H726" s="16"/>
    </row>
    <row r="727" spans="2:8">
      <c r="B727" s="5"/>
      <c r="H727" s="16"/>
    </row>
    <row r="728" spans="2:8">
      <c r="B728" s="5"/>
      <c r="H728" s="16"/>
    </row>
    <row r="729" spans="2:8">
      <c r="B729" s="5"/>
      <c r="H729" s="16"/>
    </row>
    <row r="730" spans="2:8">
      <c r="B730" s="5"/>
      <c r="H730" s="16"/>
    </row>
    <row r="731" spans="2:8">
      <c r="B731" s="5"/>
      <c r="H731" s="16"/>
    </row>
    <row r="732" spans="2:8">
      <c r="B732" s="5"/>
      <c r="H732" s="16"/>
    </row>
    <row r="733" spans="2:8">
      <c r="B733" s="5"/>
      <c r="H733" s="16"/>
    </row>
    <row r="734" spans="2:8">
      <c r="B734" s="5"/>
      <c r="H734" s="16"/>
    </row>
    <row r="735" spans="2:8">
      <c r="B735" s="5"/>
      <c r="H735" s="16"/>
    </row>
    <row r="736" spans="2:8">
      <c r="B736" s="5"/>
      <c r="H736" s="16"/>
    </row>
    <row r="737" spans="2:8">
      <c r="B737" s="5"/>
      <c r="H737" s="16"/>
    </row>
    <row r="738" spans="2:8">
      <c r="B738" s="5"/>
      <c r="H738" s="16"/>
    </row>
    <row r="739" spans="2:8">
      <c r="B739" s="5"/>
      <c r="H739" s="16"/>
    </row>
    <row r="740" spans="2:8">
      <c r="B740" s="5"/>
      <c r="H740" s="16"/>
    </row>
    <row r="741" spans="2:8">
      <c r="B741" s="5"/>
      <c r="H741" s="16"/>
    </row>
    <row r="742" spans="2:8">
      <c r="B742" s="5"/>
      <c r="H742" s="16"/>
    </row>
    <row r="743" spans="2:8">
      <c r="B743" s="5"/>
      <c r="H743" s="16"/>
    </row>
    <row r="744" spans="2:8">
      <c r="B744" s="5"/>
      <c r="H744" s="16"/>
    </row>
    <row r="745" spans="2:8">
      <c r="B745" s="5"/>
      <c r="H745" s="16"/>
    </row>
    <row r="746" spans="2:8">
      <c r="B746" s="5"/>
      <c r="H746" s="16"/>
    </row>
    <row r="747" spans="2:8">
      <c r="B747" s="5"/>
      <c r="H747" s="16"/>
    </row>
    <row r="748" spans="2:8">
      <c r="B748" s="5"/>
      <c r="H748" s="16"/>
    </row>
    <row r="749" spans="2:8">
      <c r="B749" s="5"/>
      <c r="H749" s="16"/>
    </row>
    <row r="750" spans="2:8">
      <c r="B750" s="5"/>
      <c r="H750" s="16"/>
    </row>
    <row r="751" spans="2:8">
      <c r="B751" s="5"/>
      <c r="H751" s="16"/>
    </row>
    <row r="752" spans="2:8">
      <c r="B752" s="5"/>
      <c r="H752" s="16"/>
    </row>
    <row r="753" spans="2:8">
      <c r="B753" s="5"/>
      <c r="H753" s="16"/>
    </row>
    <row r="754" spans="2:8">
      <c r="B754" s="5"/>
      <c r="H754" s="16"/>
    </row>
    <row r="755" spans="2:8">
      <c r="B755" s="5"/>
      <c r="H755" s="16"/>
    </row>
    <row r="756" spans="2:8">
      <c r="B756" s="5"/>
      <c r="H756" s="16"/>
    </row>
    <row r="757" spans="2:8">
      <c r="B757" s="5"/>
      <c r="H757" s="16"/>
    </row>
    <row r="758" spans="2:8">
      <c r="B758" s="5"/>
      <c r="H758" s="16"/>
    </row>
    <row r="759" spans="2:8">
      <c r="B759" s="5"/>
      <c r="H759" s="16"/>
    </row>
    <row r="760" spans="2:8">
      <c r="B760" s="5"/>
      <c r="H760" s="16"/>
    </row>
    <row r="761" spans="2:8">
      <c r="B761" s="5"/>
      <c r="H761" s="16"/>
    </row>
    <row r="762" spans="2:8">
      <c r="B762" s="5"/>
      <c r="H762" s="16"/>
    </row>
    <row r="763" spans="2:8">
      <c r="B763" s="5"/>
      <c r="H763" s="16"/>
    </row>
    <row r="764" spans="2:8">
      <c r="B764" s="5"/>
      <c r="H764" s="16"/>
    </row>
    <row r="765" spans="2:8">
      <c r="B765" s="5"/>
      <c r="H765" s="16"/>
    </row>
    <row r="766" spans="2:8">
      <c r="B766" s="5"/>
      <c r="H766" s="16"/>
    </row>
    <row r="767" spans="2:8">
      <c r="B767" s="5"/>
      <c r="H767" s="16"/>
    </row>
    <row r="768" spans="2:8">
      <c r="B768" s="5"/>
      <c r="H768" s="16"/>
    </row>
    <row r="769" spans="2:8">
      <c r="B769" s="5"/>
      <c r="H769" s="16"/>
    </row>
    <row r="770" spans="2:8">
      <c r="B770" s="5"/>
      <c r="H770" s="16"/>
    </row>
    <row r="771" spans="2:8">
      <c r="B771" s="5"/>
      <c r="H771" s="16"/>
    </row>
    <row r="772" spans="2:8">
      <c r="B772" s="5"/>
      <c r="H772" s="16"/>
    </row>
    <row r="773" spans="2:8">
      <c r="B773" s="5"/>
      <c r="H773" s="16"/>
    </row>
    <row r="774" spans="2:8">
      <c r="B774" s="5"/>
      <c r="H774" s="16"/>
    </row>
    <row r="775" spans="2:8">
      <c r="B775" s="5"/>
      <c r="H775" s="16"/>
    </row>
    <row r="776" spans="2:8">
      <c r="B776" s="5"/>
      <c r="H776" s="16"/>
    </row>
    <row r="777" spans="2:8">
      <c r="B777" s="5"/>
      <c r="H777" s="16"/>
    </row>
    <row r="778" spans="2:8">
      <c r="B778" s="5"/>
      <c r="H778" s="16"/>
    </row>
    <row r="779" spans="2:8">
      <c r="B779" s="5"/>
      <c r="H779" s="16"/>
    </row>
    <row r="780" spans="2:8">
      <c r="B780" s="5"/>
      <c r="H780" s="16"/>
    </row>
    <row r="781" spans="2:8">
      <c r="B781" s="5"/>
      <c r="H781" s="16"/>
    </row>
    <row r="782" spans="2:8">
      <c r="B782" s="5"/>
      <c r="H782" s="16"/>
    </row>
    <row r="783" spans="2:8">
      <c r="B783" s="5"/>
      <c r="H783" s="16"/>
    </row>
    <row r="784" spans="2:8">
      <c r="B784" s="5"/>
      <c r="H784" s="16"/>
    </row>
    <row r="785" spans="2:8">
      <c r="B785" s="5"/>
      <c r="H785" s="16"/>
    </row>
    <row r="786" spans="2:8">
      <c r="B786" s="5"/>
      <c r="H786" s="16"/>
    </row>
    <row r="787" spans="2:8">
      <c r="B787" s="5"/>
      <c r="H787" s="16"/>
    </row>
    <row r="788" spans="2:8">
      <c r="B788" s="5"/>
      <c r="H788" s="16"/>
    </row>
    <row r="789" spans="2:8">
      <c r="B789" s="5"/>
      <c r="H789" s="16"/>
    </row>
    <row r="790" spans="2:8">
      <c r="B790" s="5"/>
      <c r="H790" s="16"/>
    </row>
    <row r="791" spans="2:8">
      <c r="B791" s="5"/>
      <c r="H791" s="16"/>
    </row>
    <row r="792" spans="2:8">
      <c r="B792" s="5"/>
      <c r="H792" s="16"/>
    </row>
    <row r="793" spans="2:8">
      <c r="B793" s="5"/>
      <c r="H793" s="16"/>
    </row>
    <row r="794" spans="2:8">
      <c r="B794" s="5"/>
      <c r="H794" s="16"/>
    </row>
    <row r="795" spans="2:8">
      <c r="B795" s="5"/>
      <c r="H795" s="16"/>
    </row>
    <row r="796" spans="2:8">
      <c r="B796" s="5"/>
      <c r="H796" s="16"/>
    </row>
    <row r="797" spans="2:8">
      <c r="B797" s="5"/>
      <c r="H797" s="16"/>
    </row>
    <row r="798" spans="2:8">
      <c r="B798" s="5"/>
      <c r="H798" s="16"/>
    </row>
    <row r="799" spans="2:8">
      <c r="B799" s="5"/>
      <c r="H799" s="16"/>
    </row>
    <row r="800" spans="2:8">
      <c r="B800" s="5"/>
      <c r="H800" s="16"/>
    </row>
    <row r="801" spans="2:8">
      <c r="B801" s="5"/>
      <c r="H801" s="16"/>
    </row>
    <row r="802" spans="2:8">
      <c r="B802" s="5"/>
      <c r="H802" s="16"/>
    </row>
    <row r="803" spans="2:8">
      <c r="B803" s="5"/>
      <c r="H803" s="16"/>
    </row>
    <row r="804" spans="2:8">
      <c r="B804" s="5"/>
      <c r="H804" s="16"/>
    </row>
    <row r="805" spans="2:8">
      <c r="B805" s="5"/>
      <c r="H805" s="16"/>
    </row>
    <row r="806" spans="2:8">
      <c r="B806" s="5"/>
      <c r="H806" s="16"/>
    </row>
    <row r="807" spans="2:8">
      <c r="B807" s="5"/>
      <c r="H807" s="16"/>
    </row>
    <row r="808" spans="2:8">
      <c r="B808" s="5"/>
      <c r="H808" s="16"/>
    </row>
    <row r="809" spans="2:8">
      <c r="B809" s="5"/>
      <c r="H809" s="16"/>
    </row>
    <row r="810" spans="2:8">
      <c r="B810" s="5"/>
      <c r="H810" s="16"/>
    </row>
    <row r="811" spans="2:8">
      <c r="B811" s="5"/>
      <c r="H811" s="16"/>
    </row>
    <row r="812" spans="2:8">
      <c r="B812" s="5"/>
      <c r="H812" s="16"/>
    </row>
    <row r="813" spans="2:8">
      <c r="B813" s="5"/>
      <c r="H813" s="16"/>
    </row>
    <row r="814" spans="2:8">
      <c r="B814" s="5"/>
      <c r="H814" s="16"/>
    </row>
    <row r="815" spans="2:8">
      <c r="B815" s="5"/>
      <c r="H815" s="16"/>
    </row>
    <row r="816" spans="2:8">
      <c r="B816" s="5"/>
      <c r="H816" s="16"/>
    </row>
    <row r="817" spans="2:8">
      <c r="B817" s="5"/>
      <c r="H817" s="16"/>
    </row>
    <row r="818" spans="2:8">
      <c r="B818" s="5"/>
      <c r="H818" s="16"/>
    </row>
    <row r="819" spans="2:8">
      <c r="B819" s="5"/>
      <c r="H819" s="16"/>
    </row>
    <row r="820" spans="2:8">
      <c r="B820" s="5"/>
      <c r="H820" s="16"/>
    </row>
    <row r="821" spans="2:8">
      <c r="B821" s="5"/>
      <c r="H821" s="16"/>
    </row>
    <row r="822" spans="2:8">
      <c r="B822" s="5"/>
      <c r="H822" s="16"/>
    </row>
    <row r="823" spans="2:8">
      <c r="B823" s="5"/>
      <c r="H823" s="16"/>
    </row>
    <row r="824" spans="2:8">
      <c r="B824" s="5"/>
      <c r="H824" s="16"/>
    </row>
    <row r="825" spans="2:8">
      <c r="B825" s="5"/>
      <c r="H825" s="16"/>
    </row>
    <row r="826" spans="2:8">
      <c r="B826" s="5"/>
      <c r="H826" s="16"/>
    </row>
    <row r="827" spans="2:8">
      <c r="B827" s="5"/>
      <c r="H827" s="16"/>
    </row>
    <row r="828" spans="2:8">
      <c r="B828" s="5"/>
      <c r="H828" s="16"/>
    </row>
    <row r="829" spans="2:8">
      <c r="B829" s="5"/>
      <c r="H829" s="16"/>
    </row>
    <row r="830" spans="2:8">
      <c r="B830" s="5"/>
      <c r="H830" s="16"/>
    </row>
    <row r="831" spans="2:8">
      <c r="B831" s="5"/>
      <c r="H831" s="16"/>
    </row>
    <row r="832" spans="2:8">
      <c r="B832" s="5"/>
      <c r="H832" s="16"/>
    </row>
    <row r="833" spans="2:8">
      <c r="B833" s="5"/>
      <c r="H833" s="16"/>
    </row>
    <row r="834" spans="2:8">
      <c r="B834" s="5"/>
      <c r="H834" s="16"/>
    </row>
    <row r="835" spans="2:8">
      <c r="B835" s="5"/>
      <c r="H835" s="16"/>
    </row>
    <row r="836" spans="2:8">
      <c r="B836" s="5"/>
      <c r="H836" s="16"/>
    </row>
    <row r="837" spans="2:8">
      <c r="B837" s="5"/>
      <c r="H837" s="16"/>
    </row>
    <row r="838" spans="2:8">
      <c r="B838" s="5"/>
      <c r="H838" s="16"/>
    </row>
    <row r="839" spans="2:8">
      <c r="B839" s="5"/>
      <c r="H839" s="16"/>
    </row>
    <row r="840" spans="2:8">
      <c r="B840" s="5"/>
      <c r="H840" s="16"/>
    </row>
    <row r="841" spans="2:8">
      <c r="B841" s="5"/>
      <c r="H841" s="16"/>
    </row>
    <row r="842" spans="2:8">
      <c r="B842" s="5"/>
      <c r="H842" s="16"/>
    </row>
    <row r="843" spans="2:8">
      <c r="B843" s="5"/>
      <c r="H843" s="16"/>
    </row>
    <row r="844" spans="2:8">
      <c r="B844" s="5"/>
      <c r="H844" s="16"/>
    </row>
    <row r="845" spans="2:8">
      <c r="B845" s="5"/>
      <c r="H845" s="16"/>
    </row>
    <row r="846" spans="2:8">
      <c r="B846" s="5"/>
      <c r="H846" s="16"/>
    </row>
    <row r="847" spans="2:8">
      <c r="B847" s="5"/>
      <c r="H847" s="16"/>
    </row>
    <row r="848" spans="2:8">
      <c r="B848" s="5"/>
      <c r="H848" s="16"/>
    </row>
    <row r="849" spans="2:8">
      <c r="B849" s="5"/>
      <c r="H849" s="16"/>
    </row>
    <row r="850" spans="2:8">
      <c r="B850" s="5"/>
      <c r="H850" s="16"/>
    </row>
    <row r="851" spans="2:8">
      <c r="B851" s="5"/>
      <c r="H851" s="16"/>
    </row>
    <row r="852" spans="2:8">
      <c r="B852" s="5"/>
      <c r="H852" s="16"/>
    </row>
    <row r="853" spans="2:8">
      <c r="B853" s="5"/>
      <c r="H853" s="16"/>
    </row>
    <row r="854" spans="2:8">
      <c r="B854" s="5"/>
      <c r="H854" s="16"/>
    </row>
    <row r="855" spans="2:8">
      <c r="B855" s="5"/>
      <c r="H855" s="16"/>
    </row>
    <row r="856" spans="2:8">
      <c r="B856" s="5"/>
      <c r="H856" s="16"/>
    </row>
    <row r="857" spans="2:8">
      <c r="B857" s="5"/>
      <c r="H857" s="16"/>
    </row>
    <row r="858" spans="2:8">
      <c r="B858" s="5"/>
      <c r="H858" s="16"/>
    </row>
    <row r="859" spans="2:8">
      <c r="B859" s="5"/>
      <c r="H859" s="16"/>
    </row>
    <row r="860" spans="2:8">
      <c r="B860" s="5"/>
      <c r="H860" s="16"/>
    </row>
    <row r="861" spans="2:8">
      <c r="B861" s="5"/>
      <c r="H861" s="16"/>
    </row>
    <row r="862" spans="2:8">
      <c r="B862" s="5"/>
      <c r="H862" s="16"/>
    </row>
    <row r="863" spans="2:8">
      <c r="B863" s="5"/>
      <c r="H863" s="16"/>
    </row>
    <row r="864" spans="2:8">
      <c r="B864" s="5"/>
      <c r="H864" s="16"/>
    </row>
    <row r="865" spans="2:8">
      <c r="B865" s="5"/>
      <c r="H865" s="16"/>
    </row>
    <row r="866" spans="2:8">
      <c r="B866" s="5"/>
      <c r="H866" s="16"/>
    </row>
    <row r="867" spans="2:8">
      <c r="B867" s="5"/>
      <c r="H867" s="16"/>
    </row>
    <row r="868" spans="2:8">
      <c r="B868" s="5"/>
      <c r="H868" s="16"/>
    </row>
    <row r="869" spans="2:8">
      <c r="B869" s="5"/>
      <c r="H869" s="16"/>
    </row>
    <row r="870" spans="2:8">
      <c r="B870" s="5"/>
      <c r="H870" s="16"/>
    </row>
    <row r="871" spans="2:8">
      <c r="B871" s="5"/>
      <c r="H871" s="16"/>
    </row>
    <row r="872" spans="2:8">
      <c r="B872" s="5"/>
      <c r="H872" s="16"/>
    </row>
    <row r="873" spans="2:8">
      <c r="B873" s="5"/>
      <c r="H873" s="16"/>
    </row>
    <row r="874" spans="2:8">
      <c r="B874" s="5"/>
      <c r="H874" s="16"/>
    </row>
    <row r="875" spans="2:8">
      <c r="B875" s="5"/>
      <c r="H875" s="16"/>
    </row>
    <row r="876" spans="2:8">
      <c r="B876" s="5"/>
      <c r="H876" s="16"/>
    </row>
    <row r="877" spans="2:8">
      <c r="B877" s="5"/>
      <c r="H877" s="16"/>
    </row>
    <row r="878" spans="2:8">
      <c r="B878" s="5"/>
      <c r="H878" s="16"/>
    </row>
    <row r="879" spans="2:8">
      <c r="B879" s="5"/>
      <c r="H879" s="16"/>
    </row>
    <row r="880" spans="2:8">
      <c r="B880" s="5"/>
      <c r="H880" s="16"/>
    </row>
    <row r="881" spans="2:8">
      <c r="B881" s="5"/>
      <c r="H881" s="16"/>
    </row>
    <row r="882" spans="2:8">
      <c r="B882" s="5"/>
      <c r="H882" s="16"/>
    </row>
    <row r="883" spans="2:8">
      <c r="B883" s="5"/>
      <c r="H883" s="16"/>
    </row>
    <row r="884" spans="2:8">
      <c r="B884" s="5"/>
      <c r="H884" s="16"/>
    </row>
    <row r="885" spans="2:8">
      <c r="B885" s="5"/>
      <c r="H885" s="16"/>
    </row>
    <row r="886" spans="2:8">
      <c r="B886" s="5"/>
      <c r="H886" s="16"/>
    </row>
    <row r="887" spans="2:8">
      <c r="B887" s="5"/>
      <c r="H887" s="16"/>
    </row>
    <row r="888" spans="2:8">
      <c r="B888" s="5"/>
      <c r="H888" s="16"/>
    </row>
    <row r="889" spans="2:8">
      <c r="B889" s="5"/>
      <c r="H889" s="16"/>
    </row>
    <row r="890" spans="2:8">
      <c r="B890" s="5"/>
      <c r="H890" s="16"/>
    </row>
    <row r="891" spans="2:8">
      <c r="B891" s="5"/>
      <c r="H891" s="16"/>
    </row>
  </sheetData>
  <mergeCells count="23">
    <mergeCell ref="G49:H49"/>
    <mergeCell ref="G44:H44"/>
    <mergeCell ref="G45:H45"/>
    <mergeCell ref="G48:H48"/>
    <mergeCell ref="C49:F49"/>
    <mergeCell ref="C44:F44"/>
    <mergeCell ref="C45:F45"/>
    <mergeCell ref="C46:F46"/>
    <mergeCell ref="C47:F47"/>
    <mergeCell ref="C48:F48"/>
    <mergeCell ref="A4:H4"/>
    <mergeCell ref="A38:F38"/>
    <mergeCell ref="C41:F41"/>
    <mergeCell ref="C42:F42"/>
    <mergeCell ref="C43:F43"/>
    <mergeCell ref="A10:F10"/>
    <mergeCell ref="A17:F17"/>
    <mergeCell ref="A23:F23"/>
    <mergeCell ref="A29:F29"/>
    <mergeCell ref="A35:F35"/>
    <mergeCell ref="G41:H41"/>
    <mergeCell ref="G42:H42"/>
    <mergeCell ref="G43:H43"/>
  </mergeCells>
  <phoneticPr fontId="24" type="noConversion"/>
  <dataValidations count="1">
    <dataValidation type="list" allowBlank="1" showInputMessage="1" showErrorMessage="1" sqref="B42:B48" xr:uid="{00000000-0002-0000-0B00-000000000000}">
      <formula1>$L$41:$L$45</formula1>
    </dataValidation>
  </dataValidations>
  <printOptions horizontalCentered="1"/>
  <pageMargins left="0.45" right="0.45" top="0.5" bottom="0.5" header="0.3" footer="0.3"/>
  <pageSetup scale="58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L891"/>
  <sheetViews>
    <sheetView showZeros="0" zoomScale="65" zoomScaleNormal="65" workbookViewId="0">
      <selection activeCell="A11" sqref="A11"/>
    </sheetView>
  </sheetViews>
  <sheetFormatPr defaultColWidth="10.875" defaultRowHeight="18.95"/>
  <cols>
    <col min="1" max="1" width="35.625" customWidth="1"/>
    <col min="2" max="2" width="14.625" style="16" customWidth="1"/>
    <col min="3" max="7" width="15.875" style="5" customWidth="1"/>
    <col min="8" max="8" width="15.875" style="17" customWidth="1"/>
    <col min="9" max="9" width="10.875" style="5"/>
    <col min="10" max="12" width="0" style="5" hidden="1" customWidth="1"/>
    <col min="13" max="16384" width="10.875" style="5"/>
  </cols>
  <sheetData>
    <row r="1" spans="1:10" customFormat="1" ht="15.95">
      <c r="A1" s="41"/>
      <c r="B1" s="42"/>
      <c r="C1" s="43"/>
      <c r="D1" s="43"/>
      <c r="E1" s="45" t="s">
        <v>25</v>
      </c>
      <c r="F1" s="43"/>
      <c r="G1" s="45" t="s">
        <v>26</v>
      </c>
      <c r="H1" s="44"/>
    </row>
    <row r="2" spans="1:10">
      <c r="A2" s="30"/>
      <c r="B2" s="18" t="s">
        <v>27</v>
      </c>
      <c r="C2" s="18" t="s">
        <v>28</v>
      </c>
      <c r="D2" s="18" t="s">
        <v>65</v>
      </c>
      <c r="E2" s="18" t="s">
        <v>30</v>
      </c>
      <c r="F2" s="18" t="s">
        <v>66</v>
      </c>
      <c r="G2" s="18" t="s">
        <v>32</v>
      </c>
      <c r="H2" s="18" t="s">
        <v>33</v>
      </c>
    </row>
    <row r="3" spans="1:10" ht="21" customHeight="1">
      <c r="A3" s="31" t="s">
        <v>7</v>
      </c>
      <c r="B3" s="6">
        <f>'Week 10'!H3+1</f>
        <v>45963</v>
      </c>
      <c r="C3" s="6">
        <f t="shared" ref="C3:H3" si="0">B3+1</f>
        <v>45964</v>
      </c>
      <c r="D3" s="6">
        <f t="shared" si="0"/>
        <v>45965</v>
      </c>
      <c r="E3" s="6">
        <f t="shared" si="0"/>
        <v>45966</v>
      </c>
      <c r="F3" s="6">
        <f t="shared" si="0"/>
        <v>45967</v>
      </c>
      <c r="G3" s="6">
        <f t="shared" si="0"/>
        <v>45968</v>
      </c>
      <c r="H3" s="6">
        <f t="shared" si="0"/>
        <v>45969</v>
      </c>
    </row>
    <row r="4" spans="1:10" s="7" customFormat="1">
      <c r="A4" s="181" t="s">
        <v>34</v>
      </c>
      <c r="B4" s="181"/>
      <c r="C4" s="181"/>
      <c r="D4" s="181"/>
      <c r="E4" s="181"/>
      <c r="F4" s="181"/>
      <c r="G4" s="181"/>
      <c r="H4" s="181"/>
    </row>
    <row r="5" spans="1:10" s="7" customFormat="1" ht="26.1" customHeight="1">
      <c r="A5" s="32" t="s">
        <v>8</v>
      </c>
      <c r="B5" s="27"/>
      <c r="C5" s="27"/>
      <c r="D5" s="27"/>
      <c r="E5" s="27"/>
      <c r="F5" s="27"/>
      <c r="G5" s="27"/>
      <c r="H5" s="27"/>
    </row>
    <row r="6" spans="1:10" s="7" customFormat="1" ht="26.1" customHeight="1">
      <c r="A6" s="4" t="s">
        <v>23</v>
      </c>
      <c r="B6" s="62"/>
      <c r="C6" s="62"/>
      <c r="D6" s="62"/>
      <c r="E6" s="62"/>
      <c r="F6" s="62"/>
      <c r="G6" s="62"/>
      <c r="H6" s="62"/>
    </row>
    <row r="7" spans="1:10" s="7" customFormat="1" ht="21.95" customHeight="1">
      <c r="A7" s="32" t="s">
        <v>35</v>
      </c>
      <c r="B7" s="27"/>
      <c r="C7" s="28"/>
      <c r="D7" s="28"/>
      <c r="E7" s="28"/>
      <c r="F7" s="28"/>
      <c r="G7" s="28"/>
      <c r="H7" s="27"/>
    </row>
    <row r="8" spans="1:10" s="7" customFormat="1" ht="24.95" customHeight="1" thickBot="1">
      <c r="A8" s="83" t="s">
        <v>36</v>
      </c>
      <c r="B8" s="84">
        <f t="shared" ref="B8:H8" si="1">B5+B6+B7</f>
        <v>0</v>
      </c>
      <c r="C8" s="84">
        <f t="shared" si="1"/>
        <v>0</v>
      </c>
      <c r="D8" s="84">
        <f t="shared" si="1"/>
        <v>0</v>
      </c>
      <c r="E8" s="84">
        <f t="shared" si="1"/>
        <v>0</v>
      </c>
      <c r="F8" s="84">
        <f t="shared" si="1"/>
        <v>0</v>
      </c>
      <c r="G8" s="84">
        <f t="shared" si="1"/>
        <v>0</v>
      </c>
      <c r="H8" s="84">
        <f t="shared" si="1"/>
        <v>0</v>
      </c>
    </row>
    <row r="9" spans="1:10" s="7" customFormat="1" ht="24.95" customHeight="1" thickBot="1">
      <c r="A9" s="33"/>
      <c r="B9" s="29"/>
      <c r="C9" s="29"/>
      <c r="D9" s="29"/>
      <c r="E9" s="29"/>
      <c r="F9" s="29"/>
      <c r="G9" s="63" t="s">
        <v>37</v>
      </c>
      <c r="H9" s="64">
        <f>SUM(B8:H8)</f>
        <v>0</v>
      </c>
    </row>
    <row r="10" spans="1:10" s="7" customFormat="1" ht="21" thickTop="1" thickBot="1">
      <c r="A10" s="182" t="s">
        <v>38</v>
      </c>
      <c r="B10" s="183"/>
      <c r="C10" s="183"/>
      <c r="D10" s="183"/>
      <c r="E10" s="183"/>
      <c r="F10" s="183"/>
      <c r="G10" s="65" t="s">
        <v>39</v>
      </c>
      <c r="H10" s="66">
        <v>-0.08</v>
      </c>
      <c r="I10" s="5"/>
      <c r="J10" s="26"/>
    </row>
    <row r="11" spans="1:10" s="7" customFormat="1" ht="30" customHeight="1">
      <c r="A11" s="39" t="s">
        <v>8</v>
      </c>
      <c r="B11" s="9"/>
      <c r="C11" s="9"/>
      <c r="D11" s="67"/>
      <c r="E11" s="67"/>
      <c r="F11" s="9"/>
      <c r="G11" s="68"/>
      <c r="H11" s="69"/>
    </row>
    <row r="12" spans="1:10" s="7" customFormat="1" ht="30" customHeight="1">
      <c r="A12" s="70" t="s">
        <v>23</v>
      </c>
      <c r="B12" s="59"/>
      <c r="C12" s="58"/>
      <c r="D12" s="58"/>
      <c r="E12" s="58"/>
      <c r="F12" s="58"/>
      <c r="G12" s="58"/>
      <c r="H12" s="59"/>
    </row>
    <row r="13" spans="1:10" s="7" customFormat="1" ht="30" customHeight="1">
      <c r="A13" s="3" t="s">
        <v>35</v>
      </c>
      <c r="B13" s="8"/>
      <c r="C13" s="8"/>
      <c r="D13" s="8"/>
      <c r="E13" s="8"/>
      <c r="F13" s="8"/>
      <c r="G13" s="8"/>
      <c r="H13" s="8"/>
    </row>
    <row r="14" spans="1:10" s="7" customFormat="1" ht="27" customHeight="1" thickBot="1">
      <c r="A14" s="85" t="s">
        <v>36</v>
      </c>
      <c r="B14" s="87">
        <f t="shared" ref="B14:H14" si="2">B11+B12+B13</f>
        <v>0</v>
      </c>
      <c r="C14" s="87">
        <f t="shared" si="2"/>
        <v>0</v>
      </c>
      <c r="D14" s="87">
        <f t="shared" si="2"/>
        <v>0</v>
      </c>
      <c r="E14" s="87">
        <f t="shared" si="2"/>
        <v>0</v>
      </c>
      <c r="F14" s="87">
        <f t="shared" si="2"/>
        <v>0</v>
      </c>
      <c r="G14" s="87">
        <f t="shared" si="2"/>
        <v>0</v>
      </c>
      <c r="H14" s="87">
        <f t="shared" si="2"/>
        <v>0</v>
      </c>
    </row>
    <row r="15" spans="1:10" s="7" customFormat="1" ht="24.95" customHeight="1" thickBot="1">
      <c r="A15" s="86" t="s">
        <v>40</v>
      </c>
      <c r="B15" s="92" t="e">
        <f t="shared" ref="B15:H15" si="3">(B14-B8)/B8</f>
        <v>#DIV/0!</v>
      </c>
      <c r="C15" s="93" t="e">
        <f t="shared" si="3"/>
        <v>#DIV/0!</v>
      </c>
      <c r="D15" s="93" t="e">
        <f t="shared" si="3"/>
        <v>#DIV/0!</v>
      </c>
      <c r="E15" s="93" t="e">
        <f t="shared" si="3"/>
        <v>#DIV/0!</v>
      </c>
      <c r="F15" s="93" t="e">
        <f t="shared" si="3"/>
        <v>#DIV/0!</v>
      </c>
      <c r="G15" s="93" t="e">
        <f t="shared" si="3"/>
        <v>#DIV/0!</v>
      </c>
      <c r="H15" s="94" t="e">
        <f t="shared" si="3"/>
        <v>#DIV/0!</v>
      </c>
      <c r="I15" s="71"/>
    </row>
    <row r="16" spans="1:10" ht="30" customHeight="1" thickBot="1">
      <c r="B16" s="88"/>
      <c r="C16" s="88"/>
      <c r="D16" s="88"/>
      <c r="E16" s="88"/>
      <c r="F16" s="89"/>
      <c r="G16" s="90" t="s">
        <v>37</v>
      </c>
      <c r="H16" s="91">
        <f>SUM(B14:H14)</f>
        <v>0</v>
      </c>
    </row>
    <row r="17" spans="1:8" s="7" customFormat="1" ht="21.95" thickTop="1" thickBot="1">
      <c r="A17" s="184" t="s">
        <v>41</v>
      </c>
      <c r="B17" s="185"/>
      <c r="C17" s="185"/>
      <c r="D17" s="185"/>
      <c r="E17" s="185"/>
      <c r="F17" s="185"/>
      <c r="G17" s="72" t="s">
        <v>42</v>
      </c>
      <c r="H17" s="66" t="e">
        <f>(H16-H9)/H9</f>
        <v>#DIV/0!</v>
      </c>
    </row>
    <row r="18" spans="1:8" s="7" customFormat="1" ht="30" customHeight="1">
      <c r="A18" s="35" t="s">
        <v>43</v>
      </c>
      <c r="B18" s="12"/>
      <c r="C18" s="12"/>
      <c r="D18" s="73"/>
      <c r="E18" s="73"/>
      <c r="F18" s="12"/>
      <c r="G18" s="24"/>
      <c r="H18" s="74"/>
    </row>
    <row r="19" spans="1:8" s="7" customFormat="1" ht="30" customHeight="1">
      <c r="A19" s="35" t="str">
        <f>'Week 10'!A31</f>
        <v>Non Meal Plan Meals</v>
      </c>
      <c r="B19" s="12"/>
      <c r="C19" s="12"/>
      <c r="D19" s="73"/>
      <c r="E19" s="73"/>
      <c r="F19" s="12"/>
      <c r="G19" s="24"/>
      <c r="H19" s="74"/>
    </row>
    <row r="20" spans="1:8" s="7" customFormat="1" ht="30" customHeight="1">
      <c r="A20" s="35" t="str">
        <f>'Week 10'!A32</f>
        <v xml:space="preserve">Meal numbers </v>
      </c>
      <c r="B20" s="95"/>
      <c r="C20" s="95"/>
      <c r="D20" s="67"/>
      <c r="E20" s="67"/>
      <c r="F20" s="95"/>
      <c r="G20" s="95"/>
      <c r="H20" s="75"/>
    </row>
    <row r="21" spans="1:8" s="7" customFormat="1" ht="24.95" customHeight="1" thickBot="1">
      <c r="A21" s="36" t="s">
        <v>45</v>
      </c>
      <c r="B21" s="77"/>
      <c r="C21" s="77"/>
      <c r="D21" s="123"/>
      <c r="E21" s="123"/>
      <c r="F21" s="77"/>
      <c r="G21" s="77"/>
      <c r="H21" s="77"/>
    </row>
    <row r="22" spans="1:8" s="7" customFormat="1" ht="24.95" customHeight="1" thickBot="1">
      <c r="A22" s="34" t="s">
        <v>40</v>
      </c>
      <c r="B22" s="92" t="e">
        <f>(B21-B5)/B5</f>
        <v>#DIV/0!</v>
      </c>
      <c r="C22" s="93" t="e">
        <f>(C21-C5)/C5</f>
        <v>#DIV/0!</v>
      </c>
      <c r="D22" s="99"/>
      <c r="E22" s="99"/>
      <c r="F22" s="93" t="e">
        <f>(F21-F5)/F5</f>
        <v>#DIV/0!</v>
      </c>
      <c r="G22" s="93" t="e">
        <f>(G21-G5)/G5</f>
        <v>#DIV/0!</v>
      </c>
      <c r="H22" s="94" t="e">
        <f>(H21-H5)/H5</f>
        <v>#DIV/0!</v>
      </c>
    </row>
    <row r="23" spans="1:8" s="7" customFormat="1">
      <c r="A23" s="186" t="s">
        <v>46</v>
      </c>
      <c r="B23" s="187"/>
      <c r="C23" s="187"/>
      <c r="D23" s="187"/>
      <c r="E23" s="187"/>
      <c r="F23" s="188" t="s">
        <v>47</v>
      </c>
      <c r="G23" s="97"/>
      <c r="H23" s="98"/>
    </row>
    <row r="24" spans="1:8" s="7" customFormat="1" ht="30" customHeight="1">
      <c r="A24" s="35" t="s">
        <v>43</v>
      </c>
      <c r="B24" s="11"/>
      <c r="C24" s="12"/>
      <c r="D24" s="12"/>
      <c r="E24" s="12"/>
      <c r="F24" s="12"/>
      <c r="G24" s="12"/>
      <c r="H24" s="11"/>
    </row>
    <row r="25" spans="1:8" s="7" customFormat="1" ht="30" customHeight="1">
      <c r="A25" s="35" t="str">
        <f>A19</f>
        <v>Non Meal Plan Meals</v>
      </c>
      <c r="B25" s="117"/>
      <c r="C25" s="117"/>
      <c r="D25" s="117"/>
      <c r="E25" s="117"/>
      <c r="F25" s="117"/>
      <c r="G25" s="117"/>
      <c r="H25" s="117"/>
    </row>
    <row r="26" spans="1:8" s="7" customFormat="1" ht="30" customHeight="1">
      <c r="A26" s="35" t="str">
        <f>A20</f>
        <v xml:space="preserve">Meal numbers </v>
      </c>
      <c r="B26" s="11"/>
      <c r="C26" s="11"/>
      <c r="D26" s="11"/>
      <c r="E26" s="11"/>
      <c r="F26" s="11"/>
      <c r="G26" s="11"/>
      <c r="H26" s="11"/>
    </row>
    <row r="27" spans="1:8" s="7" customFormat="1" ht="27.95" customHeight="1" thickBot="1">
      <c r="A27" s="36" t="s">
        <v>50</v>
      </c>
      <c r="B27" s="100">
        <f t="shared" ref="B27:H27" si="4">SUM(B24:B26)</f>
        <v>0</v>
      </c>
      <c r="C27" s="100">
        <f t="shared" si="4"/>
        <v>0</v>
      </c>
      <c r="D27" s="100">
        <f t="shared" si="4"/>
        <v>0</v>
      </c>
      <c r="E27" s="100">
        <f t="shared" si="4"/>
        <v>0</v>
      </c>
      <c r="F27" s="100">
        <f t="shared" si="4"/>
        <v>0</v>
      </c>
      <c r="G27" s="100">
        <f t="shared" si="4"/>
        <v>0</v>
      </c>
      <c r="H27" s="100">
        <f t="shared" si="4"/>
        <v>0</v>
      </c>
    </row>
    <row r="28" spans="1:8" s="7" customFormat="1" ht="24.95" customHeight="1" thickBot="1">
      <c r="A28" s="34" t="s">
        <v>40</v>
      </c>
      <c r="B28" s="92" t="e">
        <f>(B27-B6)/B6</f>
        <v>#DIV/0!</v>
      </c>
      <c r="C28" s="93" t="e">
        <f>(C27-C6)/C6</f>
        <v>#DIV/0!</v>
      </c>
      <c r="D28" s="93" t="e">
        <f>(D27-D6)/D6</f>
        <v>#DIV/0!</v>
      </c>
      <c r="E28" s="93" t="e">
        <f>(E27-E6)/E6</f>
        <v>#DIV/0!</v>
      </c>
      <c r="F28" s="93">
        <v>0.2</v>
      </c>
      <c r="G28" s="93" t="e">
        <f>(G27-G6)/G6</f>
        <v>#DIV/0!</v>
      </c>
      <c r="H28" s="94" t="e">
        <f>(H27-H6)/H6</f>
        <v>#DIV/0!</v>
      </c>
    </row>
    <row r="29" spans="1:8" s="7" customFormat="1">
      <c r="A29" s="189" t="s">
        <v>51</v>
      </c>
      <c r="B29" s="190"/>
      <c r="C29" s="190"/>
      <c r="D29" s="190"/>
      <c r="E29" s="190"/>
      <c r="F29" s="191" t="s">
        <v>35</v>
      </c>
      <c r="G29" s="101"/>
      <c r="H29" s="102"/>
    </row>
    <row r="30" spans="1:8" s="7" customFormat="1" ht="30" customHeight="1">
      <c r="A30" s="35" t="s">
        <v>43</v>
      </c>
      <c r="B30" s="10"/>
      <c r="C30" s="9"/>
      <c r="D30" s="9"/>
      <c r="E30" s="9"/>
      <c r="F30" s="9"/>
      <c r="G30" s="9"/>
      <c r="H30" s="10"/>
    </row>
    <row r="31" spans="1:8" s="7" customFormat="1" ht="30" customHeight="1">
      <c r="A31" s="35" t="s">
        <v>52</v>
      </c>
      <c r="B31" s="60"/>
      <c r="C31" s="60"/>
      <c r="D31" s="60"/>
      <c r="E31" s="60"/>
      <c r="F31" s="60"/>
      <c r="G31" s="60"/>
      <c r="H31" s="60"/>
    </row>
    <row r="32" spans="1:8" s="7" customFormat="1" ht="30" customHeight="1">
      <c r="A32" s="35" t="s">
        <v>44</v>
      </c>
      <c r="B32" s="10"/>
      <c r="C32" s="10"/>
      <c r="D32" s="10"/>
      <c r="E32" s="10"/>
      <c r="F32" s="10"/>
      <c r="G32" s="10"/>
      <c r="H32" s="10"/>
    </row>
    <row r="33" spans="1:12" s="7" customFormat="1" ht="30.95" customHeight="1" thickBot="1">
      <c r="A33" s="36" t="s">
        <v>53</v>
      </c>
      <c r="B33" s="103">
        <f t="shared" ref="B33:G33" si="5">SUM(B30:B32)</f>
        <v>0</v>
      </c>
      <c r="C33" s="103">
        <f t="shared" si="5"/>
        <v>0</v>
      </c>
      <c r="D33" s="103">
        <f t="shared" si="5"/>
        <v>0</v>
      </c>
      <c r="E33" s="103">
        <f t="shared" si="5"/>
        <v>0</v>
      </c>
      <c r="F33" s="103">
        <f t="shared" si="5"/>
        <v>0</v>
      </c>
      <c r="G33" s="103">
        <f t="shared" si="5"/>
        <v>0</v>
      </c>
      <c r="H33" s="103">
        <v>527</v>
      </c>
    </row>
    <row r="34" spans="1:12" s="7" customFormat="1" ht="24.95" customHeight="1" thickBot="1">
      <c r="A34" s="34" t="s">
        <v>40</v>
      </c>
      <c r="B34" s="92" t="e">
        <f t="shared" ref="B34:H34" si="6">(B33-B7)/B7</f>
        <v>#DIV/0!</v>
      </c>
      <c r="C34" s="93" t="e">
        <f t="shared" si="6"/>
        <v>#DIV/0!</v>
      </c>
      <c r="D34" s="93" t="e">
        <f t="shared" si="6"/>
        <v>#DIV/0!</v>
      </c>
      <c r="E34" s="93" t="e">
        <f t="shared" si="6"/>
        <v>#DIV/0!</v>
      </c>
      <c r="F34" s="93" t="e">
        <f t="shared" si="6"/>
        <v>#DIV/0!</v>
      </c>
      <c r="G34" s="93" t="e">
        <f t="shared" si="6"/>
        <v>#DIV/0!</v>
      </c>
      <c r="H34" s="94" t="e">
        <f t="shared" si="6"/>
        <v>#DIV/0!</v>
      </c>
    </row>
    <row r="35" spans="1:12" s="7" customFormat="1">
      <c r="A35" s="192" t="s">
        <v>54</v>
      </c>
      <c r="B35" s="193"/>
      <c r="C35" s="193"/>
      <c r="D35" s="193"/>
      <c r="E35" s="193"/>
      <c r="F35" s="194" t="s">
        <v>35</v>
      </c>
      <c r="G35" s="104"/>
      <c r="H35" s="105"/>
    </row>
    <row r="36" spans="1:12" s="7" customFormat="1" ht="30.75" customHeight="1" thickBot="1">
      <c r="A36" s="78" t="s">
        <v>55</v>
      </c>
      <c r="B36" s="77">
        <f t="shared" ref="B36:H36" si="7">B33+B27+B21</f>
        <v>0</v>
      </c>
      <c r="C36" s="77">
        <f t="shared" si="7"/>
        <v>0</v>
      </c>
      <c r="D36" s="77">
        <f t="shared" si="7"/>
        <v>0</v>
      </c>
      <c r="E36" s="77">
        <f t="shared" si="7"/>
        <v>0</v>
      </c>
      <c r="F36" s="77">
        <f t="shared" si="7"/>
        <v>0</v>
      </c>
      <c r="G36" s="77">
        <f t="shared" si="7"/>
        <v>0</v>
      </c>
      <c r="H36" s="77">
        <f t="shared" si="7"/>
        <v>527</v>
      </c>
    </row>
    <row r="37" spans="1:12" s="7" customFormat="1" ht="24.95" customHeight="1" thickBot="1">
      <c r="A37" s="34" t="s">
        <v>40</v>
      </c>
      <c r="B37" s="92" t="e">
        <f t="shared" ref="B37:H37" si="8">(B36-B8)/B8</f>
        <v>#DIV/0!</v>
      </c>
      <c r="C37" s="93" t="e">
        <f t="shared" si="8"/>
        <v>#DIV/0!</v>
      </c>
      <c r="D37" s="93" t="e">
        <f t="shared" si="8"/>
        <v>#DIV/0!</v>
      </c>
      <c r="E37" s="93" t="e">
        <f t="shared" si="8"/>
        <v>#DIV/0!</v>
      </c>
      <c r="F37" s="93" t="e">
        <f t="shared" si="8"/>
        <v>#DIV/0!</v>
      </c>
      <c r="G37" s="93" t="e">
        <f t="shared" si="8"/>
        <v>#DIV/0!</v>
      </c>
      <c r="H37" s="94" t="e">
        <f t="shared" si="8"/>
        <v>#DIV/0!</v>
      </c>
    </row>
    <row r="38" spans="1:12" ht="30" customHeight="1" thickBot="1">
      <c r="A38" s="195"/>
      <c r="B38" s="196"/>
      <c r="C38" s="196"/>
      <c r="D38" s="196"/>
      <c r="E38" s="196"/>
      <c r="F38" s="196"/>
      <c r="G38" s="106" t="s">
        <v>37</v>
      </c>
      <c r="H38" s="107">
        <f>SUM(B36:H36)</f>
        <v>527</v>
      </c>
    </row>
    <row r="39" spans="1:12" s="7" customFormat="1" ht="24.95" customHeight="1" thickTop="1">
      <c r="A39" s="37"/>
      <c r="B39" s="25"/>
      <c r="C39" s="25"/>
      <c r="D39" s="25"/>
      <c r="E39" s="25"/>
      <c r="F39" s="25"/>
      <c r="G39" s="79" t="s">
        <v>40</v>
      </c>
      <c r="H39" s="80" t="e">
        <f>(H38-H9)/H9</f>
        <v>#DIV/0!</v>
      </c>
    </row>
    <row r="40" spans="1:12" s="7" customFormat="1" ht="24.95" customHeight="1" thickBot="1">
      <c r="A40" s="37"/>
      <c r="B40" s="25"/>
      <c r="C40" s="25"/>
      <c r="D40" s="25"/>
      <c r="E40" s="25"/>
      <c r="F40" s="25"/>
      <c r="G40" s="81" t="s">
        <v>56</v>
      </c>
      <c r="H40" s="82" t="e">
        <f>(H38-H16)/H16</f>
        <v>#DIV/0!</v>
      </c>
    </row>
    <row r="41" spans="1:12" s="46" customFormat="1" ht="23.1" customHeight="1">
      <c r="A41" s="40"/>
      <c r="B41" s="47" t="s">
        <v>57</v>
      </c>
      <c r="C41" s="197" t="s">
        <v>58</v>
      </c>
      <c r="D41" s="197"/>
      <c r="E41" s="197"/>
      <c r="F41" s="197"/>
      <c r="G41" s="198">
        <v>2020</v>
      </c>
      <c r="H41" s="199"/>
    </row>
    <row r="42" spans="1:12" ht="30" customHeight="1">
      <c r="A42" s="1" t="s">
        <v>60</v>
      </c>
      <c r="B42" s="57" t="s">
        <v>59</v>
      </c>
      <c r="C42" s="215"/>
      <c r="D42" s="215"/>
      <c r="E42" s="215"/>
      <c r="F42" s="215"/>
      <c r="G42" s="178" t="s">
        <v>103</v>
      </c>
      <c r="H42" s="179"/>
      <c r="L42" s="7" t="s">
        <v>61</v>
      </c>
    </row>
    <row r="43" spans="1:12" ht="45" customHeight="1">
      <c r="A43" s="1" t="s">
        <v>1</v>
      </c>
      <c r="B43" s="57" t="s">
        <v>59</v>
      </c>
      <c r="C43" s="202"/>
      <c r="D43" s="202"/>
      <c r="E43" s="202"/>
      <c r="F43" s="202"/>
      <c r="G43" s="178"/>
      <c r="H43" s="179"/>
      <c r="L43" s="5" t="s">
        <v>62</v>
      </c>
    </row>
    <row r="44" spans="1:12" ht="30" customHeight="1">
      <c r="A44" s="1" t="s">
        <v>2</v>
      </c>
      <c r="B44" s="57" t="s">
        <v>59</v>
      </c>
      <c r="C44" s="216"/>
      <c r="D44" s="216"/>
      <c r="E44" s="216"/>
      <c r="F44" s="216"/>
      <c r="G44" s="176"/>
      <c r="H44" s="177"/>
      <c r="L44" s="5" t="s">
        <v>63</v>
      </c>
    </row>
    <row r="45" spans="1:12" ht="30" customHeight="1">
      <c r="A45" s="1" t="s">
        <v>3</v>
      </c>
      <c r="B45" s="57" t="s">
        <v>59</v>
      </c>
      <c r="C45" s="216"/>
      <c r="D45" s="216"/>
      <c r="E45" s="216"/>
      <c r="F45" s="216"/>
      <c r="G45" s="176"/>
      <c r="H45" s="177"/>
      <c r="L45" s="5" t="s">
        <v>64</v>
      </c>
    </row>
    <row r="46" spans="1:12" ht="30.95" customHeight="1">
      <c r="A46" s="1" t="s">
        <v>4</v>
      </c>
      <c r="B46" s="57" t="s">
        <v>59</v>
      </c>
      <c r="C46" s="216"/>
      <c r="D46" s="216"/>
      <c r="E46" s="216"/>
      <c r="F46" s="216"/>
      <c r="G46" s="176"/>
      <c r="H46" s="177"/>
    </row>
    <row r="47" spans="1:12" ht="30" customHeight="1">
      <c r="A47" s="1" t="s">
        <v>5</v>
      </c>
      <c r="B47" s="57" t="s">
        <v>59</v>
      </c>
      <c r="C47" s="216"/>
      <c r="D47" s="216"/>
      <c r="E47" s="216"/>
      <c r="F47" s="216"/>
      <c r="G47" s="176"/>
      <c r="H47" s="177"/>
    </row>
    <row r="48" spans="1:12" ht="30" customHeight="1">
      <c r="A48" s="1" t="s">
        <v>6</v>
      </c>
      <c r="B48" s="57" t="s">
        <v>59</v>
      </c>
      <c r="C48" s="216"/>
      <c r="D48" s="216"/>
      <c r="E48" s="216"/>
      <c r="F48" s="216"/>
      <c r="G48" s="176"/>
      <c r="H48" s="177"/>
    </row>
    <row r="49" spans="1:8" ht="17.25" customHeight="1">
      <c r="A49" s="2"/>
      <c r="B49" s="14"/>
      <c r="C49" s="175"/>
      <c r="D49" s="175"/>
      <c r="E49" s="175"/>
      <c r="F49" s="175"/>
      <c r="G49" s="176"/>
      <c r="H49" s="177"/>
    </row>
    <row r="50" spans="1:8">
      <c r="A50" s="30"/>
      <c r="B50" s="18" t="s">
        <v>27</v>
      </c>
      <c r="C50" s="18" t="s">
        <v>28</v>
      </c>
      <c r="D50" s="18" t="s">
        <v>65</v>
      </c>
      <c r="E50" s="18" t="s">
        <v>30</v>
      </c>
      <c r="F50" s="18" t="s">
        <v>66</v>
      </c>
      <c r="G50" s="18" t="s">
        <v>32</v>
      </c>
      <c r="H50" s="18" t="s">
        <v>33</v>
      </c>
    </row>
    <row r="51" spans="1:8">
      <c r="A51" s="38" t="s">
        <v>104</v>
      </c>
      <c r="B51" s="15"/>
      <c r="C51" s="20"/>
      <c r="D51" s="20"/>
      <c r="E51" s="20"/>
      <c r="F51" s="20"/>
      <c r="G51" s="20"/>
      <c r="H51" s="15"/>
    </row>
    <row r="52" spans="1:8" customFormat="1" ht="15.95">
      <c r="A52" s="48"/>
      <c r="B52" s="22"/>
      <c r="C52" s="21"/>
      <c r="D52" s="21"/>
      <c r="E52" s="21"/>
      <c r="F52" s="21"/>
      <c r="G52" s="23" t="s">
        <v>37</v>
      </c>
      <c r="H52" s="23">
        <f>SUM(B51:H51)</f>
        <v>0</v>
      </c>
    </row>
    <row r="53" spans="1:8">
      <c r="A53" s="30"/>
      <c r="B53" s="18" t="s">
        <v>27</v>
      </c>
      <c r="C53" s="18" t="s">
        <v>28</v>
      </c>
      <c r="D53" s="18" t="s">
        <v>65</v>
      </c>
      <c r="E53" s="18" t="s">
        <v>30</v>
      </c>
      <c r="F53" s="18" t="s">
        <v>66</v>
      </c>
      <c r="G53" s="18" t="s">
        <v>32</v>
      </c>
      <c r="H53" s="18" t="s">
        <v>33</v>
      </c>
    </row>
    <row r="54" spans="1:8">
      <c r="A54" s="38" t="s">
        <v>69</v>
      </c>
      <c r="B54" s="51"/>
      <c r="C54" s="52"/>
      <c r="D54" s="52"/>
      <c r="E54" s="52"/>
      <c r="F54" s="52"/>
      <c r="G54" s="20"/>
      <c r="H54" s="15"/>
    </row>
    <row r="55" spans="1:8" customFormat="1" ht="15.95">
      <c r="A55" s="49" t="s">
        <v>70</v>
      </c>
      <c r="B55" s="53"/>
      <c r="C55" s="53" t="s">
        <v>71</v>
      </c>
      <c r="D55" s="54"/>
      <c r="E55" s="54"/>
      <c r="F55" s="55"/>
      <c r="G55" s="50" t="s">
        <v>37</v>
      </c>
      <c r="H55" s="23"/>
    </row>
    <row r="56" spans="1:8">
      <c r="H56" s="16"/>
    </row>
    <row r="57" spans="1:8">
      <c r="H57" s="16"/>
    </row>
    <row r="58" spans="1:8">
      <c r="H58" s="16"/>
    </row>
    <row r="59" spans="1:8">
      <c r="H59" s="16"/>
    </row>
    <row r="60" spans="1:8">
      <c r="H60" s="16"/>
    </row>
    <row r="61" spans="1:8">
      <c r="H61" s="16"/>
    </row>
    <row r="62" spans="1:8">
      <c r="H62" s="16"/>
    </row>
    <row r="63" spans="1:8">
      <c r="B63" s="5"/>
      <c r="H63" s="16"/>
    </row>
    <row r="64" spans="1:8">
      <c r="B64" s="5"/>
      <c r="H64" s="16"/>
    </row>
    <row r="65" spans="2:8">
      <c r="B65" s="5"/>
      <c r="H65" s="16"/>
    </row>
    <row r="66" spans="2:8">
      <c r="B66" s="5"/>
      <c r="H66" s="16"/>
    </row>
    <row r="67" spans="2:8">
      <c r="B67" s="5"/>
      <c r="H67" s="16"/>
    </row>
    <row r="68" spans="2:8">
      <c r="B68" s="5"/>
      <c r="H68" s="16"/>
    </row>
    <row r="69" spans="2:8">
      <c r="B69" s="5"/>
      <c r="H69" s="16"/>
    </row>
    <row r="70" spans="2:8">
      <c r="B70" s="5"/>
      <c r="H70" s="16"/>
    </row>
    <row r="71" spans="2:8">
      <c r="B71" s="5"/>
      <c r="H71" s="16"/>
    </row>
    <row r="72" spans="2:8">
      <c r="B72" s="5"/>
      <c r="H72" s="16"/>
    </row>
    <row r="73" spans="2:8">
      <c r="B73" s="5"/>
      <c r="H73" s="16"/>
    </row>
    <row r="74" spans="2:8">
      <c r="B74" s="5"/>
      <c r="H74" s="16"/>
    </row>
    <row r="75" spans="2:8">
      <c r="B75" s="5"/>
      <c r="H75" s="16"/>
    </row>
    <row r="76" spans="2:8">
      <c r="B76" s="5"/>
      <c r="H76" s="16"/>
    </row>
    <row r="77" spans="2:8">
      <c r="B77" s="5"/>
      <c r="H77" s="16"/>
    </row>
    <row r="78" spans="2:8">
      <c r="B78" s="5"/>
      <c r="H78" s="16"/>
    </row>
    <row r="79" spans="2:8">
      <c r="B79" s="5"/>
      <c r="H79" s="16"/>
    </row>
    <row r="80" spans="2:8">
      <c r="B80" s="5"/>
      <c r="H80" s="16"/>
    </row>
    <row r="81" spans="2:8">
      <c r="B81" s="5"/>
      <c r="H81" s="16"/>
    </row>
    <row r="82" spans="2:8">
      <c r="B82" s="5"/>
      <c r="H82" s="16"/>
    </row>
    <row r="83" spans="2:8">
      <c r="B83" s="5"/>
      <c r="H83" s="16"/>
    </row>
    <row r="84" spans="2:8">
      <c r="B84" s="5"/>
      <c r="H84" s="16"/>
    </row>
    <row r="85" spans="2:8">
      <c r="B85" s="5"/>
      <c r="H85" s="16"/>
    </row>
    <row r="86" spans="2:8">
      <c r="B86" s="5"/>
      <c r="H86" s="16"/>
    </row>
    <row r="87" spans="2:8">
      <c r="B87" s="5"/>
      <c r="H87" s="16"/>
    </row>
    <row r="88" spans="2:8">
      <c r="B88" s="5"/>
      <c r="H88" s="16"/>
    </row>
    <row r="89" spans="2:8">
      <c r="B89" s="5"/>
      <c r="H89" s="16"/>
    </row>
    <row r="90" spans="2:8">
      <c r="B90" s="5"/>
      <c r="H90" s="16"/>
    </row>
    <row r="91" spans="2:8">
      <c r="B91" s="5"/>
      <c r="H91" s="16"/>
    </row>
    <row r="92" spans="2:8">
      <c r="B92" s="5"/>
      <c r="H92" s="16"/>
    </row>
    <row r="93" spans="2:8">
      <c r="B93" s="5"/>
      <c r="H93" s="16"/>
    </row>
    <row r="94" spans="2:8">
      <c r="B94" s="5"/>
      <c r="H94" s="16"/>
    </row>
    <row r="95" spans="2:8">
      <c r="B95" s="5"/>
      <c r="H95" s="16"/>
    </row>
    <row r="96" spans="2:8">
      <c r="B96" s="5"/>
      <c r="H96" s="16"/>
    </row>
    <row r="97" spans="2:8">
      <c r="B97" s="5"/>
      <c r="H97" s="16"/>
    </row>
    <row r="98" spans="2:8">
      <c r="B98" s="5"/>
      <c r="H98" s="16"/>
    </row>
    <row r="99" spans="2:8">
      <c r="B99" s="5"/>
      <c r="H99" s="16"/>
    </row>
    <row r="100" spans="2:8">
      <c r="B100" s="5"/>
      <c r="H100" s="16"/>
    </row>
    <row r="101" spans="2:8">
      <c r="B101" s="5"/>
      <c r="H101" s="16"/>
    </row>
    <row r="102" spans="2:8">
      <c r="B102" s="5"/>
      <c r="H102" s="16"/>
    </row>
    <row r="103" spans="2:8">
      <c r="B103" s="5"/>
      <c r="H103" s="16"/>
    </row>
    <row r="104" spans="2:8">
      <c r="B104" s="5"/>
      <c r="H104" s="16"/>
    </row>
    <row r="105" spans="2:8">
      <c r="B105" s="5"/>
      <c r="H105" s="16"/>
    </row>
    <row r="106" spans="2:8">
      <c r="B106" s="5"/>
      <c r="H106" s="16"/>
    </row>
    <row r="107" spans="2:8">
      <c r="B107" s="5"/>
      <c r="H107" s="16"/>
    </row>
    <row r="108" spans="2:8">
      <c r="B108" s="5"/>
      <c r="H108" s="16"/>
    </row>
    <row r="109" spans="2:8">
      <c r="B109" s="5"/>
      <c r="H109" s="16"/>
    </row>
    <row r="110" spans="2:8">
      <c r="B110" s="5"/>
      <c r="H110" s="16"/>
    </row>
    <row r="111" spans="2:8">
      <c r="B111" s="5"/>
      <c r="H111" s="16"/>
    </row>
    <row r="112" spans="2:8">
      <c r="B112" s="5"/>
      <c r="H112" s="16"/>
    </row>
    <row r="113" spans="2:8">
      <c r="B113" s="5"/>
      <c r="H113" s="16"/>
    </row>
    <row r="114" spans="2:8">
      <c r="B114" s="5"/>
      <c r="H114" s="16"/>
    </row>
    <row r="115" spans="2:8">
      <c r="B115" s="5"/>
      <c r="H115" s="16"/>
    </row>
    <row r="116" spans="2:8">
      <c r="B116" s="5"/>
      <c r="H116" s="16"/>
    </row>
    <row r="117" spans="2:8">
      <c r="B117" s="5"/>
      <c r="H117" s="16"/>
    </row>
    <row r="118" spans="2:8">
      <c r="B118" s="5"/>
      <c r="H118" s="16"/>
    </row>
    <row r="119" spans="2:8">
      <c r="B119" s="5"/>
      <c r="H119" s="16"/>
    </row>
    <row r="120" spans="2:8">
      <c r="B120" s="5"/>
      <c r="H120" s="16"/>
    </row>
    <row r="121" spans="2:8">
      <c r="B121" s="5"/>
      <c r="H121" s="16"/>
    </row>
    <row r="122" spans="2:8">
      <c r="B122" s="5"/>
      <c r="H122" s="16"/>
    </row>
    <row r="123" spans="2:8">
      <c r="B123" s="5"/>
      <c r="H123" s="16"/>
    </row>
    <row r="124" spans="2:8">
      <c r="B124" s="5"/>
      <c r="H124" s="16"/>
    </row>
    <row r="125" spans="2:8">
      <c r="B125" s="5"/>
      <c r="H125" s="16"/>
    </row>
    <row r="126" spans="2:8">
      <c r="B126" s="5"/>
      <c r="H126" s="16"/>
    </row>
    <row r="127" spans="2:8">
      <c r="B127" s="5"/>
      <c r="H127" s="16"/>
    </row>
    <row r="128" spans="2:8">
      <c r="B128" s="5"/>
      <c r="H128" s="16"/>
    </row>
    <row r="129" spans="2:8">
      <c r="B129" s="5"/>
      <c r="H129" s="16"/>
    </row>
    <row r="130" spans="2:8">
      <c r="B130" s="5"/>
      <c r="H130" s="16"/>
    </row>
    <row r="131" spans="2:8">
      <c r="B131" s="5"/>
      <c r="H131" s="16"/>
    </row>
    <row r="132" spans="2:8">
      <c r="B132" s="5"/>
      <c r="H132" s="16"/>
    </row>
    <row r="133" spans="2:8">
      <c r="B133" s="5"/>
      <c r="H133" s="16"/>
    </row>
    <row r="134" spans="2:8">
      <c r="B134" s="5"/>
      <c r="H134" s="16"/>
    </row>
    <row r="135" spans="2:8">
      <c r="B135" s="5"/>
      <c r="H135" s="16"/>
    </row>
    <row r="136" spans="2:8">
      <c r="B136" s="5"/>
      <c r="H136" s="16"/>
    </row>
    <row r="137" spans="2:8">
      <c r="B137" s="5"/>
      <c r="H137" s="16"/>
    </row>
    <row r="138" spans="2:8">
      <c r="B138" s="5"/>
      <c r="H138" s="16"/>
    </row>
    <row r="139" spans="2:8">
      <c r="B139" s="5"/>
      <c r="H139" s="16"/>
    </row>
    <row r="140" spans="2:8">
      <c r="B140" s="5"/>
      <c r="H140" s="16"/>
    </row>
    <row r="141" spans="2:8">
      <c r="B141" s="5"/>
      <c r="H141" s="16"/>
    </row>
    <row r="142" spans="2:8">
      <c r="B142" s="5"/>
      <c r="H142" s="16"/>
    </row>
    <row r="143" spans="2:8">
      <c r="B143" s="5"/>
      <c r="H143" s="16"/>
    </row>
    <row r="144" spans="2:8">
      <c r="B144" s="5"/>
      <c r="H144" s="16"/>
    </row>
    <row r="145" spans="2:8">
      <c r="B145" s="5"/>
      <c r="H145" s="16"/>
    </row>
    <row r="146" spans="2:8">
      <c r="B146" s="5"/>
      <c r="H146" s="16"/>
    </row>
    <row r="147" spans="2:8">
      <c r="B147" s="5"/>
      <c r="H147" s="16"/>
    </row>
    <row r="148" spans="2:8">
      <c r="B148" s="5"/>
      <c r="H148" s="16"/>
    </row>
    <row r="149" spans="2:8">
      <c r="B149" s="5"/>
      <c r="H149" s="16"/>
    </row>
    <row r="150" spans="2:8">
      <c r="B150" s="5"/>
      <c r="H150" s="16"/>
    </row>
    <row r="151" spans="2:8">
      <c r="B151" s="5"/>
      <c r="H151" s="16"/>
    </row>
    <row r="152" spans="2:8">
      <c r="B152" s="5"/>
      <c r="H152" s="16"/>
    </row>
    <row r="153" spans="2:8">
      <c r="B153" s="5"/>
      <c r="H153" s="16"/>
    </row>
    <row r="154" spans="2:8">
      <c r="B154" s="5"/>
      <c r="H154" s="16"/>
    </row>
    <row r="155" spans="2:8">
      <c r="B155" s="5"/>
      <c r="H155" s="16"/>
    </row>
    <row r="156" spans="2:8">
      <c r="B156" s="5"/>
      <c r="H156" s="16"/>
    </row>
    <row r="157" spans="2:8">
      <c r="B157" s="5"/>
      <c r="H157" s="16"/>
    </row>
    <row r="158" spans="2:8">
      <c r="B158" s="5"/>
      <c r="H158" s="16"/>
    </row>
    <row r="159" spans="2:8">
      <c r="B159" s="5"/>
      <c r="H159" s="16"/>
    </row>
    <row r="160" spans="2:8">
      <c r="B160" s="5"/>
      <c r="H160" s="16"/>
    </row>
    <row r="161" spans="2:8">
      <c r="B161" s="5"/>
      <c r="H161" s="16"/>
    </row>
    <row r="162" spans="2:8">
      <c r="B162" s="5"/>
      <c r="H162" s="16"/>
    </row>
    <row r="163" spans="2:8">
      <c r="B163" s="5"/>
      <c r="H163" s="16"/>
    </row>
    <row r="164" spans="2:8">
      <c r="B164" s="5"/>
      <c r="H164" s="16"/>
    </row>
    <row r="165" spans="2:8">
      <c r="B165" s="5"/>
      <c r="H165" s="16"/>
    </row>
    <row r="166" spans="2:8">
      <c r="B166" s="5"/>
      <c r="H166" s="16"/>
    </row>
    <row r="167" spans="2:8">
      <c r="B167" s="5"/>
      <c r="H167" s="16"/>
    </row>
    <row r="168" spans="2:8">
      <c r="B168" s="5"/>
      <c r="H168" s="16"/>
    </row>
    <row r="169" spans="2:8">
      <c r="B169" s="5"/>
      <c r="H169" s="16"/>
    </row>
    <row r="170" spans="2:8">
      <c r="B170" s="5"/>
      <c r="H170" s="16"/>
    </row>
    <row r="171" spans="2:8">
      <c r="B171" s="5"/>
      <c r="H171" s="16"/>
    </row>
    <row r="172" spans="2:8">
      <c r="B172" s="5"/>
      <c r="H172" s="16"/>
    </row>
    <row r="173" spans="2:8">
      <c r="B173" s="5"/>
      <c r="H173" s="16"/>
    </row>
    <row r="174" spans="2:8">
      <c r="B174" s="5"/>
      <c r="H174" s="16"/>
    </row>
    <row r="175" spans="2:8">
      <c r="B175" s="5"/>
      <c r="H175" s="16"/>
    </row>
    <row r="176" spans="2:8">
      <c r="B176" s="5"/>
      <c r="H176" s="16"/>
    </row>
    <row r="177" spans="2:8">
      <c r="B177" s="5"/>
      <c r="H177" s="16"/>
    </row>
    <row r="178" spans="2:8">
      <c r="B178" s="5"/>
      <c r="H178" s="16"/>
    </row>
    <row r="179" spans="2:8">
      <c r="B179" s="5"/>
      <c r="H179" s="16"/>
    </row>
    <row r="180" spans="2:8">
      <c r="B180" s="5"/>
      <c r="H180" s="16"/>
    </row>
    <row r="181" spans="2:8">
      <c r="B181" s="5"/>
      <c r="H181" s="16"/>
    </row>
    <row r="182" spans="2:8">
      <c r="B182" s="5"/>
      <c r="H182" s="16"/>
    </row>
    <row r="183" spans="2:8">
      <c r="B183" s="5"/>
      <c r="H183" s="16"/>
    </row>
    <row r="184" spans="2:8">
      <c r="B184" s="5"/>
      <c r="H184" s="16"/>
    </row>
    <row r="185" spans="2:8">
      <c r="B185" s="5"/>
      <c r="H185" s="16"/>
    </row>
    <row r="186" spans="2:8">
      <c r="B186" s="5"/>
      <c r="H186" s="16"/>
    </row>
    <row r="187" spans="2:8">
      <c r="B187" s="5"/>
      <c r="H187" s="16"/>
    </row>
    <row r="188" spans="2:8">
      <c r="B188" s="5"/>
      <c r="H188" s="16"/>
    </row>
    <row r="189" spans="2:8">
      <c r="B189" s="5"/>
      <c r="H189" s="16"/>
    </row>
    <row r="190" spans="2:8">
      <c r="B190" s="5"/>
      <c r="H190" s="16"/>
    </row>
    <row r="191" spans="2:8">
      <c r="B191" s="5"/>
      <c r="H191" s="16"/>
    </row>
    <row r="192" spans="2:8">
      <c r="B192" s="5"/>
      <c r="H192" s="16"/>
    </row>
    <row r="193" spans="2:8">
      <c r="B193" s="5"/>
      <c r="H193" s="16"/>
    </row>
    <row r="194" spans="2:8">
      <c r="B194" s="5"/>
      <c r="H194" s="16"/>
    </row>
    <row r="195" spans="2:8">
      <c r="B195" s="5"/>
      <c r="H195" s="16"/>
    </row>
    <row r="196" spans="2:8">
      <c r="B196" s="5"/>
      <c r="H196" s="16"/>
    </row>
    <row r="197" spans="2:8">
      <c r="B197" s="5"/>
      <c r="H197" s="16"/>
    </row>
    <row r="198" spans="2:8">
      <c r="B198" s="5"/>
      <c r="H198" s="16"/>
    </row>
    <row r="199" spans="2:8">
      <c r="B199" s="5"/>
      <c r="H199" s="16"/>
    </row>
    <row r="200" spans="2:8">
      <c r="B200" s="5"/>
      <c r="H200" s="16"/>
    </row>
    <row r="201" spans="2:8">
      <c r="B201" s="5"/>
      <c r="H201" s="16"/>
    </row>
    <row r="202" spans="2:8">
      <c r="B202" s="5"/>
      <c r="H202" s="16"/>
    </row>
    <row r="203" spans="2:8">
      <c r="B203" s="5"/>
      <c r="H203" s="16"/>
    </row>
    <row r="204" spans="2:8">
      <c r="B204" s="5"/>
      <c r="H204" s="16"/>
    </row>
    <row r="205" spans="2:8">
      <c r="B205" s="5"/>
      <c r="H205" s="16"/>
    </row>
    <row r="206" spans="2:8">
      <c r="B206" s="5"/>
      <c r="H206" s="16"/>
    </row>
    <row r="207" spans="2:8">
      <c r="B207" s="5"/>
      <c r="H207" s="16"/>
    </row>
    <row r="208" spans="2:8">
      <c r="B208" s="5"/>
      <c r="H208" s="16"/>
    </row>
    <row r="209" spans="2:8">
      <c r="B209" s="5"/>
      <c r="H209" s="16"/>
    </row>
    <row r="210" spans="2:8">
      <c r="B210" s="5"/>
      <c r="H210" s="16"/>
    </row>
    <row r="211" spans="2:8">
      <c r="B211" s="5"/>
      <c r="H211" s="16"/>
    </row>
    <row r="212" spans="2:8">
      <c r="B212" s="5"/>
      <c r="H212" s="16"/>
    </row>
    <row r="213" spans="2:8">
      <c r="B213" s="5"/>
      <c r="H213" s="16"/>
    </row>
    <row r="214" spans="2:8">
      <c r="B214" s="5"/>
      <c r="H214" s="16"/>
    </row>
    <row r="215" spans="2:8">
      <c r="B215" s="5"/>
      <c r="H215" s="16"/>
    </row>
    <row r="216" spans="2:8">
      <c r="B216" s="5"/>
      <c r="H216" s="16"/>
    </row>
    <row r="217" spans="2:8">
      <c r="B217" s="5"/>
      <c r="H217" s="16"/>
    </row>
    <row r="218" spans="2:8">
      <c r="B218" s="5"/>
      <c r="H218" s="16"/>
    </row>
    <row r="219" spans="2:8">
      <c r="B219" s="5"/>
      <c r="H219" s="16"/>
    </row>
    <row r="220" spans="2:8">
      <c r="B220" s="5"/>
      <c r="H220" s="16"/>
    </row>
    <row r="221" spans="2:8">
      <c r="B221" s="5"/>
      <c r="H221" s="16"/>
    </row>
    <row r="222" spans="2:8">
      <c r="B222" s="5"/>
      <c r="H222" s="16"/>
    </row>
    <row r="223" spans="2:8">
      <c r="B223" s="5"/>
      <c r="H223" s="16"/>
    </row>
    <row r="224" spans="2:8">
      <c r="B224" s="5"/>
      <c r="H224" s="16"/>
    </row>
    <row r="225" spans="2:8">
      <c r="B225" s="5"/>
      <c r="H225" s="16"/>
    </row>
    <row r="226" spans="2:8">
      <c r="B226" s="5"/>
      <c r="H226" s="16"/>
    </row>
    <row r="227" spans="2:8">
      <c r="B227" s="5"/>
      <c r="H227" s="16"/>
    </row>
    <row r="228" spans="2:8">
      <c r="B228" s="5"/>
      <c r="H228" s="16"/>
    </row>
    <row r="229" spans="2:8">
      <c r="B229" s="5"/>
      <c r="H229" s="16"/>
    </row>
    <row r="230" spans="2:8">
      <c r="B230" s="5"/>
      <c r="H230" s="16"/>
    </row>
    <row r="231" spans="2:8">
      <c r="B231" s="5"/>
      <c r="H231" s="16"/>
    </row>
    <row r="232" spans="2:8">
      <c r="B232" s="5"/>
      <c r="H232" s="16"/>
    </row>
    <row r="233" spans="2:8">
      <c r="B233" s="5"/>
      <c r="H233" s="16"/>
    </row>
    <row r="234" spans="2:8">
      <c r="B234" s="5"/>
      <c r="H234" s="16"/>
    </row>
    <row r="235" spans="2:8">
      <c r="B235" s="5"/>
      <c r="H235" s="16"/>
    </row>
    <row r="236" spans="2:8">
      <c r="B236" s="5"/>
      <c r="H236" s="16"/>
    </row>
    <row r="237" spans="2:8">
      <c r="B237" s="5"/>
      <c r="H237" s="16"/>
    </row>
    <row r="238" spans="2:8">
      <c r="B238" s="5"/>
      <c r="H238" s="16"/>
    </row>
    <row r="239" spans="2:8">
      <c r="B239" s="5"/>
      <c r="H239" s="16"/>
    </row>
    <row r="240" spans="2:8">
      <c r="B240" s="5"/>
      <c r="H240" s="16"/>
    </row>
    <row r="241" spans="2:8">
      <c r="B241" s="5"/>
      <c r="H241" s="16"/>
    </row>
    <row r="242" spans="2:8">
      <c r="B242" s="5"/>
      <c r="H242" s="16"/>
    </row>
    <row r="243" spans="2:8">
      <c r="B243" s="5"/>
      <c r="H243" s="16"/>
    </row>
    <row r="244" spans="2:8">
      <c r="B244" s="5"/>
      <c r="H244" s="16"/>
    </row>
    <row r="245" spans="2:8">
      <c r="B245" s="5"/>
      <c r="H245" s="16"/>
    </row>
    <row r="246" spans="2:8">
      <c r="B246" s="5"/>
      <c r="H246" s="16"/>
    </row>
    <row r="247" spans="2:8">
      <c r="B247" s="5"/>
      <c r="H247" s="16"/>
    </row>
    <row r="248" spans="2:8">
      <c r="B248" s="5"/>
      <c r="H248" s="16"/>
    </row>
    <row r="249" spans="2:8">
      <c r="B249" s="5"/>
      <c r="H249" s="16"/>
    </row>
    <row r="250" spans="2:8">
      <c r="B250" s="5"/>
      <c r="H250" s="16"/>
    </row>
    <row r="251" spans="2:8">
      <c r="B251" s="5"/>
      <c r="H251" s="16"/>
    </row>
    <row r="252" spans="2:8">
      <c r="B252" s="5"/>
      <c r="H252" s="16"/>
    </row>
    <row r="253" spans="2:8">
      <c r="B253" s="5"/>
      <c r="H253" s="16"/>
    </row>
    <row r="254" spans="2:8">
      <c r="B254" s="5"/>
      <c r="H254" s="16"/>
    </row>
    <row r="255" spans="2:8">
      <c r="B255" s="5"/>
      <c r="H255" s="16"/>
    </row>
    <row r="256" spans="2:8">
      <c r="B256" s="5"/>
      <c r="H256" s="16"/>
    </row>
    <row r="257" spans="2:8">
      <c r="B257" s="5"/>
      <c r="H257" s="16"/>
    </row>
    <row r="258" spans="2:8">
      <c r="B258" s="5"/>
      <c r="H258" s="16"/>
    </row>
    <row r="259" spans="2:8">
      <c r="B259" s="5"/>
      <c r="H259" s="16"/>
    </row>
    <row r="260" spans="2:8">
      <c r="B260" s="5"/>
      <c r="H260" s="16"/>
    </row>
    <row r="261" spans="2:8">
      <c r="B261" s="5"/>
      <c r="H261" s="16"/>
    </row>
    <row r="262" spans="2:8">
      <c r="B262" s="5"/>
      <c r="H262" s="16"/>
    </row>
    <row r="263" spans="2:8">
      <c r="B263" s="5"/>
      <c r="H263" s="16"/>
    </row>
    <row r="264" spans="2:8">
      <c r="B264" s="5"/>
      <c r="H264" s="16"/>
    </row>
    <row r="265" spans="2:8">
      <c r="B265" s="5"/>
      <c r="H265" s="16"/>
    </row>
    <row r="266" spans="2:8">
      <c r="B266" s="5"/>
      <c r="H266" s="16"/>
    </row>
    <row r="267" spans="2:8">
      <c r="B267" s="5"/>
      <c r="H267" s="16"/>
    </row>
    <row r="268" spans="2:8">
      <c r="B268" s="5"/>
      <c r="H268" s="16"/>
    </row>
    <row r="269" spans="2:8">
      <c r="B269" s="5"/>
      <c r="H269" s="16"/>
    </row>
    <row r="270" spans="2:8">
      <c r="B270" s="5"/>
      <c r="H270" s="16"/>
    </row>
    <row r="271" spans="2:8">
      <c r="B271" s="5"/>
      <c r="H271" s="16"/>
    </row>
    <row r="272" spans="2:8">
      <c r="B272" s="5"/>
      <c r="H272" s="16"/>
    </row>
    <row r="273" spans="2:8">
      <c r="B273" s="5"/>
      <c r="H273" s="16"/>
    </row>
    <row r="274" spans="2:8">
      <c r="B274" s="5"/>
      <c r="H274" s="16"/>
    </row>
    <row r="275" spans="2:8">
      <c r="B275" s="5"/>
      <c r="H275" s="16"/>
    </row>
    <row r="276" spans="2:8">
      <c r="B276" s="5"/>
      <c r="H276" s="16"/>
    </row>
    <row r="277" spans="2:8">
      <c r="B277" s="5"/>
      <c r="H277" s="16"/>
    </row>
    <row r="278" spans="2:8">
      <c r="B278" s="5"/>
      <c r="H278" s="16"/>
    </row>
    <row r="279" spans="2:8">
      <c r="B279" s="5"/>
      <c r="H279" s="16"/>
    </row>
    <row r="280" spans="2:8">
      <c r="B280" s="5"/>
      <c r="H280" s="16"/>
    </row>
    <row r="281" spans="2:8">
      <c r="B281" s="5"/>
      <c r="H281" s="16"/>
    </row>
    <row r="282" spans="2:8">
      <c r="B282" s="5"/>
      <c r="H282" s="16"/>
    </row>
    <row r="283" spans="2:8">
      <c r="B283" s="5"/>
      <c r="H283" s="16"/>
    </row>
    <row r="284" spans="2:8">
      <c r="B284" s="5"/>
      <c r="H284" s="16"/>
    </row>
    <row r="285" spans="2:8">
      <c r="B285" s="5"/>
      <c r="H285" s="16"/>
    </row>
    <row r="286" spans="2:8">
      <c r="B286" s="5"/>
      <c r="H286" s="16"/>
    </row>
    <row r="287" spans="2:8">
      <c r="B287" s="5"/>
      <c r="H287" s="16"/>
    </row>
    <row r="288" spans="2:8">
      <c r="B288" s="5"/>
      <c r="H288" s="16"/>
    </row>
    <row r="289" spans="2:8">
      <c r="B289" s="5"/>
      <c r="H289" s="16"/>
    </row>
    <row r="290" spans="2:8">
      <c r="B290" s="5"/>
      <c r="H290" s="16"/>
    </row>
    <row r="291" spans="2:8">
      <c r="B291" s="5"/>
      <c r="H291" s="16"/>
    </row>
    <row r="292" spans="2:8">
      <c r="B292" s="5"/>
      <c r="H292" s="16"/>
    </row>
    <row r="293" spans="2:8">
      <c r="B293" s="5"/>
      <c r="H293" s="16"/>
    </row>
    <row r="294" spans="2:8">
      <c r="B294" s="5"/>
      <c r="H294" s="16"/>
    </row>
    <row r="295" spans="2:8">
      <c r="B295" s="5"/>
      <c r="H295" s="16"/>
    </row>
    <row r="296" spans="2:8">
      <c r="B296" s="5"/>
      <c r="H296" s="16"/>
    </row>
    <row r="297" spans="2:8">
      <c r="B297" s="5"/>
      <c r="H297" s="16"/>
    </row>
    <row r="298" spans="2:8">
      <c r="B298" s="5"/>
      <c r="H298" s="16"/>
    </row>
    <row r="299" spans="2:8">
      <c r="B299" s="5"/>
      <c r="H299" s="16"/>
    </row>
    <row r="300" spans="2:8">
      <c r="B300" s="5"/>
      <c r="H300" s="16"/>
    </row>
    <row r="301" spans="2:8">
      <c r="B301" s="5"/>
      <c r="H301" s="16"/>
    </row>
    <row r="302" spans="2:8">
      <c r="B302" s="5"/>
      <c r="H302" s="16"/>
    </row>
    <row r="303" spans="2:8">
      <c r="B303" s="5"/>
      <c r="H303" s="16"/>
    </row>
    <row r="304" spans="2:8">
      <c r="B304" s="5"/>
      <c r="H304" s="16"/>
    </row>
    <row r="305" spans="2:8">
      <c r="B305" s="5"/>
      <c r="H305" s="16"/>
    </row>
    <row r="306" spans="2:8">
      <c r="B306" s="5"/>
      <c r="H306" s="16"/>
    </row>
    <row r="307" spans="2:8">
      <c r="B307" s="5"/>
      <c r="H307" s="16"/>
    </row>
    <row r="308" spans="2:8">
      <c r="B308" s="5"/>
      <c r="H308" s="16"/>
    </row>
    <row r="309" spans="2:8">
      <c r="B309" s="5"/>
      <c r="H309" s="16"/>
    </row>
    <row r="310" spans="2:8">
      <c r="B310" s="5"/>
      <c r="H310" s="16"/>
    </row>
    <row r="311" spans="2:8">
      <c r="B311" s="5"/>
      <c r="H311" s="16"/>
    </row>
    <row r="312" spans="2:8">
      <c r="B312" s="5"/>
      <c r="H312" s="16"/>
    </row>
    <row r="313" spans="2:8">
      <c r="B313" s="5"/>
      <c r="H313" s="16"/>
    </row>
    <row r="314" spans="2:8">
      <c r="B314" s="5"/>
      <c r="H314" s="16"/>
    </row>
    <row r="315" spans="2:8">
      <c r="B315" s="5"/>
      <c r="H315" s="16"/>
    </row>
    <row r="316" spans="2:8">
      <c r="B316" s="5"/>
      <c r="H316" s="16"/>
    </row>
    <row r="317" spans="2:8">
      <c r="B317" s="5"/>
      <c r="H317" s="16"/>
    </row>
    <row r="318" spans="2:8">
      <c r="B318" s="5"/>
      <c r="H318" s="16"/>
    </row>
    <row r="319" spans="2:8">
      <c r="B319" s="5"/>
      <c r="H319" s="16"/>
    </row>
    <row r="320" spans="2:8">
      <c r="B320" s="5"/>
      <c r="H320" s="16"/>
    </row>
    <row r="321" spans="2:8">
      <c r="B321" s="5"/>
      <c r="H321" s="16"/>
    </row>
    <row r="322" spans="2:8">
      <c r="B322" s="5"/>
      <c r="H322" s="16"/>
    </row>
    <row r="323" spans="2:8">
      <c r="B323" s="5"/>
      <c r="H323" s="16"/>
    </row>
    <row r="324" spans="2:8">
      <c r="B324" s="5"/>
      <c r="H324" s="16"/>
    </row>
    <row r="325" spans="2:8">
      <c r="B325" s="5"/>
      <c r="H325" s="16"/>
    </row>
    <row r="326" spans="2:8">
      <c r="B326" s="5"/>
      <c r="H326" s="16"/>
    </row>
    <row r="327" spans="2:8">
      <c r="B327" s="5"/>
      <c r="H327" s="16"/>
    </row>
    <row r="328" spans="2:8">
      <c r="B328" s="5"/>
      <c r="H328" s="16"/>
    </row>
    <row r="329" spans="2:8">
      <c r="B329" s="5"/>
      <c r="H329" s="16"/>
    </row>
    <row r="330" spans="2:8">
      <c r="B330" s="5"/>
      <c r="H330" s="16"/>
    </row>
    <row r="331" spans="2:8">
      <c r="B331" s="5"/>
      <c r="H331" s="16"/>
    </row>
    <row r="332" spans="2:8">
      <c r="B332" s="5"/>
      <c r="H332" s="16"/>
    </row>
    <row r="333" spans="2:8">
      <c r="B333" s="5"/>
      <c r="H333" s="16"/>
    </row>
    <row r="334" spans="2:8">
      <c r="B334" s="5"/>
      <c r="H334" s="16"/>
    </row>
    <row r="335" spans="2:8">
      <c r="B335" s="5"/>
      <c r="H335" s="16"/>
    </row>
    <row r="336" spans="2:8">
      <c r="B336" s="5"/>
      <c r="H336" s="16"/>
    </row>
    <row r="337" spans="2:8">
      <c r="B337" s="5"/>
      <c r="H337" s="16"/>
    </row>
    <row r="338" spans="2:8">
      <c r="B338" s="5"/>
      <c r="H338" s="16"/>
    </row>
    <row r="339" spans="2:8">
      <c r="B339" s="5"/>
      <c r="H339" s="16"/>
    </row>
    <row r="340" spans="2:8">
      <c r="B340" s="5"/>
      <c r="H340" s="16"/>
    </row>
    <row r="341" spans="2:8">
      <c r="B341" s="5"/>
      <c r="H341" s="16"/>
    </row>
    <row r="342" spans="2:8">
      <c r="B342" s="5"/>
      <c r="H342" s="16"/>
    </row>
    <row r="343" spans="2:8">
      <c r="B343" s="5"/>
      <c r="H343" s="16"/>
    </row>
    <row r="344" spans="2:8">
      <c r="B344" s="5"/>
      <c r="H344" s="16"/>
    </row>
    <row r="345" spans="2:8">
      <c r="B345" s="5"/>
      <c r="H345" s="16"/>
    </row>
    <row r="346" spans="2:8">
      <c r="B346" s="5"/>
      <c r="H346" s="16"/>
    </row>
    <row r="347" spans="2:8">
      <c r="B347" s="5"/>
      <c r="H347" s="16"/>
    </row>
    <row r="348" spans="2:8">
      <c r="B348" s="5"/>
      <c r="H348" s="16"/>
    </row>
    <row r="349" spans="2:8">
      <c r="B349" s="5"/>
      <c r="H349" s="16"/>
    </row>
    <row r="350" spans="2:8">
      <c r="B350" s="5"/>
      <c r="H350" s="16"/>
    </row>
    <row r="351" spans="2:8">
      <c r="B351" s="5"/>
      <c r="H351" s="16"/>
    </row>
    <row r="352" spans="2:8">
      <c r="B352" s="5"/>
      <c r="H352" s="16"/>
    </row>
    <row r="353" spans="2:8">
      <c r="B353" s="5"/>
      <c r="H353" s="16"/>
    </row>
    <row r="354" spans="2:8">
      <c r="B354" s="5"/>
      <c r="H354" s="16"/>
    </row>
    <row r="355" spans="2:8">
      <c r="B355" s="5"/>
      <c r="H355" s="16"/>
    </row>
    <row r="356" spans="2:8">
      <c r="B356" s="5"/>
      <c r="H356" s="16"/>
    </row>
    <row r="357" spans="2:8">
      <c r="B357" s="5"/>
      <c r="H357" s="16"/>
    </row>
    <row r="358" spans="2:8">
      <c r="B358" s="5"/>
      <c r="H358" s="16"/>
    </row>
    <row r="359" spans="2:8">
      <c r="B359" s="5"/>
      <c r="H359" s="16"/>
    </row>
    <row r="360" spans="2:8">
      <c r="B360" s="5"/>
      <c r="H360" s="16"/>
    </row>
    <row r="361" spans="2:8">
      <c r="B361" s="5"/>
      <c r="H361" s="16"/>
    </row>
    <row r="362" spans="2:8">
      <c r="B362" s="5"/>
      <c r="H362" s="16"/>
    </row>
    <row r="363" spans="2:8">
      <c r="B363" s="5"/>
      <c r="H363" s="16"/>
    </row>
    <row r="364" spans="2:8">
      <c r="B364" s="5"/>
      <c r="H364" s="16"/>
    </row>
    <row r="365" spans="2:8">
      <c r="B365" s="5"/>
      <c r="H365" s="16"/>
    </row>
    <row r="366" spans="2:8">
      <c r="B366" s="5"/>
      <c r="H366" s="16"/>
    </row>
    <row r="367" spans="2:8">
      <c r="B367" s="5"/>
      <c r="H367" s="16"/>
    </row>
    <row r="368" spans="2:8">
      <c r="B368" s="5"/>
      <c r="H368" s="16"/>
    </row>
    <row r="369" spans="2:8">
      <c r="B369" s="5"/>
      <c r="H369" s="16"/>
    </row>
    <row r="370" spans="2:8">
      <c r="B370" s="5"/>
      <c r="H370" s="16"/>
    </row>
    <row r="371" spans="2:8">
      <c r="B371" s="5"/>
      <c r="H371" s="16"/>
    </row>
    <row r="372" spans="2:8">
      <c r="B372" s="5"/>
      <c r="H372" s="16"/>
    </row>
    <row r="373" spans="2:8">
      <c r="B373" s="5"/>
      <c r="H373" s="16"/>
    </row>
    <row r="374" spans="2:8">
      <c r="B374" s="5"/>
      <c r="H374" s="16"/>
    </row>
    <row r="375" spans="2:8">
      <c r="B375" s="5"/>
      <c r="H375" s="16"/>
    </row>
    <row r="376" spans="2:8">
      <c r="B376" s="5"/>
      <c r="H376" s="16"/>
    </row>
    <row r="377" spans="2:8">
      <c r="B377" s="5"/>
      <c r="H377" s="16"/>
    </row>
    <row r="378" spans="2:8">
      <c r="B378" s="5"/>
      <c r="H378" s="16"/>
    </row>
    <row r="379" spans="2:8">
      <c r="B379" s="5"/>
      <c r="H379" s="16"/>
    </row>
    <row r="380" spans="2:8">
      <c r="B380" s="5"/>
      <c r="H380" s="16"/>
    </row>
    <row r="381" spans="2:8">
      <c r="B381" s="5"/>
      <c r="H381" s="16"/>
    </row>
    <row r="382" spans="2:8">
      <c r="B382" s="5"/>
      <c r="H382" s="16"/>
    </row>
    <row r="383" spans="2:8">
      <c r="B383" s="5"/>
      <c r="H383" s="16"/>
    </row>
    <row r="384" spans="2:8">
      <c r="B384" s="5"/>
      <c r="H384" s="16"/>
    </row>
    <row r="385" spans="2:8">
      <c r="B385" s="5"/>
      <c r="H385" s="16"/>
    </row>
    <row r="386" spans="2:8">
      <c r="B386" s="5"/>
      <c r="H386" s="16"/>
    </row>
    <row r="387" spans="2:8">
      <c r="B387" s="5"/>
      <c r="H387" s="16"/>
    </row>
    <row r="388" spans="2:8">
      <c r="B388" s="5"/>
      <c r="H388" s="16"/>
    </row>
    <row r="389" spans="2:8">
      <c r="B389" s="5"/>
      <c r="H389" s="16"/>
    </row>
    <row r="390" spans="2:8">
      <c r="B390" s="5"/>
      <c r="H390" s="16"/>
    </row>
    <row r="391" spans="2:8">
      <c r="B391" s="5"/>
      <c r="H391" s="16"/>
    </row>
    <row r="392" spans="2:8">
      <c r="B392" s="5"/>
      <c r="H392" s="16"/>
    </row>
    <row r="393" spans="2:8">
      <c r="B393" s="5"/>
      <c r="H393" s="16"/>
    </row>
    <row r="394" spans="2:8">
      <c r="B394" s="5"/>
      <c r="H394" s="16"/>
    </row>
    <row r="395" spans="2:8">
      <c r="B395" s="5"/>
      <c r="H395" s="16"/>
    </row>
    <row r="396" spans="2:8">
      <c r="B396" s="5"/>
      <c r="H396" s="16"/>
    </row>
    <row r="397" spans="2:8">
      <c r="B397" s="5"/>
      <c r="H397" s="16"/>
    </row>
    <row r="398" spans="2:8">
      <c r="B398" s="5"/>
      <c r="H398" s="16"/>
    </row>
    <row r="399" spans="2:8">
      <c r="B399" s="5"/>
      <c r="H399" s="16"/>
    </row>
    <row r="400" spans="2:8">
      <c r="B400" s="5"/>
      <c r="H400" s="16"/>
    </row>
    <row r="401" spans="2:8">
      <c r="B401" s="5"/>
      <c r="H401" s="16"/>
    </row>
    <row r="402" spans="2:8">
      <c r="B402" s="5"/>
      <c r="H402" s="16"/>
    </row>
    <row r="403" spans="2:8">
      <c r="B403" s="5"/>
      <c r="H403" s="16"/>
    </row>
    <row r="404" spans="2:8">
      <c r="B404" s="5"/>
      <c r="H404" s="16"/>
    </row>
    <row r="405" spans="2:8">
      <c r="B405" s="5"/>
      <c r="H405" s="16"/>
    </row>
    <row r="406" spans="2:8">
      <c r="B406" s="5"/>
      <c r="H406" s="16"/>
    </row>
    <row r="407" spans="2:8">
      <c r="B407" s="5"/>
      <c r="H407" s="16"/>
    </row>
    <row r="408" spans="2:8">
      <c r="B408" s="5"/>
      <c r="H408" s="16"/>
    </row>
    <row r="409" spans="2:8">
      <c r="B409" s="5"/>
      <c r="H409" s="16"/>
    </row>
    <row r="410" spans="2:8">
      <c r="B410" s="5"/>
      <c r="H410" s="16"/>
    </row>
    <row r="411" spans="2:8">
      <c r="B411" s="5"/>
      <c r="H411" s="16"/>
    </row>
    <row r="412" spans="2:8">
      <c r="B412" s="5"/>
      <c r="H412" s="16"/>
    </row>
    <row r="413" spans="2:8">
      <c r="B413" s="5"/>
      <c r="H413" s="16"/>
    </row>
    <row r="414" spans="2:8">
      <c r="B414" s="5"/>
      <c r="H414" s="16"/>
    </row>
    <row r="415" spans="2:8">
      <c r="B415" s="5"/>
      <c r="H415" s="16"/>
    </row>
    <row r="416" spans="2:8">
      <c r="B416" s="5"/>
      <c r="H416" s="16"/>
    </row>
    <row r="417" spans="2:8">
      <c r="B417" s="5"/>
      <c r="H417" s="16"/>
    </row>
    <row r="418" spans="2:8">
      <c r="B418" s="5"/>
      <c r="H418" s="16"/>
    </row>
    <row r="419" spans="2:8">
      <c r="B419" s="5"/>
      <c r="H419" s="16"/>
    </row>
    <row r="420" spans="2:8">
      <c r="B420" s="5"/>
      <c r="H420" s="16"/>
    </row>
    <row r="421" spans="2:8">
      <c r="B421" s="5"/>
      <c r="H421" s="16"/>
    </row>
    <row r="422" spans="2:8">
      <c r="B422" s="5"/>
      <c r="H422" s="16"/>
    </row>
    <row r="423" spans="2:8">
      <c r="B423" s="5"/>
      <c r="H423" s="16"/>
    </row>
    <row r="424" spans="2:8">
      <c r="B424" s="5"/>
      <c r="H424" s="16"/>
    </row>
    <row r="425" spans="2:8">
      <c r="B425" s="5"/>
      <c r="H425" s="16"/>
    </row>
    <row r="426" spans="2:8">
      <c r="B426" s="5"/>
      <c r="H426" s="16"/>
    </row>
    <row r="427" spans="2:8">
      <c r="B427" s="5"/>
      <c r="H427" s="16"/>
    </row>
    <row r="428" spans="2:8">
      <c r="B428" s="5"/>
      <c r="H428" s="16"/>
    </row>
    <row r="429" spans="2:8">
      <c r="B429" s="5"/>
      <c r="H429" s="16"/>
    </row>
    <row r="430" spans="2:8">
      <c r="B430" s="5"/>
      <c r="H430" s="16"/>
    </row>
    <row r="431" spans="2:8">
      <c r="B431" s="5"/>
      <c r="H431" s="16"/>
    </row>
    <row r="432" spans="2:8">
      <c r="B432" s="5"/>
      <c r="H432" s="16"/>
    </row>
    <row r="433" spans="2:8">
      <c r="B433" s="5"/>
      <c r="H433" s="16"/>
    </row>
    <row r="434" spans="2:8">
      <c r="B434" s="5"/>
      <c r="H434" s="16"/>
    </row>
    <row r="435" spans="2:8">
      <c r="B435" s="5"/>
      <c r="H435" s="16"/>
    </row>
    <row r="436" spans="2:8">
      <c r="B436" s="5"/>
      <c r="H436" s="16"/>
    </row>
    <row r="437" spans="2:8">
      <c r="B437" s="5"/>
      <c r="H437" s="16"/>
    </row>
    <row r="438" spans="2:8">
      <c r="B438" s="5"/>
      <c r="H438" s="16"/>
    </row>
    <row r="439" spans="2:8">
      <c r="B439" s="5"/>
      <c r="H439" s="16"/>
    </row>
    <row r="440" spans="2:8">
      <c r="B440" s="5"/>
      <c r="H440" s="16"/>
    </row>
    <row r="441" spans="2:8">
      <c r="B441" s="5"/>
      <c r="H441" s="16"/>
    </row>
    <row r="442" spans="2:8">
      <c r="B442" s="5"/>
      <c r="H442" s="16"/>
    </row>
    <row r="443" spans="2:8">
      <c r="B443" s="5"/>
      <c r="H443" s="16"/>
    </row>
    <row r="444" spans="2:8">
      <c r="B444" s="5"/>
      <c r="H444" s="16"/>
    </row>
    <row r="445" spans="2:8">
      <c r="B445" s="5"/>
      <c r="H445" s="16"/>
    </row>
    <row r="446" spans="2:8">
      <c r="B446" s="5"/>
      <c r="H446" s="16"/>
    </row>
    <row r="447" spans="2:8">
      <c r="B447" s="5"/>
      <c r="H447" s="16"/>
    </row>
    <row r="448" spans="2:8">
      <c r="B448" s="5"/>
      <c r="H448" s="16"/>
    </row>
    <row r="449" spans="2:8">
      <c r="B449" s="5"/>
      <c r="H449" s="16"/>
    </row>
    <row r="450" spans="2:8">
      <c r="B450" s="5"/>
      <c r="H450" s="16"/>
    </row>
    <row r="451" spans="2:8">
      <c r="B451" s="5"/>
      <c r="H451" s="16"/>
    </row>
    <row r="452" spans="2:8">
      <c r="B452" s="5"/>
      <c r="H452" s="16"/>
    </row>
    <row r="453" spans="2:8">
      <c r="B453" s="5"/>
      <c r="H453" s="16"/>
    </row>
    <row r="454" spans="2:8">
      <c r="B454" s="5"/>
      <c r="H454" s="16"/>
    </row>
    <row r="455" spans="2:8">
      <c r="B455" s="5"/>
      <c r="H455" s="16"/>
    </row>
    <row r="456" spans="2:8">
      <c r="B456" s="5"/>
      <c r="H456" s="16"/>
    </row>
    <row r="457" spans="2:8">
      <c r="B457" s="5"/>
      <c r="H457" s="16"/>
    </row>
    <row r="458" spans="2:8">
      <c r="B458" s="5"/>
      <c r="H458" s="16"/>
    </row>
    <row r="459" spans="2:8">
      <c r="B459" s="5"/>
      <c r="H459" s="16"/>
    </row>
    <row r="460" spans="2:8">
      <c r="B460" s="5"/>
      <c r="H460" s="16"/>
    </row>
    <row r="461" spans="2:8">
      <c r="B461" s="5"/>
      <c r="H461" s="16"/>
    </row>
    <row r="462" spans="2:8">
      <c r="B462" s="5"/>
      <c r="H462" s="16"/>
    </row>
    <row r="463" spans="2:8">
      <c r="B463" s="5"/>
      <c r="H463" s="16"/>
    </row>
    <row r="464" spans="2:8">
      <c r="B464" s="5"/>
      <c r="H464" s="16"/>
    </row>
    <row r="465" spans="2:8">
      <c r="B465" s="5"/>
      <c r="H465" s="16"/>
    </row>
    <row r="466" spans="2:8">
      <c r="B466" s="5"/>
      <c r="H466" s="16"/>
    </row>
    <row r="467" spans="2:8">
      <c r="B467" s="5"/>
      <c r="H467" s="16"/>
    </row>
    <row r="468" spans="2:8">
      <c r="B468" s="5"/>
      <c r="H468" s="16"/>
    </row>
    <row r="469" spans="2:8">
      <c r="B469" s="5"/>
      <c r="H469" s="16"/>
    </row>
    <row r="470" spans="2:8">
      <c r="B470" s="5"/>
      <c r="H470" s="16"/>
    </row>
    <row r="471" spans="2:8">
      <c r="B471" s="5"/>
      <c r="H471" s="16"/>
    </row>
    <row r="472" spans="2:8">
      <c r="B472" s="5"/>
      <c r="H472" s="16"/>
    </row>
    <row r="473" spans="2:8">
      <c r="B473" s="5"/>
      <c r="H473" s="16"/>
    </row>
    <row r="474" spans="2:8">
      <c r="B474" s="5"/>
      <c r="H474" s="16"/>
    </row>
    <row r="475" spans="2:8">
      <c r="B475" s="5"/>
      <c r="H475" s="16"/>
    </row>
    <row r="476" spans="2:8">
      <c r="B476" s="5"/>
      <c r="H476" s="16"/>
    </row>
    <row r="477" spans="2:8">
      <c r="B477" s="5"/>
      <c r="H477" s="16"/>
    </row>
    <row r="478" spans="2:8">
      <c r="B478" s="5"/>
      <c r="H478" s="16"/>
    </row>
    <row r="479" spans="2:8">
      <c r="B479" s="5"/>
      <c r="H479" s="16"/>
    </row>
    <row r="480" spans="2:8">
      <c r="B480" s="5"/>
      <c r="H480" s="16"/>
    </row>
    <row r="481" spans="2:8">
      <c r="B481" s="5"/>
      <c r="H481" s="16"/>
    </row>
    <row r="482" spans="2:8">
      <c r="B482" s="5"/>
      <c r="H482" s="16"/>
    </row>
    <row r="483" spans="2:8">
      <c r="B483" s="5"/>
      <c r="H483" s="16"/>
    </row>
    <row r="484" spans="2:8">
      <c r="B484" s="5"/>
      <c r="H484" s="16"/>
    </row>
    <row r="485" spans="2:8">
      <c r="B485" s="5"/>
      <c r="H485" s="16"/>
    </row>
    <row r="486" spans="2:8">
      <c r="B486" s="5"/>
      <c r="H486" s="16"/>
    </row>
    <row r="487" spans="2:8">
      <c r="B487" s="5"/>
      <c r="H487" s="16"/>
    </row>
    <row r="488" spans="2:8">
      <c r="B488" s="5"/>
      <c r="H488" s="16"/>
    </row>
    <row r="489" spans="2:8">
      <c r="B489" s="5"/>
      <c r="H489" s="16"/>
    </row>
    <row r="490" spans="2:8">
      <c r="B490" s="5"/>
      <c r="H490" s="16"/>
    </row>
    <row r="491" spans="2:8">
      <c r="B491" s="5"/>
      <c r="H491" s="16"/>
    </row>
    <row r="492" spans="2:8">
      <c r="B492" s="5"/>
      <c r="H492" s="16"/>
    </row>
    <row r="493" spans="2:8">
      <c r="B493" s="5"/>
      <c r="H493" s="16"/>
    </row>
    <row r="494" spans="2:8">
      <c r="B494" s="5"/>
      <c r="H494" s="16"/>
    </row>
    <row r="495" spans="2:8">
      <c r="B495" s="5"/>
      <c r="H495" s="16"/>
    </row>
    <row r="496" spans="2:8">
      <c r="B496" s="5"/>
      <c r="H496" s="16"/>
    </row>
    <row r="497" spans="2:8">
      <c r="B497" s="5"/>
      <c r="H497" s="16"/>
    </row>
    <row r="498" spans="2:8">
      <c r="B498" s="5"/>
      <c r="H498" s="16"/>
    </row>
    <row r="499" spans="2:8">
      <c r="B499" s="5"/>
      <c r="H499" s="16"/>
    </row>
    <row r="500" spans="2:8">
      <c r="B500" s="5"/>
      <c r="H500" s="16"/>
    </row>
    <row r="501" spans="2:8">
      <c r="B501" s="5"/>
      <c r="H501" s="16"/>
    </row>
    <row r="502" spans="2:8">
      <c r="B502" s="5"/>
      <c r="H502" s="16"/>
    </row>
    <row r="503" spans="2:8">
      <c r="B503" s="5"/>
      <c r="H503" s="16"/>
    </row>
    <row r="504" spans="2:8">
      <c r="B504" s="5"/>
      <c r="H504" s="16"/>
    </row>
    <row r="505" spans="2:8">
      <c r="B505" s="5"/>
      <c r="H505" s="16"/>
    </row>
    <row r="506" spans="2:8">
      <c r="B506" s="5"/>
      <c r="H506" s="16"/>
    </row>
    <row r="507" spans="2:8">
      <c r="B507" s="5"/>
      <c r="H507" s="16"/>
    </row>
    <row r="508" spans="2:8">
      <c r="B508" s="5"/>
      <c r="H508" s="16"/>
    </row>
    <row r="509" spans="2:8">
      <c r="B509" s="5"/>
      <c r="H509" s="16"/>
    </row>
    <row r="510" spans="2:8">
      <c r="B510" s="5"/>
      <c r="H510" s="16"/>
    </row>
    <row r="511" spans="2:8">
      <c r="B511" s="5"/>
      <c r="H511" s="16"/>
    </row>
    <row r="512" spans="2:8">
      <c r="B512" s="5"/>
      <c r="H512" s="16"/>
    </row>
    <row r="513" spans="2:8">
      <c r="B513" s="5"/>
      <c r="H513" s="16"/>
    </row>
    <row r="514" spans="2:8">
      <c r="B514" s="5"/>
      <c r="H514" s="16"/>
    </row>
    <row r="515" spans="2:8">
      <c r="B515" s="5"/>
      <c r="H515" s="16"/>
    </row>
    <row r="516" spans="2:8">
      <c r="B516" s="5"/>
      <c r="H516" s="16"/>
    </row>
    <row r="517" spans="2:8">
      <c r="B517" s="5"/>
      <c r="H517" s="16"/>
    </row>
    <row r="518" spans="2:8">
      <c r="B518" s="5"/>
      <c r="H518" s="16"/>
    </row>
    <row r="519" spans="2:8">
      <c r="B519" s="5"/>
      <c r="H519" s="16"/>
    </row>
    <row r="520" spans="2:8">
      <c r="B520" s="5"/>
      <c r="H520" s="16"/>
    </row>
    <row r="521" spans="2:8">
      <c r="B521" s="5"/>
      <c r="H521" s="16"/>
    </row>
    <row r="522" spans="2:8">
      <c r="B522" s="5"/>
      <c r="H522" s="16"/>
    </row>
    <row r="523" spans="2:8">
      <c r="B523" s="5"/>
      <c r="H523" s="16"/>
    </row>
    <row r="524" spans="2:8">
      <c r="B524" s="5"/>
      <c r="H524" s="16"/>
    </row>
    <row r="525" spans="2:8">
      <c r="B525" s="5"/>
      <c r="H525" s="16"/>
    </row>
    <row r="526" spans="2:8">
      <c r="B526" s="5"/>
      <c r="H526" s="16"/>
    </row>
    <row r="527" spans="2:8">
      <c r="B527" s="5"/>
      <c r="H527" s="16"/>
    </row>
    <row r="528" spans="2:8">
      <c r="B528" s="5"/>
      <c r="H528" s="16"/>
    </row>
    <row r="529" spans="2:8">
      <c r="B529" s="5"/>
      <c r="H529" s="16"/>
    </row>
    <row r="530" spans="2:8">
      <c r="B530" s="5"/>
      <c r="H530" s="16"/>
    </row>
    <row r="531" spans="2:8">
      <c r="B531" s="5"/>
      <c r="H531" s="16"/>
    </row>
    <row r="532" spans="2:8">
      <c r="B532" s="5"/>
      <c r="H532" s="16"/>
    </row>
    <row r="533" spans="2:8">
      <c r="B533" s="5"/>
      <c r="H533" s="16"/>
    </row>
    <row r="534" spans="2:8">
      <c r="B534" s="5"/>
      <c r="H534" s="16"/>
    </row>
    <row r="535" spans="2:8">
      <c r="B535" s="5"/>
      <c r="H535" s="16"/>
    </row>
    <row r="536" spans="2:8">
      <c r="B536" s="5"/>
      <c r="H536" s="16"/>
    </row>
    <row r="537" spans="2:8">
      <c r="B537" s="5"/>
      <c r="H537" s="16"/>
    </row>
    <row r="538" spans="2:8">
      <c r="B538" s="5"/>
      <c r="H538" s="16"/>
    </row>
    <row r="539" spans="2:8">
      <c r="B539" s="5"/>
      <c r="H539" s="16"/>
    </row>
    <row r="540" spans="2:8">
      <c r="B540" s="5"/>
      <c r="H540" s="16"/>
    </row>
    <row r="541" spans="2:8">
      <c r="B541" s="5"/>
      <c r="H541" s="16"/>
    </row>
    <row r="542" spans="2:8">
      <c r="B542" s="5"/>
      <c r="H542" s="16"/>
    </row>
    <row r="543" spans="2:8">
      <c r="B543" s="5"/>
      <c r="H543" s="16"/>
    </row>
    <row r="544" spans="2:8">
      <c r="B544" s="5"/>
      <c r="H544" s="16"/>
    </row>
    <row r="545" spans="2:8">
      <c r="B545" s="5"/>
      <c r="H545" s="16"/>
    </row>
    <row r="546" spans="2:8">
      <c r="B546" s="5"/>
      <c r="H546" s="16"/>
    </row>
    <row r="547" spans="2:8">
      <c r="B547" s="5"/>
      <c r="H547" s="16"/>
    </row>
    <row r="548" spans="2:8">
      <c r="B548" s="5"/>
      <c r="H548" s="16"/>
    </row>
    <row r="549" spans="2:8">
      <c r="B549" s="5"/>
      <c r="H549" s="16"/>
    </row>
    <row r="550" spans="2:8">
      <c r="B550" s="5"/>
      <c r="H550" s="16"/>
    </row>
    <row r="551" spans="2:8">
      <c r="B551" s="5"/>
      <c r="H551" s="16"/>
    </row>
    <row r="552" spans="2:8">
      <c r="B552" s="5"/>
      <c r="H552" s="16"/>
    </row>
    <row r="553" spans="2:8">
      <c r="B553" s="5"/>
      <c r="H553" s="16"/>
    </row>
    <row r="554" spans="2:8">
      <c r="B554" s="5"/>
      <c r="H554" s="16"/>
    </row>
    <row r="555" spans="2:8">
      <c r="B555" s="5"/>
      <c r="H555" s="16"/>
    </row>
    <row r="556" spans="2:8">
      <c r="B556" s="5"/>
      <c r="H556" s="16"/>
    </row>
    <row r="557" spans="2:8">
      <c r="B557" s="5"/>
      <c r="H557" s="16"/>
    </row>
    <row r="558" spans="2:8">
      <c r="B558" s="5"/>
      <c r="H558" s="16"/>
    </row>
    <row r="559" spans="2:8">
      <c r="B559" s="5"/>
      <c r="H559" s="16"/>
    </row>
    <row r="560" spans="2:8">
      <c r="B560" s="5"/>
      <c r="H560" s="16"/>
    </row>
    <row r="561" spans="2:8">
      <c r="B561" s="5"/>
      <c r="H561" s="16"/>
    </row>
    <row r="562" spans="2:8">
      <c r="B562" s="5"/>
      <c r="H562" s="16"/>
    </row>
    <row r="563" spans="2:8">
      <c r="B563" s="5"/>
      <c r="H563" s="16"/>
    </row>
    <row r="564" spans="2:8">
      <c r="B564" s="5"/>
      <c r="H564" s="16"/>
    </row>
    <row r="565" spans="2:8">
      <c r="B565" s="5"/>
      <c r="H565" s="16"/>
    </row>
    <row r="566" spans="2:8">
      <c r="B566" s="5"/>
      <c r="H566" s="16"/>
    </row>
    <row r="567" spans="2:8">
      <c r="B567" s="5"/>
      <c r="H567" s="16"/>
    </row>
    <row r="568" spans="2:8">
      <c r="B568" s="5"/>
      <c r="H568" s="16"/>
    </row>
    <row r="569" spans="2:8">
      <c r="B569" s="5"/>
      <c r="H569" s="16"/>
    </row>
    <row r="570" spans="2:8">
      <c r="B570" s="5"/>
      <c r="H570" s="16"/>
    </row>
    <row r="571" spans="2:8">
      <c r="B571" s="5"/>
      <c r="H571" s="16"/>
    </row>
    <row r="572" spans="2:8">
      <c r="B572" s="5"/>
      <c r="H572" s="16"/>
    </row>
    <row r="573" spans="2:8">
      <c r="B573" s="5"/>
      <c r="H573" s="16"/>
    </row>
    <row r="574" spans="2:8">
      <c r="B574" s="5"/>
      <c r="H574" s="16"/>
    </row>
    <row r="575" spans="2:8">
      <c r="B575" s="5"/>
      <c r="H575" s="16"/>
    </row>
    <row r="576" spans="2:8">
      <c r="B576" s="5"/>
      <c r="H576" s="16"/>
    </row>
    <row r="577" spans="2:8">
      <c r="B577" s="5"/>
      <c r="H577" s="16"/>
    </row>
    <row r="578" spans="2:8">
      <c r="B578" s="5"/>
      <c r="H578" s="16"/>
    </row>
    <row r="579" spans="2:8">
      <c r="B579" s="5"/>
      <c r="H579" s="16"/>
    </row>
    <row r="580" spans="2:8">
      <c r="B580" s="5"/>
      <c r="H580" s="16"/>
    </row>
    <row r="581" spans="2:8">
      <c r="B581" s="5"/>
      <c r="H581" s="16"/>
    </row>
    <row r="582" spans="2:8">
      <c r="B582" s="5"/>
      <c r="H582" s="16"/>
    </row>
    <row r="583" spans="2:8">
      <c r="B583" s="5"/>
      <c r="H583" s="16"/>
    </row>
    <row r="584" spans="2:8">
      <c r="B584" s="5"/>
      <c r="H584" s="16"/>
    </row>
    <row r="585" spans="2:8">
      <c r="B585" s="5"/>
      <c r="H585" s="16"/>
    </row>
    <row r="586" spans="2:8">
      <c r="B586" s="5"/>
      <c r="H586" s="16"/>
    </row>
    <row r="587" spans="2:8">
      <c r="B587" s="5"/>
      <c r="H587" s="16"/>
    </row>
    <row r="588" spans="2:8">
      <c r="B588" s="5"/>
      <c r="H588" s="16"/>
    </row>
    <row r="589" spans="2:8">
      <c r="B589" s="5"/>
      <c r="H589" s="16"/>
    </row>
    <row r="590" spans="2:8">
      <c r="B590" s="5"/>
      <c r="H590" s="16"/>
    </row>
    <row r="591" spans="2:8">
      <c r="B591" s="5"/>
      <c r="H591" s="16"/>
    </row>
    <row r="592" spans="2:8">
      <c r="B592" s="5"/>
      <c r="H592" s="16"/>
    </row>
    <row r="593" spans="2:8">
      <c r="B593" s="5"/>
      <c r="H593" s="16"/>
    </row>
    <row r="594" spans="2:8">
      <c r="B594" s="5"/>
      <c r="H594" s="16"/>
    </row>
    <row r="595" spans="2:8">
      <c r="B595" s="5"/>
      <c r="H595" s="16"/>
    </row>
    <row r="596" spans="2:8">
      <c r="B596" s="5"/>
      <c r="H596" s="16"/>
    </row>
    <row r="597" spans="2:8">
      <c r="B597" s="5"/>
      <c r="H597" s="16"/>
    </row>
    <row r="598" spans="2:8">
      <c r="B598" s="5"/>
      <c r="H598" s="16"/>
    </row>
    <row r="599" spans="2:8">
      <c r="B599" s="5"/>
      <c r="H599" s="16"/>
    </row>
    <row r="600" spans="2:8">
      <c r="B600" s="5"/>
      <c r="H600" s="16"/>
    </row>
    <row r="601" spans="2:8">
      <c r="B601" s="5"/>
      <c r="H601" s="16"/>
    </row>
    <row r="602" spans="2:8">
      <c r="B602" s="5"/>
      <c r="H602" s="16"/>
    </row>
    <row r="603" spans="2:8">
      <c r="B603" s="5"/>
      <c r="H603" s="16"/>
    </row>
    <row r="604" spans="2:8">
      <c r="B604" s="5"/>
      <c r="H604" s="16"/>
    </row>
    <row r="605" spans="2:8">
      <c r="B605" s="5"/>
      <c r="H605" s="16"/>
    </row>
    <row r="606" spans="2:8">
      <c r="B606" s="5"/>
      <c r="H606" s="16"/>
    </row>
    <row r="607" spans="2:8">
      <c r="B607" s="5"/>
      <c r="H607" s="16"/>
    </row>
    <row r="608" spans="2:8">
      <c r="B608" s="5"/>
      <c r="H608" s="16"/>
    </row>
    <row r="609" spans="2:8">
      <c r="B609" s="5"/>
      <c r="H609" s="16"/>
    </row>
    <row r="610" spans="2:8">
      <c r="B610" s="5"/>
      <c r="H610" s="16"/>
    </row>
    <row r="611" spans="2:8">
      <c r="B611" s="5"/>
      <c r="H611" s="16"/>
    </row>
    <row r="612" spans="2:8">
      <c r="B612" s="5"/>
      <c r="H612" s="16"/>
    </row>
    <row r="613" spans="2:8">
      <c r="B613" s="5"/>
      <c r="H613" s="16"/>
    </row>
    <row r="614" spans="2:8">
      <c r="B614" s="5"/>
      <c r="H614" s="16"/>
    </row>
    <row r="615" spans="2:8">
      <c r="B615" s="5"/>
      <c r="H615" s="16"/>
    </row>
    <row r="616" spans="2:8">
      <c r="B616" s="5"/>
      <c r="H616" s="16"/>
    </row>
    <row r="617" spans="2:8">
      <c r="B617" s="5"/>
      <c r="H617" s="16"/>
    </row>
    <row r="618" spans="2:8">
      <c r="B618" s="5"/>
      <c r="H618" s="16"/>
    </row>
    <row r="619" spans="2:8">
      <c r="B619" s="5"/>
      <c r="H619" s="16"/>
    </row>
    <row r="620" spans="2:8">
      <c r="B620" s="5"/>
      <c r="H620" s="16"/>
    </row>
    <row r="621" spans="2:8">
      <c r="B621" s="5"/>
      <c r="H621" s="16"/>
    </row>
    <row r="622" spans="2:8">
      <c r="B622" s="5"/>
      <c r="H622" s="16"/>
    </row>
    <row r="623" spans="2:8">
      <c r="B623" s="5"/>
      <c r="H623" s="16"/>
    </row>
    <row r="624" spans="2:8">
      <c r="B624" s="5"/>
      <c r="H624" s="16"/>
    </row>
    <row r="625" spans="2:8">
      <c r="B625" s="5"/>
      <c r="H625" s="16"/>
    </row>
    <row r="626" spans="2:8">
      <c r="B626" s="5"/>
      <c r="H626" s="16"/>
    </row>
    <row r="627" spans="2:8">
      <c r="B627" s="5"/>
      <c r="H627" s="16"/>
    </row>
    <row r="628" spans="2:8">
      <c r="B628" s="5"/>
      <c r="H628" s="16"/>
    </row>
    <row r="629" spans="2:8">
      <c r="B629" s="5"/>
      <c r="H629" s="16"/>
    </row>
    <row r="630" spans="2:8">
      <c r="B630" s="5"/>
      <c r="H630" s="16"/>
    </row>
    <row r="631" spans="2:8">
      <c r="B631" s="5"/>
      <c r="H631" s="16"/>
    </row>
    <row r="632" spans="2:8">
      <c r="B632" s="5"/>
      <c r="H632" s="16"/>
    </row>
    <row r="633" spans="2:8">
      <c r="B633" s="5"/>
      <c r="H633" s="16"/>
    </row>
    <row r="634" spans="2:8">
      <c r="B634" s="5"/>
      <c r="H634" s="16"/>
    </row>
    <row r="635" spans="2:8">
      <c r="B635" s="5"/>
      <c r="H635" s="16"/>
    </row>
    <row r="636" spans="2:8">
      <c r="B636" s="5"/>
      <c r="H636" s="16"/>
    </row>
    <row r="637" spans="2:8">
      <c r="B637" s="5"/>
      <c r="H637" s="16"/>
    </row>
    <row r="638" spans="2:8">
      <c r="B638" s="5"/>
      <c r="H638" s="16"/>
    </row>
    <row r="639" spans="2:8">
      <c r="B639" s="5"/>
      <c r="H639" s="16"/>
    </row>
    <row r="640" spans="2:8">
      <c r="B640" s="5"/>
      <c r="H640" s="16"/>
    </row>
    <row r="641" spans="2:8">
      <c r="B641" s="5"/>
      <c r="H641" s="16"/>
    </row>
    <row r="642" spans="2:8">
      <c r="B642" s="5"/>
      <c r="H642" s="16"/>
    </row>
    <row r="643" spans="2:8">
      <c r="B643" s="5"/>
      <c r="H643" s="16"/>
    </row>
    <row r="644" spans="2:8">
      <c r="B644" s="5"/>
      <c r="H644" s="16"/>
    </row>
    <row r="645" spans="2:8">
      <c r="B645" s="5"/>
      <c r="H645" s="16"/>
    </row>
    <row r="646" spans="2:8">
      <c r="B646" s="5"/>
      <c r="H646" s="16"/>
    </row>
    <row r="647" spans="2:8">
      <c r="B647" s="5"/>
      <c r="H647" s="16"/>
    </row>
    <row r="648" spans="2:8">
      <c r="B648" s="5"/>
      <c r="H648" s="16"/>
    </row>
    <row r="649" spans="2:8">
      <c r="B649" s="5"/>
      <c r="H649" s="16"/>
    </row>
    <row r="650" spans="2:8">
      <c r="B650" s="5"/>
      <c r="H650" s="16"/>
    </row>
    <row r="651" spans="2:8">
      <c r="B651" s="5"/>
      <c r="H651" s="16"/>
    </row>
    <row r="652" spans="2:8">
      <c r="B652" s="5"/>
      <c r="H652" s="16"/>
    </row>
    <row r="653" spans="2:8">
      <c r="B653" s="5"/>
      <c r="H653" s="16"/>
    </row>
    <row r="654" spans="2:8">
      <c r="B654" s="5"/>
      <c r="H654" s="16"/>
    </row>
    <row r="655" spans="2:8">
      <c r="B655" s="5"/>
      <c r="H655" s="16"/>
    </row>
    <row r="656" spans="2:8">
      <c r="B656" s="5"/>
      <c r="H656" s="16"/>
    </row>
    <row r="657" spans="2:8">
      <c r="B657" s="5"/>
      <c r="H657" s="16"/>
    </row>
    <row r="658" spans="2:8">
      <c r="B658" s="5"/>
      <c r="H658" s="16"/>
    </row>
    <row r="659" spans="2:8">
      <c r="B659" s="5"/>
      <c r="H659" s="16"/>
    </row>
    <row r="660" spans="2:8">
      <c r="B660" s="5"/>
      <c r="H660" s="16"/>
    </row>
    <row r="661" spans="2:8">
      <c r="B661" s="5"/>
      <c r="H661" s="16"/>
    </row>
    <row r="662" spans="2:8">
      <c r="B662" s="5"/>
      <c r="H662" s="16"/>
    </row>
    <row r="663" spans="2:8">
      <c r="B663" s="5"/>
      <c r="H663" s="16"/>
    </row>
    <row r="664" spans="2:8">
      <c r="B664" s="5"/>
      <c r="H664" s="16"/>
    </row>
    <row r="665" spans="2:8">
      <c r="B665" s="5"/>
      <c r="H665" s="16"/>
    </row>
    <row r="666" spans="2:8">
      <c r="B666" s="5"/>
      <c r="H666" s="16"/>
    </row>
    <row r="667" spans="2:8">
      <c r="B667" s="5"/>
      <c r="H667" s="16"/>
    </row>
    <row r="668" spans="2:8">
      <c r="B668" s="5"/>
      <c r="H668" s="16"/>
    </row>
    <row r="669" spans="2:8">
      <c r="B669" s="5"/>
      <c r="H669" s="16"/>
    </row>
    <row r="670" spans="2:8">
      <c r="B670" s="5"/>
      <c r="H670" s="16"/>
    </row>
    <row r="671" spans="2:8">
      <c r="B671" s="5"/>
      <c r="H671" s="16"/>
    </row>
    <row r="672" spans="2:8">
      <c r="B672" s="5"/>
      <c r="H672" s="16"/>
    </row>
    <row r="673" spans="2:8">
      <c r="B673" s="5"/>
      <c r="H673" s="16"/>
    </row>
    <row r="674" spans="2:8">
      <c r="B674" s="5"/>
      <c r="H674" s="16"/>
    </row>
    <row r="675" spans="2:8">
      <c r="B675" s="5"/>
      <c r="H675" s="16"/>
    </row>
    <row r="676" spans="2:8">
      <c r="B676" s="5"/>
      <c r="H676" s="16"/>
    </row>
    <row r="677" spans="2:8">
      <c r="B677" s="5"/>
      <c r="H677" s="16"/>
    </row>
    <row r="678" spans="2:8">
      <c r="B678" s="5"/>
      <c r="H678" s="16"/>
    </row>
    <row r="679" spans="2:8">
      <c r="B679" s="5"/>
      <c r="H679" s="16"/>
    </row>
    <row r="680" spans="2:8">
      <c r="B680" s="5"/>
      <c r="H680" s="16"/>
    </row>
    <row r="681" spans="2:8">
      <c r="B681" s="5"/>
      <c r="H681" s="16"/>
    </row>
    <row r="682" spans="2:8">
      <c r="B682" s="5"/>
      <c r="H682" s="16"/>
    </row>
    <row r="683" spans="2:8">
      <c r="B683" s="5"/>
      <c r="H683" s="16"/>
    </row>
    <row r="684" spans="2:8">
      <c r="B684" s="5"/>
      <c r="H684" s="16"/>
    </row>
    <row r="685" spans="2:8">
      <c r="B685" s="5"/>
      <c r="H685" s="16"/>
    </row>
    <row r="686" spans="2:8">
      <c r="B686" s="5"/>
      <c r="H686" s="16"/>
    </row>
    <row r="687" spans="2:8">
      <c r="B687" s="5"/>
      <c r="H687" s="16"/>
    </row>
    <row r="688" spans="2:8">
      <c r="B688" s="5"/>
      <c r="H688" s="16"/>
    </row>
    <row r="689" spans="2:8">
      <c r="B689" s="5"/>
      <c r="H689" s="16"/>
    </row>
    <row r="690" spans="2:8">
      <c r="B690" s="5"/>
      <c r="H690" s="16"/>
    </row>
    <row r="691" spans="2:8">
      <c r="B691" s="5"/>
      <c r="H691" s="16"/>
    </row>
    <row r="692" spans="2:8">
      <c r="B692" s="5"/>
      <c r="H692" s="16"/>
    </row>
    <row r="693" spans="2:8">
      <c r="B693" s="5"/>
      <c r="H693" s="16"/>
    </row>
    <row r="694" spans="2:8">
      <c r="B694" s="5"/>
      <c r="H694" s="16"/>
    </row>
    <row r="695" spans="2:8">
      <c r="B695" s="5"/>
      <c r="H695" s="16"/>
    </row>
    <row r="696" spans="2:8">
      <c r="B696" s="5"/>
      <c r="H696" s="16"/>
    </row>
    <row r="697" spans="2:8">
      <c r="B697" s="5"/>
      <c r="H697" s="16"/>
    </row>
    <row r="698" spans="2:8">
      <c r="B698" s="5"/>
      <c r="H698" s="16"/>
    </row>
    <row r="699" spans="2:8">
      <c r="B699" s="5"/>
      <c r="H699" s="16"/>
    </row>
    <row r="700" spans="2:8">
      <c r="B700" s="5"/>
      <c r="H700" s="16"/>
    </row>
    <row r="701" spans="2:8">
      <c r="B701" s="5"/>
      <c r="H701" s="16"/>
    </row>
    <row r="702" spans="2:8">
      <c r="B702" s="5"/>
      <c r="H702" s="16"/>
    </row>
    <row r="703" spans="2:8">
      <c r="B703" s="5"/>
      <c r="H703" s="16"/>
    </row>
    <row r="704" spans="2:8">
      <c r="B704" s="5"/>
      <c r="H704" s="16"/>
    </row>
    <row r="705" spans="2:8">
      <c r="B705" s="5"/>
      <c r="H705" s="16"/>
    </row>
    <row r="706" spans="2:8">
      <c r="B706" s="5"/>
      <c r="H706" s="16"/>
    </row>
    <row r="707" spans="2:8">
      <c r="B707" s="5"/>
      <c r="H707" s="16"/>
    </row>
    <row r="708" spans="2:8">
      <c r="B708" s="5"/>
      <c r="H708" s="16"/>
    </row>
    <row r="709" spans="2:8">
      <c r="B709" s="5"/>
      <c r="H709" s="16"/>
    </row>
    <row r="710" spans="2:8">
      <c r="B710" s="5"/>
      <c r="H710" s="16"/>
    </row>
    <row r="711" spans="2:8">
      <c r="B711" s="5"/>
      <c r="H711" s="16"/>
    </row>
    <row r="712" spans="2:8">
      <c r="B712" s="5"/>
      <c r="H712" s="16"/>
    </row>
    <row r="713" spans="2:8">
      <c r="B713" s="5"/>
      <c r="H713" s="16"/>
    </row>
    <row r="714" spans="2:8">
      <c r="B714" s="5"/>
      <c r="H714" s="16"/>
    </row>
    <row r="715" spans="2:8">
      <c r="B715" s="5"/>
      <c r="H715" s="16"/>
    </row>
    <row r="716" spans="2:8">
      <c r="B716" s="5"/>
      <c r="H716" s="16"/>
    </row>
    <row r="717" spans="2:8">
      <c r="B717" s="5"/>
      <c r="H717" s="16"/>
    </row>
    <row r="718" spans="2:8">
      <c r="B718" s="5"/>
      <c r="H718" s="16"/>
    </row>
    <row r="719" spans="2:8">
      <c r="B719" s="5"/>
      <c r="H719" s="16"/>
    </row>
    <row r="720" spans="2:8">
      <c r="B720" s="5"/>
      <c r="H720" s="16"/>
    </row>
    <row r="721" spans="2:8">
      <c r="B721" s="5"/>
      <c r="H721" s="16"/>
    </row>
    <row r="722" spans="2:8">
      <c r="B722" s="5"/>
      <c r="H722" s="16"/>
    </row>
    <row r="723" spans="2:8">
      <c r="B723" s="5"/>
      <c r="H723" s="16"/>
    </row>
    <row r="724" spans="2:8">
      <c r="B724" s="5"/>
      <c r="H724" s="16"/>
    </row>
    <row r="725" spans="2:8">
      <c r="B725" s="5"/>
      <c r="H725" s="16"/>
    </row>
    <row r="726" spans="2:8">
      <c r="B726" s="5"/>
      <c r="H726" s="16"/>
    </row>
    <row r="727" spans="2:8">
      <c r="B727" s="5"/>
      <c r="H727" s="16"/>
    </row>
    <row r="728" spans="2:8">
      <c r="B728" s="5"/>
      <c r="H728" s="16"/>
    </row>
    <row r="729" spans="2:8">
      <c r="B729" s="5"/>
      <c r="H729" s="16"/>
    </row>
    <row r="730" spans="2:8">
      <c r="B730" s="5"/>
      <c r="H730" s="16"/>
    </row>
    <row r="731" spans="2:8">
      <c r="B731" s="5"/>
      <c r="H731" s="16"/>
    </row>
    <row r="732" spans="2:8">
      <c r="B732" s="5"/>
      <c r="H732" s="16"/>
    </row>
    <row r="733" spans="2:8">
      <c r="B733" s="5"/>
      <c r="H733" s="16"/>
    </row>
    <row r="734" spans="2:8">
      <c r="B734" s="5"/>
      <c r="H734" s="16"/>
    </row>
    <row r="735" spans="2:8">
      <c r="B735" s="5"/>
      <c r="H735" s="16"/>
    </row>
    <row r="736" spans="2:8">
      <c r="B736" s="5"/>
      <c r="H736" s="16"/>
    </row>
    <row r="737" spans="2:8">
      <c r="B737" s="5"/>
      <c r="H737" s="16"/>
    </row>
    <row r="738" spans="2:8">
      <c r="B738" s="5"/>
      <c r="H738" s="16"/>
    </row>
    <row r="739" spans="2:8">
      <c r="B739" s="5"/>
      <c r="H739" s="16"/>
    </row>
    <row r="740" spans="2:8">
      <c r="B740" s="5"/>
      <c r="H740" s="16"/>
    </row>
    <row r="741" spans="2:8">
      <c r="B741" s="5"/>
      <c r="H741" s="16"/>
    </row>
    <row r="742" spans="2:8">
      <c r="B742" s="5"/>
      <c r="H742" s="16"/>
    </row>
    <row r="743" spans="2:8">
      <c r="B743" s="5"/>
      <c r="H743" s="16"/>
    </row>
    <row r="744" spans="2:8">
      <c r="B744" s="5"/>
      <c r="H744" s="16"/>
    </row>
    <row r="745" spans="2:8">
      <c r="B745" s="5"/>
      <c r="H745" s="16"/>
    </row>
    <row r="746" spans="2:8">
      <c r="B746" s="5"/>
      <c r="H746" s="16"/>
    </row>
    <row r="747" spans="2:8">
      <c r="B747" s="5"/>
      <c r="H747" s="16"/>
    </row>
    <row r="748" spans="2:8">
      <c r="B748" s="5"/>
      <c r="H748" s="16"/>
    </row>
    <row r="749" spans="2:8">
      <c r="B749" s="5"/>
      <c r="H749" s="16"/>
    </row>
    <row r="750" spans="2:8">
      <c r="B750" s="5"/>
      <c r="H750" s="16"/>
    </row>
    <row r="751" spans="2:8">
      <c r="B751" s="5"/>
      <c r="H751" s="16"/>
    </row>
    <row r="752" spans="2:8">
      <c r="B752" s="5"/>
      <c r="H752" s="16"/>
    </row>
    <row r="753" spans="2:8">
      <c r="B753" s="5"/>
      <c r="H753" s="16"/>
    </row>
    <row r="754" spans="2:8">
      <c r="B754" s="5"/>
      <c r="H754" s="16"/>
    </row>
    <row r="755" spans="2:8">
      <c r="B755" s="5"/>
      <c r="H755" s="16"/>
    </row>
    <row r="756" spans="2:8">
      <c r="B756" s="5"/>
      <c r="H756" s="16"/>
    </row>
    <row r="757" spans="2:8">
      <c r="B757" s="5"/>
      <c r="H757" s="16"/>
    </row>
    <row r="758" spans="2:8">
      <c r="B758" s="5"/>
      <c r="H758" s="16"/>
    </row>
    <row r="759" spans="2:8">
      <c r="B759" s="5"/>
      <c r="H759" s="16"/>
    </row>
    <row r="760" spans="2:8">
      <c r="B760" s="5"/>
      <c r="H760" s="16"/>
    </row>
    <row r="761" spans="2:8">
      <c r="B761" s="5"/>
      <c r="H761" s="16"/>
    </row>
    <row r="762" spans="2:8">
      <c r="B762" s="5"/>
      <c r="H762" s="16"/>
    </row>
    <row r="763" spans="2:8">
      <c r="B763" s="5"/>
      <c r="H763" s="16"/>
    </row>
    <row r="764" spans="2:8">
      <c r="B764" s="5"/>
      <c r="H764" s="16"/>
    </row>
    <row r="765" spans="2:8">
      <c r="B765" s="5"/>
      <c r="H765" s="16"/>
    </row>
    <row r="766" spans="2:8">
      <c r="B766" s="5"/>
      <c r="H766" s="16"/>
    </row>
    <row r="767" spans="2:8">
      <c r="B767" s="5"/>
      <c r="H767" s="16"/>
    </row>
    <row r="768" spans="2:8">
      <c r="B768" s="5"/>
      <c r="H768" s="16"/>
    </row>
    <row r="769" spans="2:8">
      <c r="B769" s="5"/>
      <c r="H769" s="16"/>
    </row>
    <row r="770" spans="2:8">
      <c r="B770" s="5"/>
      <c r="H770" s="16"/>
    </row>
    <row r="771" spans="2:8">
      <c r="B771" s="5"/>
      <c r="H771" s="16"/>
    </row>
    <row r="772" spans="2:8">
      <c r="B772" s="5"/>
      <c r="H772" s="16"/>
    </row>
    <row r="773" spans="2:8">
      <c r="B773" s="5"/>
      <c r="H773" s="16"/>
    </row>
    <row r="774" spans="2:8">
      <c r="B774" s="5"/>
      <c r="H774" s="16"/>
    </row>
    <row r="775" spans="2:8">
      <c r="B775" s="5"/>
      <c r="H775" s="16"/>
    </row>
    <row r="776" spans="2:8">
      <c r="B776" s="5"/>
      <c r="H776" s="16"/>
    </row>
    <row r="777" spans="2:8">
      <c r="B777" s="5"/>
      <c r="H777" s="16"/>
    </row>
    <row r="778" spans="2:8">
      <c r="B778" s="5"/>
      <c r="H778" s="16"/>
    </row>
    <row r="779" spans="2:8">
      <c r="B779" s="5"/>
      <c r="H779" s="16"/>
    </row>
    <row r="780" spans="2:8">
      <c r="B780" s="5"/>
      <c r="H780" s="16"/>
    </row>
    <row r="781" spans="2:8">
      <c r="B781" s="5"/>
      <c r="H781" s="16"/>
    </row>
    <row r="782" spans="2:8">
      <c r="B782" s="5"/>
      <c r="H782" s="16"/>
    </row>
    <row r="783" spans="2:8">
      <c r="B783" s="5"/>
      <c r="H783" s="16"/>
    </row>
    <row r="784" spans="2:8">
      <c r="B784" s="5"/>
      <c r="H784" s="16"/>
    </row>
    <row r="785" spans="2:8">
      <c r="B785" s="5"/>
      <c r="H785" s="16"/>
    </row>
    <row r="786" spans="2:8">
      <c r="B786" s="5"/>
      <c r="H786" s="16"/>
    </row>
    <row r="787" spans="2:8">
      <c r="B787" s="5"/>
      <c r="H787" s="16"/>
    </row>
    <row r="788" spans="2:8">
      <c r="B788" s="5"/>
      <c r="H788" s="16"/>
    </row>
    <row r="789" spans="2:8">
      <c r="B789" s="5"/>
      <c r="H789" s="16"/>
    </row>
    <row r="790" spans="2:8">
      <c r="B790" s="5"/>
      <c r="H790" s="16"/>
    </row>
    <row r="791" spans="2:8">
      <c r="B791" s="5"/>
      <c r="H791" s="16"/>
    </row>
    <row r="792" spans="2:8">
      <c r="B792" s="5"/>
      <c r="H792" s="16"/>
    </row>
    <row r="793" spans="2:8">
      <c r="B793" s="5"/>
      <c r="H793" s="16"/>
    </row>
    <row r="794" spans="2:8">
      <c r="B794" s="5"/>
      <c r="H794" s="16"/>
    </row>
    <row r="795" spans="2:8">
      <c r="B795" s="5"/>
      <c r="H795" s="16"/>
    </row>
    <row r="796" spans="2:8">
      <c r="B796" s="5"/>
      <c r="H796" s="16"/>
    </row>
    <row r="797" spans="2:8">
      <c r="B797" s="5"/>
      <c r="H797" s="16"/>
    </row>
    <row r="798" spans="2:8">
      <c r="B798" s="5"/>
      <c r="H798" s="16"/>
    </row>
    <row r="799" spans="2:8">
      <c r="B799" s="5"/>
      <c r="H799" s="16"/>
    </row>
    <row r="800" spans="2:8">
      <c r="B800" s="5"/>
      <c r="H800" s="16"/>
    </row>
    <row r="801" spans="2:8">
      <c r="B801" s="5"/>
      <c r="H801" s="16"/>
    </row>
    <row r="802" spans="2:8">
      <c r="B802" s="5"/>
      <c r="H802" s="16"/>
    </row>
    <row r="803" spans="2:8">
      <c r="B803" s="5"/>
      <c r="H803" s="16"/>
    </row>
    <row r="804" spans="2:8">
      <c r="B804" s="5"/>
      <c r="H804" s="16"/>
    </row>
    <row r="805" spans="2:8">
      <c r="B805" s="5"/>
      <c r="H805" s="16"/>
    </row>
    <row r="806" spans="2:8">
      <c r="B806" s="5"/>
      <c r="H806" s="16"/>
    </row>
    <row r="807" spans="2:8">
      <c r="B807" s="5"/>
      <c r="H807" s="16"/>
    </row>
    <row r="808" spans="2:8">
      <c r="B808" s="5"/>
      <c r="H808" s="16"/>
    </row>
    <row r="809" spans="2:8">
      <c r="B809" s="5"/>
      <c r="H809" s="16"/>
    </row>
    <row r="810" spans="2:8">
      <c r="B810" s="5"/>
      <c r="H810" s="16"/>
    </row>
    <row r="811" spans="2:8">
      <c r="B811" s="5"/>
      <c r="H811" s="16"/>
    </row>
    <row r="812" spans="2:8">
      <c r="B812" s="5"/>
      <c r="H812" s="16"/>
    </row>
    <row r="813" spans="2:8">
      <c r="B813" s="5"/>
      <c r="H813" s="16"/>
    </row>
    <row r="814" spans="2:8">
      <c r="B814" s="5"/>
      <c r="H814" s="16"/>
    </row>
    <row r="815" spans="2:8">
      <c r="B815" s="5"/>
      <c r="H815" s="16"/>
    </row>
    <row r="816" spans="2:8">
      <c r="B816" s="5"/>
      <c r="H816" s="16"/>
    </row>
    <row r="817" spans="2:8">
      <c r="B817" s="5"/>
      <c r="H817" s="16"/>
    </row>
    <row r="818" spans="2:8">
      <c r="B818" s="5"/>
      <c r="H818" s="16"/>
    </row>
    <row r="819" spans="2:8">
      <c r="B819" s="5"/>
      <c r="H819" s="16"/>
    </row>
    <row r="820" spans="2:8">
      <c r="B820" s="5"/>
      <c r="H820" s="16"/>
    </row>
    <row r="821" spans="2:8">
      <c r="B821" s="5"/>
      <c r="H821" s="16"/>
    </row>
    <row r="822" spans="2:8">
      <c r="B822" s="5"/>
      <c r="H822" s="16"/>
    </row>
    <row r="823" spans="2:8">
      <c r="B823" s="5"/>
      <c r="H823" s="16"/>
    </row>
    <row r="824" spans="2:8">
      <c r="B824" s="5"/>
      <c r="H824" s="16"/>
    </row>
    <row r="825" spans="2:8">
      <c r="B825" s="5"/>
      <c r="H825" s="16"/>
    </row>
    <row r="826" spans="2:8">
      <c r="B826" s="5"/>
      <c r="H826" s="16"/>
    </row>
    <row r="827" spans="2:8">
      <c r="B827" s="5"/>
      <c r="H827" s="16"/>
    </row>
    <row r="828" spans="2:8">
      <c r="B828" s="5"/>
      <c r="H828" s="16"/>
    </row>
    <row r="829" spans="2:8">
      <c r="B829" s="5"/>
      <c r="H829" s="16"/>
    </row>
    <row r="830" spans="2:8">
      <c r="B830" s="5"/>
      <c r="H830" s="16"/>
    </row>
    <row r="831" spans="2:8">
      <c r="B831" s="5"/>
      <c r="H831" s="16"/>
    </row>
    <row r="832" spans="2:8">
      <c r="B832" s="5"/>
      <c r="H832" s="16"/>
    </row>
    <row r="833" spans="2:8">
      <c r="B833" s="5"/>
      <c r="H833" s="16"/>
    </row>
    <row r="834" spans="2:8">
      <c r="B834" s="5"/>
      <c r="H834" s="16"/>
    </row>
    <row r="835" spans="2:8">
      <c r="B835" s="5"/>
      <c r="H835" s="16"/>
    </row>
    <row r="836" spans="2:8">
      <c r="B836" s="5"/>
      <c r="H836" s="16"/>
    </row>
    <row r="837" spans="2:8">
      <c r="B837" s="5"/>
      <c r="H837" s="16"/>
    </row>
    <row r="838" spans="2:8">
      <c r="B838" s="5"/>
      <c r="H838" s="16"/>
    </row>
    <row r="839" spans="2:8">
      <c r="B839" s="5"/>
      <c r="H839" s="16"/>
    </row>
    <row r="840" spans="2:8">
      <c r="B840" s="5"/>
      <c r="H840" s="16"/>
    </row>
    <row r="841" spans="2:8">
      <c r="B841" s="5"/>
      <c r="H841" s="16"/>
    </row>
    <row r="842" spans="2:8">
      <c r="B842" s="5"/>
      <c r="H842" s="16"/>
    </row>
    <row r="843" spans="2:8">
      <c r="B843" s="5"/>
      <c r="H843" s="16"/>
    </row>
    <row r="844" spans="2:8">
      <c r="B844" s="5"/>
      <c r="H844" s="16"/>
    </row>
    <row r="845" spans="2:8">
      <c r="B845" s="5"/>
      <c r="H845" s="16"/>
    </row>
    <row r="846" spans="2:8">
      <c r="B846" s="5"/>
      <c r="H846" s="16"/>
    </row>
    <row r="847" spans="2:8">
      <c r="B847" s="5"/>
      <c r="H847" s="16"/>
    </row>
    <row r="848" spans="2:8">
      <c r="B848" s="5"/>
      <c r="H848" s="16"/>
    </row>
    <row r="849" spans="2:8">
      <c r="B849" s="5"/>
      <c r="H849" s="16"/>
    </row>
    <row r="850" spans="2:8">
      <c r="B850" s="5"/>
      <c r="H850" s="16"/>
    </row>
    <row r="851" spans="2:8">
      <c r="B851" s="5"/>
      <c r="H851" s="16"/>
    </row>
    <row r="852" spans="2:8">
      <c r="B852" s="5"/>
      <c r="H852" s="16"/>
    </row>
    <row r="853" spans="2:8">
      <c r="B853" s="5"/>
      <c r="H853" s="16"/>
    </row>
    <row r="854" spans="2:8">
      <c r="B854" s="5"/>
      <c r="H854" s="16"/>
    </row>
    <row r="855" spans="2:8">
      <c r="B855" s="5"/>
      <c r="H855" s="16"/>
    </row>
    <row r="856" spans="2:8">
      <c r="B856" s="5"/>
      <c r="H856" s="16"/>
    </row>
    <row r="857" spans="2:8">
      <c r="B857" s="5"/>
      <c r="H857" s="16"/>
    </row>
    <row r="858" spans="2:8">
      <c r="B858" s="5"/>
      <c r="H858" s="16"/>
    </row>
    <row r="859" spans="2:8">
      <c r="B859" s="5"/>
      <c r="H859" s="16"/>
    </row>
    <row r="860" spans="2:8">
      <c r="B860" s="5"/>
      <c r="H860" s="16"/>
    </row>
    <row r="861" spans="2:8">
      <c r="B861" s="5"/>
      <c r="H861" s="16"/>
    </row>
    <row r="862" spans="2:8">
      <c r="B862" s="5"/>
      <c r="H862" s="16"/>
    </row>
    <row r="863" spans="2:8">
      <c r="B863" s="5"/>
      <c r="H863" s="16"/>
    </row>
    <row r="864" spans="2:8">
      <c r="B864" s="5"/>
      <c r="H864" s="16"/>
    </row>
    <row r="865" spans="2:8">
      <c r="B865" s="5"/>
      <c r="H865" s="16"/>
    </row>
    <row r="866" spans="2:8">
      <c r="B866" s="5"/>
      <c r="H866" s="16"/>
    </row>
    <row r="867" spans="2:8">
      <c r="B867" s="5"/>
      <c r="H867" s="16"/>
    </row>
    <row r="868" spans="2:8">
      <c r="B868" s="5"/>
      <c r="H868" s="16"/>
    </row>
    <row r="869" spans="2:8">
      <c r="B869" s="5"/>
      <c r="H869" s="16"/>
    </row>
    <row r="870" spans="2:8">
      <c r="B870" s="5"/>
      <c r="H870" s="16"/>
    </row>
    <row r="871" spans="2:8">
      <c r="B871" s="5"/>
      <c r="H871" s="16"/>
    </row>
    <row r="872" spans="2:8">
      <c r="B872" s="5"/>
      <c r="H872" s="16"/>
    </row>
    <row r="873" spans="2:8">
      <c r="B873" s="5"/>
      <c r="H873" s="16"/>
    </row>
    <row r="874" spans="2:8">
      <c r="B874" s="5"/>
      <c r="H874" s="16"/>
    </row>
    <row r="875" spans="2:8">
      <c r="B875" s="5"/>
      <c r="H875" s="16"/>
    </row>
    <row r="876" spans="2:8">
      <c r="B876" s="5"/>
      <c r="H876" s="16"/>
    </row>
    <row r="877" spans="2:8">
      <c r="B877" s="5"/>
      <c r="H877" s="16"/>
    </row>
    <row r="878" spans="2:8">
      <c r="B878" s="5"/>
      <c r="H878" s="16"/>
    </row>
    <row r="879" spans="2:8">
      <c r="B879" s="5"/>
      <c r="H879" s="16"/>
    </row>
    <row r="880" spans="2:8">
      <c r="B880" s="5"/>
      <c r="H880" s="16"/>
    </row>
    <row r="881" spans="2:8">
      <c r="B881" s="5"/>
      <c r="H881" s="16"/>
    </row>
    <row r="882" spans="2:8">
      <c r="B882" s="5"/>
      <c r="H882" s="16"/>
    </row>
    <row r="883" spans="2:8">
      <c r="B883" s="5"/>
      <c r="H883" s="16"/>
    </row>
    <row r="884" spans="2:8">
      <c r="B884" s="5"/>
      <c r="H884" s="16"/>
    </row>
    <row r="885" spans="2:8">
      <c r="B885" s="5"/>
      <c r="H885" s="16"/>
    </row>
    <row r="886" spans="2:8">
      <c r="B886" s="5"/>
      <c r="H886" s="16"/>
    </row>
    <row r="887" spans="2:8">
      <c r="B887" s="5"/>
      <c r="H887" s="16"/>
    </row>
    <row r="888" spans="2:8">
      <c r="B888" s="5"/>
      <c r="H888" s="16"/>
    </row>
    <row r="889" spans="2:8">
      <c r="B889" s="5"/>
      <c r="H889" s="16"/>
    </row>
    <row r="890" spans="2:8">
      <c r="B890" s="5"/>
      <c r="H890" s="16"/>
    </row>
    <row r="891" spans="2:8">
      <c r="B891" s="5"/>
      <c r="H891" s="16"/>
    </row>
  </sheetData>
  <mergeCells count="25">
    <mergeCell ref="C49:F49"/>
    <mergeCell ref="C44:F44"/>
    <mergeCell ref="C45:F45"/>
    <mergeCell ref="C46:F46"/>
    <mergeCell ref="C47:F47"/>
    <mergeCell ref="C48:F48"/>
    <mergeCell ref="A4:H4"/>
    <mergeCell ref="A38:F38"/>
    <mergeCell ref="C41:F41"/>
    <mergeCell ref="C42:F42"/>
    <mergeCell ref="C43:F43"/>
    <mergeCell ref="A10:F10"/>
    <mergeCell ref="A17:F17"/>
    <mergeCell ref="A23:F23"/>
    <mergeCell ref="A29:F29"/>
    <mergeCell ref="A35:F35"/>
    <mergeCell ref="G41:H41"/>
    <mergeCell ref="G42:H42"/>
    <mergeCell ref="G43:H43"/>
    <mergeCell ref="G49:H49"/>
    <mergeCell ref="G44:H44"/>
    <mergeCell ref="G45:H45"/>
    <mergeCell ref="G46:H46"/>
    <mergeCell ref="G47:H47"/>
    <mergeCell ref="G48:H48"/>
  </mergeCells>
  <phoneticPr fontId="24" type="noConversion"/>
  <dataValidations count="1">
    <dataValidation type="list" allowBlank="1" showInputMessage="1" showErrorMessage="1" sqref="B42:B48" xr:uid="{00000000-0002-0000-0C00-000000000000}">
      <formula1>$L$41:$L$45</formula1>
    </dataValidation>
  </dataValidations>
  <printOptions horizontalCentered="1"/>
  <pageMargins left="0.45" right="0.45" top="0.5" bottom="0.5" header="0.3" footer="0.3"/>
  <pageSetup scale="58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L891"/>
  <sheetViews>
    <sheetView showZeros="0" zoomScale="65" zoomScaleNormal="65" workbookViewId="0">
      <selection activeCell="A11" sqref="A11"/>
    </sheetView>
  </sheetViews>
  <sheetFormatPr defaultColWidth="10.875" defaultRowHeight="18.95"/>
  <cols>
    <col min="1" max="1" width="35.625" customWidth="1"/>
    <col min="2" max="2" width="14.625" style="16" customWidth="1"/>
    <col min="3" max="7" width="15.875" style="5" customWidth="1"/>
    <col min="8" max="8" width="15.875" style="17" customWidth="1"/>
    <col min="9" max="9" width="10.875" style="5"/>
    <col min="10" max="12" width="0" style="5" hidden="1" customWidth="1"/>
    <col min="13" max="16384" width="10.875" style="5"/>
  </cols>
  <sheetData>
    <row r="1" spans="1:10" customFormat="1" ht="15.95">
      <c r="A1" s="41"/>
      <c r="B1" s="42"/>
      <c r="C1" s="43"/>
      <c r="D1" s="43"/>
      <c r="E1" s="45" t="s">
        <v>25</v>
      </c>
      <c r="F1" s="43"/>
      <c r="G1" s="45" t="s">
        <v>26</v>
      </c>
      <c r="H1" s="44"/>
    </row>
    <row r="2" spans="1:10">
      <c r="A2" s="30"/>
      <c r="B2" s="18" t="s">
        <v>27</v>
      </c>
      <c r="C2" s="18" t="s">
        <v>28</v>
      </c>
      <c r="D2" s="18" t="s">
        <v>65</v>
      </c>
      <c r="E2" s="18" t="s">
        <v>30</v>
      </c>
      <c r="F2" s="18" t="s">
        <v>66</v>
      </c>
      <c r="G2" s="18" t="s">
        <v>32</v>
      </c>
      <c r="H2" s="18" t="s">
        <v>33</v>
      </c>
    </row>
    <row r="3" spans="1:10" ht="21" customHeight="1">
      <c r="A3" s="31" t="s">
        <v>7</v>
      </c>
      <c r="B3" s="6">
        <f>'Week 11'!H3+1</f>
        <v>45970</v>
      </c>
      <c r="C3" s="6">
        <f t="shared" ref="C3:H3" si="0">B3+1</f>
        <v>45971</v>
      </c>
      <c r="D3" s="6">
        <f t="shared" si="0"/>
        <v>45972</v>
      </c>
      <c r="E3" s="6">
        <f t="shared" si="0"/>
        <v>45973</v>
      </c>
      <c r="F3" s="6">
        <f t="shared" si="0"/>
        <v>45974</v>
      </c>
      <c r="G3" s="6">
        <f t="shared" si="0"/>
        <v>45975</v>
      </c>
      <c r="H3" s="6">
        <f t="shared" si="0"/>
        <v>45976</v>
      </c>
    </row>
    <row r="4" spans="1:10" s="7" customFormat="1">
      <c r="A4" s="181" t="s">
        <v>34</v>
      </c>
      <c r="B4" s="181"/>
      <c r="C4" s="181"/>
      <c r="D4" s="181"/>
      <c r="E4" s="181"/>
      <c r="F4" s="181"/>
      <c r="G4" s="181"/>
      <c r="H4" s="181"/>
    </row>
    <row r="5" spans="1:10" s="7" customFormat="1" ht="26.1" customHeight="1">
      <c r="A5" s="32" t="s">
        <v>8</v>
      </c>
      <c r="B5" s="27"/>
      <c r="C5" s="27"/>
      <c r="D5" s="27"/>
      <c r="E5" s="27"/>
      <c r="F5" s="27"/>
      <c r="G5" s="27"/>
      <c r="H5" s="27"/>
    </row>
    <row r="6" spans="1:10" s="7" customFormat="1" ht="26.1" customHeight="1">
      <c r="A6" s="4" t="s">
        <v>23</v>
      </c>
      <c r="B6" s="62"/>
      <c r="C6" s="62"/>
      <c r="D6" s="62"/>
      <c r="E6" s="62"/>
      <c r="F6" s="62"/>
      <c r="G6" s="62"/>
      <c r="H6" s="62"/>
    </row>
    <row r="7" spans="1:10" s="7" customFormat="1" ht="21.95" customHeight="1">
      <c r="A7" s="32" t="s">
        <v>35</v>
      </c>
      <c r="B7" s="27"/>
      <c r="C7" s="28"/>
      <c r="D7" s="28"/>
      <c r="E7" s="28"/>
      <c r="F7" s="28"/>
      <c r="G7" s="28"/>
      <c r="H7" s="27"/>
    </row>
    <row r="8" spans="1:10" s="7" customFormat="1" ht="24.95" customHeight="1" thickBot="1">
      <c r="A8" s="83" t="s">
        <v>36</v>
      </c>
      <c r="B8" s="84">
        <f t="shared" ref="B8:H8" si="1">B5+B6+B7</f>
        <v>0</v>
      </c>
      <c r="C8" s="84">
        <f t="shared" si="1"/>
        <v>0</v>
      </c>
      <c r="D8" s="84">
        <f t="shared" si="1"/>
        <v>0</v>
      </c>
      <c r="E8" s="84">
        <f t="shared" si="1"/>
        <v>0</v>
      </c>
      <c r="F8" s="84">
        <f t="shared" si="1"/>
        <v>0</v>
      </c>
      <c r="G8" s="84">
        <f t="shared" si="1"/>
        <v>0</v>
      </c>
      <c r="H8" s="84">
        <f t="shared" si="1"/>
        <v>0</v>
      </c>
    </row>
    <row r="9" spans="1:10" s="7" customFormat="1" ht="24.95" customHeight="1" thickBot="1">
      <c r="A9" s="33"/>
      <c r="B9" s="29"/>
      <c r="C9" s="29"/>
      <c r="D9" s="29"/>
      <c r="E9" s="29"/>
      <c r="F9" s="29"/>
      <c r="G9" s="63" t="s">
        <v>37</v>
      </c>
      <c r="H9" s="64">
        <f>SUM(B8:H8)</f>
        <v>0</v>
      </c>
    </row>
    <row r="10" spans="1:10" s="7" customFormat="1" ht="21" thickTop="1" thickBot="1">
      <c r="A10" s="182" t="s">
        <v>38</v>
      </c>
      <c r="B10" s="183"/>
      <c r="C10" s="183"/>
      <c r="D10" s="183"/>
      <c r="E10" s="183"/>
      <c r="F10" s="183"/>
      <c r="G10" s="65" t="s">
        <v>39</v>
      </c>
      <c r="H10" s="66">
        <v>-0.08</v>
      </c>
      <c r="I10" s="5"/>
      <c r="J10" s="26"/>
    </row>
    <row r="11" spans="1:10" s="7" customFormat="1" ht="30" customHeight="1">
      <c r="A11" s="39" t="s">
        <v>8</v>
      </c>
      <c r="B11" s="9"/>
      <c r="C11" s="9"/>
      <c r="D11" s="67"/>
      <c r="E11" s="67"/>
      <c r="F11" s="9"/>
      <c r="G11" s="68"/>
      <c r="H11" s="69"/>
    </row>
    <row r="12" spans="1:10" s="7" customFormat="1" ht="30" customHeight="1">
      <c r="A12" s="70" t="s">
        <v>23</v>
      </c>
      <c r="B12" s="59"/>
      <c r="C12" s="58"/>
      <c r="D12" s="58"/>
      <c r="E12" s="58"/>
      <c r="F12" s="58"/>
      <c r="G12" s="58"/>
      <c r="H12" s="59"/>
    </row>
    <row r="13" spans="1:10" s="7" customFormat="1" ht="30" customHeight="1">
      <c r="A13" s="3" t="s">
        <v>35</v>
      </c>
      <c r="B13" s="8"/>
      <c r="C13" s="8"/>
      <c r="D13" s="8"/>
      <c r="E13" s="8"/>
      <c r="F13" s="8"/>
      <c r="G13" s="8"/>
      <c r="H13" s="8"/>
    </row>
    <row r="14" spans="1:10" s="7" customFormat="1" ht="27" customHeight="1" thickBot="1">
      <c r="A14" s="85" t="s">
        <v>36</v>
      </c>
      <c r="B14" s="87">
        <f t="shared" ref="B14:H14" si="2">B11+B12+B13</f>
        <v>0</v>
      </c>
      <c r="C14" s="87">
        <f t="shared" si="2"/>
        <v>0</v>
      </c>
      <c r="D14" s="87">
        <f t="shared" si="2"/>
        <v>0</v>
      </c>
      <c r="E14" s="87">
        <f t="shared" si="2"/>
        <v>0</v>
      </c>
      <c r="F14" s="87">
        <f t="shared" si="2"/>
        <v>0</v>
      </c>
      <c r="G14" s="87">
        <f t="shared" si="2"/>
        <v>0</v>
      </c>
      <c r="H14" s="87">
        <f t="shared" si="2"/>
        <v>0</v>
      </c>
    </row>
    <row r="15" spans="1:10" s="7" customFormat="1" ht="24.95" customHeight="1" thickBot="1">
      <c r="A15" s="86" t="s">
        <v>40</v>
      </c>
      <c r="B15" s="92" t="e">
        <f t="shared" ref="B15:H15" si="3">(B14-B8)/B8</f>
        <v>#DIV/0!</v>
      </c>
      <c r="C15" s="93" t="e">
        <f t="shared" si="3"/>
        <v>#DIV/0!</v>
      </c>
      <c r="D15" s="93" t="e">
        <f t="shared" si="3"/>
        <v>#DIV/0!</v>
      </c>
      <c r="E15" s="93" t="e">
        <f t="shared" si="3"/>
        <v>#DIV/0!</v>
      </c>
      <c r="F15" s="93" t="e">
        <f t="shared" si="3"/>
        <v>#DIV/0!</v>
      </c>
      <c r="G15" s="93" t="e">
        <f t="shared" si="3"/>
        <v>#DIV/0!</v>
      </c>
      <c r="H15" s="94" t="e">
        <f t="shared" si="3"/>
        <v>#DIV/0!</v>
      </c>
      <c r="I15" s="71"/>
    </row>
    <row r="16" spans="1:10" ht="30" customHeight="1" thickBot="1">
      <c r="B16" s="88"/>
      <c r="C16" s="88"/>
      <c r="D16" s="88"/>
      <c r="E16" s="88"/>
      <c r="F16" s="89"/>
      <c r="G16" s="90" t="s">
        <v>37</v>
      </c>
      <c r="H16" s="91">
        <f>SUM(B14:H14)</f>
        <v>0</v>
      </c>
    </row>
    <row r="17" spans="1:8" s="7" customFormat="1" ht="21.95" thickTop="1" thickBot="1">
      <c r="A17" s="184" t="s">
        <v>41</v>
      </c>
      <c r="B17" s="185"/>
      <c r="C17" s="185"/>
      <c r="D17" s="185"/>
      <c r="E17" s="185"/>
      <c r="F17" s="185"/>
      <c r="G17" s="72" t="s">
        <v>42</v>
      </c>
      <c r="H17" s="66" t="e">
        <f>(H16-H9)/H9</f>
        <v>#DIV/0!</v>
      </c>
    </row>
    <row r="18" spans="1:8" s="7" customFormat="1" ht="30" customHeight="1">
      <c r="A18" s="35" t="s">
        <v>43</v>
      </c>
      <c r="B18" s="12"/>
      <c r="C18" s="163"/>
      <c r="D18" s="162"/>
      <c r="E18" s="73"/>
      <c r="F18" s="12"/>
      <c r="G18" s="24"/>
      <c r="H18" s="74"/>
    </row>
    <row r="19" spans="1:8" s="7" customFormat="1" ht="30" customHeight="1">
      <c r="A19" s="35" t="str">
        <f>'Week 11'!A19</f>
        <v>Non Meal Plan Meals</v>
      </c>
      <c r="B19" s="12"/>
      <c r="C19" s="12"/>
      <c r="D19" s="73"/>
      <c r="E19" s="73"/>
      <c r="F19" s="12"/>
      <c r="G19" s="24"/>
      <c r="H19" s="74"/>
    </row>
    <row r="20" spans="1:8" s="7" customFormat="1" ht="30" customHeight="1">
      <c r="A20" s="35" t="str">
        <f>'Week 11'!A20</f>
        <v xml:space="preserve">Meal numbers </v>
      </c>
      <c r="B20" s="95"/>
      <c r="C20" s="95"/>
      <c r="D20" s="67"/>
      <c r="E20" s="67"/>
      <c r="F20" s="95"/>
      <c r="G20" s="95"/>
      <c r="H20" s="75"/>
    </row>
    <row r="21" spans="1:8" s="7" customFormat="1" ht="24.95" customHeight="1" thickBot="1">
      <c r="A21" s="36" t="s">
        <v>45</v>
      </c>
      <c r="B21" s="77">
        <f>SUM(B18:B20)</f>
        <v>0</v>
      </c>
      <c r="C21" s="77">
        <f>SUM(C18:C20)</f>
        <v>0</v>
      </c>
      <c r="D21" s="96"/>
      <c r="E21" s="96"/>
      <c r="F21" s="77">
        <f>SUM(F18:F20)</f>
        <v>0</v>
      </c>
      <c r="G21" s="77">
        <f>SUM(G18:G20)</f>
        <v>0</v>
      </c>
      <c r="H21" s="77">
        <f>SUM(H18:H20)</f>
        <v>0</v>
      </c>
    </row>
    <row r="22" spans="1:8" s="7" customFormat="1" ht="24.95" customHeight="1" thickBot="1">
      <c r="A22" s="34" t="s">
        <v>40</v>
      </c>
      <c r="B22" s="92" t="e">
        <f>(B21-B5)/B5</f>
        <v>#DIV/0!</v>
      </c>
      <c r="C22" s="93" t="e">
        <f>(C21-C5)/C5</f>
        <v>#DIV/0!</v>
      </c>
      <c r="D22" s="99"/>
      <c r="E22" s="99"/>
      <c r="F22" s="93" t="e">
        <f>(F21-F5)/F5</f>
        <v>#DIV/0!</v>
      </c>
      <c r="G22" s="93" t="e">
        <f>(G21-G5)/G5</f>
        <v>#DIV/0!</v>
      </c>
      <c r="H22" s="94" t="e">
        <f>(H21-H5)/H5</f>
        <v>#DIV/0!</v>
      </c>
    </row>
    <row r="23" spans="1:8" s="7" customFormat="1">
      <c r="A23" s="186" t="s">
        <v>46</v>
      </c>
      <c r="B23" s="187"/>
      <c r="C23" s="187"/>
      <c r="D23" s="187"/>
      <c r="E23" s="187"/>
      <c r="F23" s="188" t="s">
        <v>47</v>
      </c>
      <c r="G23" s="97"/>
      <c r="H23" s="98"/>
    </row>
    <row r="24" spans="1:8" s="7" customFormat="1" ht="30" customHeight="1">
      <c r="A24" s="35" t="s">
        <v>43</v>
      </c>
      <c r="B24" s="11"/>
      <c r="C24" s="12"/>
      <c r="E24" s="12"/>
      <c r="F24" s="12"/>
      <c r="G24" s="12"/>
      <c r="H24" s="11"/>
    </row>
    <row r="25" spans="1:8" s="7" customFormat="1" ht="30" customHeight="1">
      <c r="A25" s="35" t="str">
        <f>A19</f>
        <v>Non Meal Plan Meals</v>
      </c>
      <c r="B25" s="117"/>
      <c r="C25" s="117"/>
      <c r="D25" s="117"/>
      <c r="E25" s="117"/>
      <c r="F25" s="117"/>
      <c r="G25" s="117"/>
      <c r="H25" s="117"/>
    </row>
    <row r="26" spans="1:8" s="7" customFormat="1" ht="30" customHeight="1">
      <c r="A26" s="35" t="str">
        <f>A20</f>
        <v xml:space="preserve">Meal numbers </v>
      </c>
      <c r="B26" s="11"/>
      <c r="C26" s="11"/>
      <c r="D26" s="11"/>
      <c r="E26" s="11"/>
      <c r="F26" s="11"/>
      <c r="G26" s="11"/>
      <c r="H26" s="11"/>
    </row>
    <row r="27" spans="1:8" s="7" customFormat="1" ht="27.95" customHeight="1" thickBot="1">
      <c r="A27" s="36" t="s">
        <v>50</v>
      </c>
      <c r="B27" s="100">
        <f t="shared" ref="B27:H27" si="4">SUM(B24:B26)</f>
        <v>0</v>
      </c>
      <c r="C27" s="100">
        <f>SUM(C24:C26)</f>
        <v>0</v>
      </c>
      <c r="D27" s="100">
        <f t="shared" si="4"/>
        <v>0</v>
      </c>
      <c r="E27" s="100">
        <f t="shared" si="4"/>
        <v>0</v>
      </c>
      <c r="F27" s="100">
        <f t="shared" si="4"/>
        <v>0</v>
      </c>
      <c r="G27" s="100">
        <f t="shared" si="4"/>
        <v>0</v>
      </c>
      <c r="H27" s="100">
        <f t="shared" si="4"/>
        <v>0</v>
      </c>
    </row>
    <row r="28" spans="1:8" s="7" customFormat="1" ht="24.95" customHeight="1" thickBot="1">
      <c r="A28" s="34" t="s">
        <v>40</v>
      </c>
      <c r="B28" s="92" t="e">
        <f t="shared" ref="B28:H28" si="5">(B27-B6)/B6</f>
        <v>#DIV/0!</v>
      </c>
      <c r="C28" s="93" t="e">
        <f t="shared" si="5"/>
        <v>#DIV/0!</v>
      </c>
      <c r="D28" s="93" t="e">
        <f t="shared" si="5"/>
        <v>#DIV/0!</v>
      </c>
      <c r="E28" s="93" t="e">
        <f t="shared" si="5"/>
        <v>#DIV/0!</v>
      </c>
      <c r="F28" s="93" t="e">
        <f t="shared" si="5"/>
        <v>#DIV/0!</v>
      </c>
      <c r="G28" s="93" t="e">
        <f t="shared" si="5"/>
        <v>#DIV/0!</v>
      </c>
      <c r="H28" s="94" t="e">
        <f t="shared" si="5"/>
        <v>#DIV/0!</v>
      </c>
    </row>
    <row r="29" spans="1:8" s="7" customFormat="1">
      <c r="A29" s="189" t="s">
        <v>51</v>
      </c>
      <c r="B29" s="190"/>
      <c r="C29" s="190"/>
      <c r="D29" s="190"/>
      <c r="E29" s="190"/>
      <c r="F29" s="191" t="s">
        <v>35</v>
      </c>
      <c r="G29" s="101"/>
      <c r="H29" s="102"/>
    </row>
    <row r="30" spans="1:8" s="7" customFormat="1" ht="30" customHeight="1">
      <c r="A30" s="35" t="s">
        <v>43</v>
      </c>
      <c r="B30" s="10"/>
      <c r="C30" s="9"/>
      <c r="E30" s="9"/>
      <c r="F30" s="9"/>
      <c r="G30" s="9"/>
      <c r="H30" s="10"/>
    </row>
    <row r="31" spans="1:8" s="7" customFormat="1" ht="30" customHeight="1">
      <c r="A31" s="35" t="str">
        <f>A25</f>
        <v>Non Meal Plan Meals</v>
      </c>
      <c r="B31" s="60"/>
      <c r="C31" s="60"/>
      <c r="D31" s="60"/>
      <c r="E31" s="60"/>
      <c r="F31" s="60"/>
      <c r="G31" s="60"/>
      <c r="H31" s="60"/>
    </row>
    <row r="32" spans="1:8" s="7" customFormat="1" ht="30" customHeight="1">
      <c r="A32" s="35" t="str">
        <f>A26</f>
        <v xml:space="preserve">Meal numbers </v>
      </c>
      <c r="B32" s="10"/>
      <c r="C32" s="10"/>
      <c r="D32" s="10"/>
      <c r="E32" s="10"/>
      <c r="F32" s="10"/>
      <c r="G32" s="10"/>
      <c r="H32" s="10"/>
    </row>
    <row r="33" spans="1:12" s="7" customFormat="1" ht="30.95" customHeight="1" thickBot="1">
      <c r="A33" s="36" t="s">
        <v>53</v>
      </c>
      <c r="B33" s="103">
        <f t="shared" ref="B33:H33" si="6">SUM(B30:B32)</f>
        <v>0</v>
      </c>
      <c r="C33" s="103">
        <f>SUM(C30:C32)</f>
        <v>0</v>
      </c>
      <c r="D33" s="103">
        <f t="shared" si="6"/>
        <v>0</v>
      </c>
      <c r="E33" s="103">
        <f t="shared" si="6"/>
        <v>0</v>
      </c>
      <c r="F33" s="103">
        <f t="shared" si="6"/>
        <v>0</v>
      </c>
      <c r="G33" s="103">
        <f t="shared" si="6"/>
        <v>0</v>
      </c>
      <c r="H33" s="103">
        <f t="shared" si="6"/>
        <v>0</v>
      </c>
    </row>
    <row r="34" spans="1:12" s="7" customFormat="1" ht="24.95" customHeight="1" thickBot="1">
      <c r="A34" s="34" t="s">
        <v>40</v>
      </c>
      <c r="B34" s="92" t="e">
        <f t="shared" ref="B34:H34" si="7">(B33-B7)/B7</f>
        <v>#DIV/0!</v>
      </c>
      <c r="C34" s="93" t="e">
        <f t="shared" si="7"/>
        <v>#DIV/0!</v>
      </c>
      <c r="D34" s="93" t="e">
        <f t="shared" si="7"/>
        <v>#DIV/0!</v>
      </c>
      <c r="E34" s="93" t="e">
        <f t="shared" si="7"/>
        <v>#DIV/0!</v>
      </c>
      <c r="F34" s="93" t="e">
        <f t="shared" si="7"/>
        <v>#DIV/0!</v>
      </c>
      <c r="G34" s="93" t="e">
        <f t="shared" si="7"/>
        <v>#DIV/0!</v>
      </c>
      <c r="H34" s="94" t="e">
        <f t="shared" si="7"/>
        <v>#DIV/0!</v>
      </c>
    </row>
    <row r="35" spans="1:12" s="7" customFormat="1">
      <c r="A35" s="192" t="s">
        <v>54</v>
      </c>
      <c r="B35" s="193"/>
      <c r="C35" s="193"/>
      <c r="D35" s="193"/>
      <c r="E35" s="193"/>
      <c r="F35" s="194" t="s">
        <v>35</v>
      </c>
      <c r="G35" s="104"/>
      <c r="H35" s="105"/>
    </row>
    <row r="36" spans="1:12" s="7" customFormat="1" ht="30.95" customHeight="1" thickBot="1">
      <c r="A36" s="78" t="s">
        <v>55</v>
      </c>
      <c r="B36" s="77">
        <f t="shared" ref="B36:H36" si="8">B33+B27+B21</f>
        <v>0</v>
      </c>
      <c r="C36" s="77">
        <f t="shared" si="8"/>
        <v>0</v>
      </c>
      <c r="D36" s="77">
        <f t="shared" si="8"/>
        <v>0</v>
      </c>
      <c r="E36" s="77">
        <f t="shared" si="8"/>
        <v>0</v>
      </c>
      <c r="F36" s="77">
        <f t="shared" si="8"/>
        <v>0</v>
      </c>
      <c r="G36" s="77">
        <f t="shared" si="8"/>
        <v>0</v>
      </c>
      <c r="H36" s="77">
        <f t="shared" si="8"/>
        <v>0</v>
      </c>
    </row>
    <row r="37" spans="1:12" s="7" customFormat="1" ht="24.95" customHeight="1" thickBot="1">
      <c r="A37" s="34" t="s">
        <v>40</v>
      </c>
      <c r="B37" s="92" t="e">
        <f t="shared" ref="B37:H37" si="9">(B36-B8)/B8</f>
        <v>#DIV/0!</v>
      </c>
      <c r="C37" s="93" t="e">
        <f t="shared" si="9"/>
        <v>#DIV/0!</v>
      </c>
      <c r="D37" s="93" t="e">
        <f t="shared" si="9"/>
        <v>#DIV/0!</v>
      </c>
      <c r="E37" s="93" t="e">
        <f t="shared" si="9"/>
        <v>#DIV/0!</v>
      </c>
      <c r="F37" s="93" t="e">
        <f t="shared" si="9"/>
        <v>#DIV/0!</v>
      </c>
      <c r="G37" s="93" t="e">
        <f t="shared" si="9"/>
        <v>#DIV/0!</v>
      </c>
      <c r="H37" s="94" t="e">
        <f t="shared" si="9"/>
        <v>#DIV/0!</v>
      </c>
    </row>
    <row r="38" spans="1:12" ht="30" customHeight="1" thickBot="1">
      <c r="A38" s="195"/>
      <c r="B38" s="196"/>
      <c r="C38" s="196"/>
      <c r="D38" s="196"/>
      <c r="E38" s="196"/>
      <c r="F38" s="196"/>
      <c r="G38" s="106" t="s">
        <v>37</v>
      </c>
      <c r="H38" s="107">
        <f>SUM(B36:H36)</f>
        <v>0</v>
      </c>
    </row>
    <row r="39" spans="1:12" s="7" customFormat="1" ht="24.95" customHeight="1" thickTop="1">
      <c r="A39" s="37"/>
      <c r="B39" s="25"/>
      <c r="C39" s="25"/>
      <c r="D39" s="25"/>
      <c r="E39" s="25"/>
      <c r="F39" s="25"/>
      <c r="G39" s="79" t="s">
        <v>40</v>
      </c>
      <c r="H39" s="80" t="e">
        <f>(H38-H9)/H9</f>
        <v>#DIV/0!</v>
      </c>
    </row>
    <row r="40" spans="1:12" s="7" customFormat="1" ht="24.95" customHeight="1" thickBot="1">
      <c r="A40" s="37"/>
      <c r="B40" s="25"/>
      <c r="C40" s="25"/>
      <c r="D40" s="25"/>
      <c r="E40" s="25"/>
      <c r="F40" s="25"/>
      <c r="G40" s="81" t="s">
        <v>56</v>
      </c>
      <c r="H40" s="82" t="e">
        <f>(H38-H16)/H16</f>
        <v>#DIV/0!</v>
      </c>
    </row>
    <row r="41" spans="1:12" s="46" customFormat="1" ht="23.1" customHeight="1">
      <c r="A41" s="40"/>
      <c r="B41" s="47" t="s">
        <v>57</v>
      </c>
      <c r="C41" s="197" t="s">
        <v>58</v>
      </c>
      <c r="D41" s="197"/>
      <c r="E41" s="197"/>
      <c r="F41" s="197"/>
      <c r="G41" s="198">
        <v>2020</v>
      </c>
      <c r="H41" s="199"/>
    </row>
    <row r="42" spans="1:12" ht="30" customHeight="1">
      <c r="A42" s="1" t="s">
        <v>0</v>
      </c>
      <c r="B42" s="57" t="s">
        <v>59</v>
      </c>
      <c r="C42" s="180"/>
      <c r="D42" s="180"/>
      <c r="E42" s="180"/>
      <c r="F42" s="180"/>
      <c r="G42" s="206"/>
      <c r="H42" s="210"/>
      <c r="I42" s="46"/>
      <c r="J42" s="132"/>
      <c r="L42" s="7" t="s">
        <v>61</v>
      </c>
    </row>
    <row r="43" spans="1:12" ht="30" customHeight="1">
      <c r="A43" s="1" t="s">
        <v>1</v>
      </c>
      <c r="B43" s="57" t="s">
        <v>59</v>
      </c>
      <c r="C43" s="175"/>
      <c r="D43" s="175"/>
      <c r="E43" s="175"/>
      <c r="F43" s="175"/>
      <c r="G43" s="126"/>
      <c r="H43" s="126"/>
      <c r="I43" s="46"/>
      <c r="J43" s="126"/>
      <c r="L43" s="5" t="s">
        <v>62</v>
      </c>
    </row>
    <row r="44" spans="1:12" ht="30" customHeight="1">
      <c r="A44" s="1" t="s">
        <v>2</v>
      </c>
      <c r="B44" s="57" t="s">
        <v>59</v>
      </c>
      <c r="C44" s="175"/>
      <c r="D44" s="175"/>
      <c r="E44" s="175"/>
      <c r="F44" s="175"/>
      <c r="G44" s="206"/>
      <c r="H44" s="210"/>
      <c r="I44" s="46"/>
      <c r="J44" s="126"/>
      <c r="L44" s="5" t="s">
        <v>63</v>
      </c>
    </row>
    <row r="45" spans="1:12" ht="30" customHeight="1">
      <c r="A45" s="1" t="s">
        <v>3</v>
      </c>
      <c r="B45" s="57" t="s">
        <v>59</v>
      </c>
      <c r="C45" s="175"/>
      <c r="D45" s="175"/>
      <c r="E45" s="175"/>
      <c r="F45" s="175"/>
      <c r="G45" s="126"/>
      <c r="H45" s="126"/>
      <c r="I45" s="46"/>
      <c r="J45" s="126"/>
      <c r="L45" s="5" t="s">
        <v>64</v>
      </c>
    </row>
    <row r="46" spans="1:12" ht="30.95" customHeight="1">
      <c r="A46" s="1" t="s">
        <v>4</v>
      </c>
      <c r="B46" s="57" t="s">
        <v>59</v>
      </c>
      <c r="C46" s="175"/>
      <c r="D46" s="175"/>
      <c r="E46" s="175"/>
      <c r="F46" s="175"/>
      <c r="G46" s="206"/>
      <c r="H46" s="210"/>
      <c r="I46" s="46"/>
      <c r="J46" s="126"/>
    </row>
    <row r="47" spans="1:12" ht="30" customHeight="1">
      <c r="A47" s="1" t="s">
        <v>5</v>
      </c>
      <c r="B47" s="57" t="s">
        <v>59</v>
      </c>
      <c r="C47" s="175" t="s">
        <v>105</v>
      </c>
      <c r="D47" s="175"/>
      <c r="E47" s="175"/>
      <c r="F47" s="175"/>
      <c r="G47" s="206"/>
      <c r="H47" s="210"/>
      <c r="I47" s="46"/>
      <c r="J47" s="126"/>
    </row>
    <row r="48" spans="1:12" ht="36" customHeight="1">
      <c r="A48" s="1" t="s">
        <v>6</v>
      </c>
      <c r="B48" s="57" t="s">
        <v>59</v>
      </c>
      <c r="C48" s="175"/>
      <c r="D48" s="175"/>
      <c r="E48" s="175"/>
      <c r="F48" s="175"/>
      <c r="G48" s="176" t="s">
        <v>106</v>
      </c>
      <c r="H48" s="177"/>
      <c r="I48" s="46"/>
      <c r="J48" s="126"/>
    </row>
    <row r="49" spans="1:8" ht="18" customHeight="1">
      <c r="A49" s="2"/>
      <c r="B49" s="14"/>
      <c r="C49" s="175"/>
      <c r="D49" s="175"/>
      <c r="E49" s="175"/>
      <c r="F49" s="175"/>
      <c r="G49" s="176"/>
      <c r="H49" s="177"/>
    </row>
    <row r="50" spans="1:8">
      <c r="A50" s="30"/>
      <c r="B50" s="18" t="s">
        <v>27</v>
      </c>
      <c r="C50" s="18" t="s">
        <v>27</v>
      </c>
      <c r="D50" s="19" t="s">
        <v>28</v>
      </c>
      <c r="E50" s="19" t="s">
        <v>29</v>
      </c>
      <c r="F50" s="18" t="s">
        <v>30</v>
      </c>
      <c r="G50" s="18" t="s">
        <v>31</v>
      </c>
      <c r="H50" s="18" t="s">
        <v>32</v>
      </c>
    </row>
    <row r="51" spans="1:8">
      <c r="A51" s="38" t="s">
        <v>91</v>
      </c>
      <c r="B51" s="15"/>
      <c r="C51" s="20"/>
      <c r="D51" s="20"/>
      <c r="E51" s="20"/>
      <c r="F51" s="20"/>
      <c r="G51" s="20"/>
      <c r="H51" s="15"/>
    </row>
    <row r="52" spans="1:8" customFormat="1" ht="15.95">
      <c r="A52" s="48"/>
      <c r="B52" s="22"/>
      <c r="C52" s="21"/>
      <c r="D52" s="21"/>
      <c r="E52" s="21"/>
      <c r="F52" s="21"/>
      <c r="G52" s="23" t="s">
        <v>37</v>
      </c>
      <c r="H52" s="23">
        <f>SUM(B51:H51)</f>
        <v>0</v>
      </c>
    </row>
    <row r="53" spans="1:8">
      <c r="A53" s="30"/>
      <c r="B53" s="18" t="s">
        <v>27</v>
      </c>
      <c r="C53" s="18" t="s">
        <v>27</v>
      </c>
      <c r="D53" s="19" t="s">
        <v>28</v>
      </c>
      <c r="E53" s="19" t="s">
        <v>29</v>
      </c>
      <c r="F53" s="18" t="s">
        <v>30</v>
      </c>
      <c r="G53" s="18" t="s">
        <v>31</v>
      </c>
      <c r="H53" s="18" t="s">
        <v>32</v>
      </c>
    </row>
    <row r="54" spans="1:8">
      <c r="A54" s="38" t="s">
        <v>69</v>
      </c>
      <c r="B54" s="51"/>
      <c r="C54" s="52"/>
      <c r="D54" s="52"/>
      <c r="E54" s="52"/>
      <c r="F54" s="52"/>
      <c r="G54" s="20"/>
      <c r="H54" s="15"/>
    </row>
    <row r="55" spans="1:8" customFormat="1" ht="15.95">
      <c r="A55" s="49" t="s">
        <v>70</v>
      </c>
      <c r="B55" s="53"/>
      <c r="C55" s="53" t="s">
        <v>71</v>
      </c>
      <c r="D55" s="54"/>
      <c r="E55" s="54"/>
      <c r="F55" s="55"/>
      <c r="G55" s="50" t="s">
        <v>37</v>
      </c>
      <c r="H55" s="23"/>
    </row>
    <row r="56" spans="1:8">
      <c r="H56" s="16"/>
    </row>
    <row r="57" spans="1:8">
      <c r="H57" s="16"/>
    </row>
    <row r="58" spans="1:8">
      <c r="H58" s="16"/>
    </row>
    <row r="59" spans="1:8">
      <c r="H59" s="16"/>
    </row>
    <row r="60" spans="1:8">
      <c r="H60" s="16"/>
    </row>
    <row r="61" spans="1:8">
      <c r="H61" s="16"/>
    </row>
    <row r="62" spans="1:8">
      <c r="H62" s="16"/>
    </row>
    <row r="63" spans="1:8">
      <c r="B63" s="5"/>
      <c r="H63" s="16"/>
    </row>
    <row r="64" spans="1:8">
      <c r="B64" s="5"/>
      <c r="H64" s="16"/>
    </row>
    <row r="65" spans="2:8">
      <c r="B65" s="5"/>
      <c r="H65" s="16"/>
    </row>
    <row r="66" spans="2:8">
      <c r="B66" s="5"/>
      <c r="H66" s="16"/>
    </row>
    <row r="67" spans="2:8">
      <c r="B67" s="5"/>
      <c r="H67" s="16"/>
    </row>
    <row r="68" spans="2:8">
      <c r="B68" s="5"/>
      <c r="H68" s="16"/>
    </row>
    <row r="69" spans="2:8">
      <c r="B69" s="5"/>
      <c r="H69" s="16"/>
    </row>
    <row r="70" spans="2:8">
      <c r="B70" s="5"/>
      <c r="H70" s="16"/>
    </row>
    <row r="71" spans="2:8">
      <c r="B71" s="5"/>
      <c r="H71" s="16"/>
    </row>
    <row r="72" spans="2:8">
      <c r="B72" s="5"/>
      <c r="H72" s="16"/>
    </row>
    <row r="73" spans="2:8">
      <c r="B73" s="5"/>
      <c r="H73" s="16"/>
    </row>
    <row r="74" spans="2:8">
      <c r="B74" s="5"/>
      <c r="H74" s="16"/>
    </row>
    <row r="75" spans="2:8">
      <c r="B75" s="5"/>
      <c r="H75" s="16"/>
    </row>
    <row r="76" spans="2:8">
      <c r="B76" s="5"/>
      <c r="H76" s="16"/>
    </row>
    <row r="77" spans="2:8">
      <c r="B77" s="5"/>
      <c r="H77" s="16"/>
    </row>
    <row r="78" spans="2:8">
      <c r="B78" s="5"/>
      <c r="H78" s="16"/>
    </row>
    <row r="79" spans="2:8">
      <c r="B79" s="5"/>
      <c r="H79" s="16"/>
    </row>
    <row r="80" spans="2:8">
      <c r="B80" s="5"/>
      <c r="H80" s="16"/>
    </row>
    <row r="81" spans="2:8">
      <c r="B81" s="5"/>
      <c r="H81" s="16"/>
    </row>
    <row r="82" spans="2:8">
      <c r="B82" s="5"/>
      <c r="H82" s="16"/>
    </row>
    <row r="83" spans="2:8">
      <c r="B83" s="5"/>
      <c r="H83" s="16"/>
    </row>
    <row r="84" spans="2:8">
      <c r="B84" s="5"/>
      <c r="H84" s="16"/>
    </row>
    <row r="85" spans="2:8">
      <c r="B85" s="5"/>
      <c r="H85" s="16"/>
    </row>
    <row r="86" spans="2:8">
      <c r="B86" s="5"/>
      <c r="H86" s="16"/>
    </row>
    <row r="87" spans="2:8">
      <c r="B87" s="5"/>
      <c r="H87" s="16"/>
    </row>
    <row r="88" spans="2:8">
      <c r="B88" s="5"/>
      <c r="H88" s="16"/>
    </row>
    <row r="89" spans="2:8">
      <c r="B89" s="5"/>
      <c r="H89" s="16"/>
    </row>
    <row r="90" spans="2:8">
      <c r="B90" s="5"/>
      <c r="H90" s="16"/>
    </row>
    <row r="91" spans="2:8">
      <c r="B91" s="5"/>
      <c r="H91" s="16"/>
    </row>
    <row r="92" spans="2:8">
      <c r="B92" s="5"/>
      <c r="H92" s="16"/>
    </row>
    <row r="93" spans="2:8">
      <c r="B93" s="5"/>
      <c r="H93" s="16"/>
    </row>
    <row r="94" spans="2:8">
      <c r="B94" s="5"/>
      <c r="H94" s="16"/>
    </row>
    <row r="95" spans="2:8">
      <c r="B95" s="5"/>
      <c r="H95" s="16"/>
    </row>
    <row r="96" spans="2:8">
      <c r="B96" s="5"/>
      <c r="H96" s="16"/>
    </row>
    <row r="97" spans="2:8">
      <c r="B97" s="5"/>
      <c r="H97" s="16"/>
    </row>
    <row r="98" spans="2:8">
      <c r="B98" s="5"/>
      <c r="H98" s="16"/>
    </row>
    <row r="99" spans="2:8">
      <c r="B99" s="5"/>
      <c r="H99" s="16"/>
    </row>
    <row r="100" spans="2:8">
      <c r="B100" s="5"/>
      <c r="H100" s="16"/>
    </row>
    <row r="101" spans="2:8">
      <c r="B101" s="5"/>
      <c r="H101" s="16"/>
    </row>
    <row r="102" spans="2:8">
      <c r="B102" s="5"/>
      <c r="H102" s="16"/>
    </row>
    <row r="103" spans="2:8">
      <c r="B103" s="5"/>
      <c r="H103" s="16"/>
    </row>
    <row r="104" spans="2:8">
      <c r="B104" s="5"/>
      <c r="H104" s="16"/>
    </row>
    <row r="105" spans="2:8">
      <c r="B105" s="5"/>
      <c r="H105" s="16"/>
    </row>
    <row r="106" spans="2:8">
      <c r="B106" s="5"/>
      <c r="H106" s="16"/>
    </row>
    <row r="107" spans="2:8">
      <c r="B107" s="5"/>
      <c r="H107" s="16"/>
    </row>
    <row r="108" spans="2:8">
      <c r="B108" s="5"/>
      <c r="H108" s="16"/>
    </row>
    <row r="109" spans="2:8">
      <c r="B109" s="5"/>
      <c r="H109" s="16"/>
    </row>
    <row r="110" spans="2:8">
      <c r="B110" s="5"/>
      <c r="H110" s="16"/>
    </row>
    <row r="111" spans="2:8">
      <c r="B111" s="5"/>
      <c r="H111" s="16"/>
    </row>
    <row r="112" spans="2:8">
      <c r="B112" s="5"/>
      <c r="H112" s="16"/>
    </row>
    <row r="113" spans="2:8">
      <c r="B113" s="5"/>
      <c r="H113" s="16"/>
    </row>
    <row r="114" spans="2:8">
      <c r="B114" s="5"/>
      <c r="H114" s="16"/>
    </row>
    <row r="115" spans="2:8">
      <c r="B115" s="5"/>
      <c r="H115" s="16"/>
    </row>
    <row r="116" spans="2:8">
      <c r="B116" s="5"/>
      <c r="H116" s="16"/>
    </row>
    <row r="117" spans="2:8">
      <c r="B117" s="5"/>
      <c r="H117" s="16"/>
    </row>
    <row r="118" spans="2:8">
      <c r="B118" s="5"/>
      <c r="H118" s="16"/>
    </row>
    <row r="119" spans="2:8">
      <c r="B119" s="5"/>
      <c r="H119" s="16"/>
    </row>
    <row r="120" spans="2:8">
      <c r="B120" s="5"/>
      <c r="H120" s="16"/>
    </row>
    <row r="121" spans="2:8">
      <c r="B121" s="5"/>
      <c r="H121" s="16"/>
    </row>
    <row r="122" spans="2:8">
      <c r="B122" s="5"/>
      <c r="H122" s="16"/>
    </row>
    <row r="123" spans="2:8">
      <c r="B123" s="5"/>
      <c r="H123" s="16"/>
    </row>
    <row r="124" spans="2:8">
      <c r="B124" s="5"/>
      <c r="H124" s="16"/>
    </row>
    <row r="125" spans="2:8">
      <c r="B125" s="5"/>
      <c r="H125" s="16"/>
    </row>
    <row r="126" spans="2:8">
      <c r="B126" s="5"/>
      <c r="H126" s="16"/>
    </row>
    <row r="127" spans="2:8">
      <c r="B127" s="5"/>
      <c r="H127" s="16"/>
    </row>
    <row r="128" spans="2:8">
      <c r="B128" s="5"/>
      <c r="H128" s="16"/>
    </row>
    <row r="129" spans="2:8">
      <c r="B129" s="5"/>
      <c r="H129" s="16"/>
    </row>
    <row r="130" spans="2:8">
      <c r="B130" s="5"/>
      <c r="H130" s="16"/>
    </row>
    <row r="131" spans="2:8">
      <c r="B131" s="5"/>
      <c r="H131" s="16"/>
    </row>
    <row r="132" spans="2:8">
      <c r="B132" s="5"/>
      <c r="H132" s="16"/>
    </row>
    <row r="133" spans="2:8">
      <c r="B133" s="5"/>
      <c r="H133" s="16"/>
    </row>
    <row r="134" spans="2:8">
      <c r="B134" s="5"/>
      <c r="H134" s="16"/>
    </row>
    <row r="135" spans="2:8">
      <c r="B135" s="5"/>
      <c r="H135" s="16"/>
    </row>
    <row r="136" spans="2:8">
      <c r="B136" s="5"/>
      <c r="H136" s="16"/>
    </row>
    <row r="137" spans="2:8">
      <c r="B137" s="5"/>
      <c r="H137" s="16"/>
    </row>
    <row r="138" spans="2:8">
      <c r="B138" s="5"/>
      <c r="H138" s="16"/>
    </row>
    <row r="139" spans="2:8">
      <c r="B139" s="5"/>
      <c r="H139" s="16"/>
    </row>
    <row r="140" spans="2:8">
      <c r="B140" s="5"/>
      <c r="H140" s="16"/>
    </row>
    <row r="141" spans="2:8">
      <c r="B141" s="5"/>
      <c r="H141" s="16"/>
    </row>
    <row r="142" spans="2:8">
      <c r="B142" s="5"/>
      <c r="H142" s="16"/>
    </row>
    <row r="143" spans="2:8">
      <c r="B143" s="5"/>
      <c r="H143" s="16"/>
    </row>
    <row r="144" spans="2:8">
      <c r="B144" s="5"/>
      <c r="H144" s="16"/>
    </row>
    <row r="145" spans="2:8">
      <c r="B145" s="5"/>
      <c r="H145" s="16"/>
    </row>
    <row r="146" spans="2:8">
      <c r="B146" s="5"/>
      <c r="H146" s="16"/>
    </row>
    <row r="147" spans="2:8">
      <c r="B147" s="5"/>
      <c r="H147" s="16"/>
    </row>
    <row r="148" spans="2:8">
      <c r="B148" s="5"/>
      <c r="H148" s="16"/>
    </row>
    <row r="149" spans="2:8">
      <c r="B149" s="5"/>
      <c r="H149" s="16"/>
    </row>
    <row r="150" spans="2:8">
      <c r="B150" s="5"/>
      <c r="H150" s="16"/>
    </row>
    <row r="151" spans="2:8">
      <c r="B151" s="5"/>
      <c r="H151" s="16"/>
    </row>
    <row r="152" spans="2:8">
      <c r="B152" s="5"/>
      <c r="H152" s="16"/>
    </row>
    <row r="153" spans="2:8">
      <c r="B153" s="5"/>
      <c r="H153" s="16"/>
    </row>
    <row r="154" spans="2:8">
      <c r="B154" s="5"/>
      <c r="H154" s="16"/>
    </row>
    <row r="155" spans="2:8">
      <c r="B155" s="5"/>
      <c r="H155" s="16"/>
    </row>
    <row r="156" spans="2:8">
      <c r="B156" s="5"/>
      <c r="H156" s="16"/>
    </row>
    <row r="157" spans="2:8">
      <c r="B157" s="5"/>
      <c r="H157" s="16"/>
    </row>
    <row r="158" spans="2:8">
      <c r="B158" s="5"/>
      <c r="H158" s="16"/>
    </row>
    <row r="159" spans="2:8">
      <c r="B159" s="5"/>
      <c r="H159" s="16"/>
    </row>
    <row r="160" spans="2:8">
      <c r="B160" s="5"/>
      <c r="H160" s="16"/>
    </row>
    <row r="161" spans="2:8">
      <c r="B161" s="5"/>
      <c r="H161" s="16"/>
    </row>
    <row r="162" spans="2:8">
      <c r="B162" s="5"/>
      <c r="H162" s="16"/>
    </row>
    <row r="163" spans="2:8">
      <c r="B163" s="5"/>
      <c r="H163" s="16"/>
    </row>
    <row r="164" spans="2:8">
      <c r="B164" s="5"/>
      <c r="H164" s="16"/>
    </row>
    <row r="165" spans="2:8">
      <c r="B165" s="5"/>
      <c r="H165" s="16"/>
    </row>
    <row r="166" spans="2:8">
      <c r="B166" s="5"/>
      <c r="H166" s="16"/>
    </row>
    <row r="167" spans="2:8">
      <c r="B167" s="5"/>
      <c r="H167" s="16"/>
    </row>
    <row r="168" spans="2:8">
      <c r="B168" s="5"/>
      <c r="H168" s="16"/>
    </row>
    <row r="169" spans="2:8">
      <c r="B169" s="5"/>
      <c r="H169" s="16"/>
    </row>
    <row r="170" spans="2:8">
      <c r="B170" s="5"/>
      <c r="H170" s="16"/>
    </row>
    <row r="171" spans="2:8">
      <c r="B171" s="5"/>
      <c r="H171" s="16"/>
    </row>
    <row r="172" spans="2:8">
      <c r="B172" s="5"/>
      <c r="H172" s="16"/>
    </row>
    <row r="173" spans="2:8">
      <c r="B173" s="5"/>
      <c r="H173" s="16"/>
    </row>
    <row r="174" spans="2:8">
      <c r="B174" s="5"/>
      <c r="H174" s="16"/>
    </row>
    <row r="175" spans="2:8">
      <c r="B175" s="5"/>
      <c r="H175" s="16"/>
    </row>
    <row r="176" spans="2:8">
      <c r="B176" s="5"/>
      <c r="H176" s="16"/>
    </row>
    <row r="177" spans="2:8">
      <c r="B177" s="5"/>
      <c r="H177" s="16"/>
    </row>
    <row r="178" spans="2:8">
      <c r="B178" s="5"/>
      <c r="H178" s="16"/>
    </row>
    <row r="179" spans="2:8">
      <c r="B179" s="5"/>
      <c r="H179" s="16"/>
    </row>
    <row r="180" spans="2:8">
      <c r="B180" s="5"/>
      <c r="H180" s="16"/>
    </row>
    <row r="181" spans="2:8">
      <c r="B181" s="5"/>
      <c r="H181" s="16"/>
    </row>
    <row r="182" spans="2:8">
      <c r="B182" s="5"/>
      <c r="H182" s="16"/>
    </row>
    <row r="183" spans="2:8">
      <c r="B183" s="5"/>
      <c r="H183" s="16"/>
    </row>
    <row r="184" spans="2:8">
      <c r="B184" s="5"/>
      <c r="H184" s="16"/>
    </row>
    <row r="185" spans="2:8">
      <c r="B185" s="5"/>
      <c r="H185" s="16"/>
    </row>
    <row r="186" spans="2:8">
      <c r="B186" s="5"/>
      <c r="H186" s="16"/>
    </row>
    <row r="187" spans="2:8">
      <c r="B187" s="5"/>
      <c r="H187" s="16"/>
    </row>
    <row r="188" spans="2:8">
      <c r="B188" s="5"/>
      <c r="H188" s="16"/>
    </row>
    <row r="189" spans="2:8">
      <c r="B189" s="5"/>
      <c r="H189" s="16"/>
    </row>
    <row r="190" spans="2:8">
      <c r="B190" s="5"/>
      <c r="H190" s="16"/>
    </row>
    <row r="191" spans="2:8">
      <c r="B191" s="5"/>
      <c r="H191" s="16"/>
    </row>
    <row r="192" spans="2:8">
      <c r="B192" s="5"/>
      <c r="H192" s="16"/>
    </row>
    <row r="193" spans="2:8">
      <c r="B193" s="5"/>
      <c r="H193" s="16"/>
    </row>
    <row r="194" spans="2:8">
      <c r="B194" s="5"/>
      <c r="H194" s="16"/>
    </row>
    <row r="195" spans="2:8">
      <c r="B195" s="5"/>
      <c r="H195" s="16"/>
    </row>
    <row r="196" spans="2:8">
      <c r="B196" s="5"/>
      <c r="H196" s="16"/>
    </row>
    <row r="197" spans="2:8">
      <c r="B197" s="5"/>
      <c r="H197" s="16"/>
    </row>
    <row r="198" spans="2:8">
      <c r="B198" s="5"/>
      <c r="H198" s="16"/>
    </row>
    <row r="199" spans="2:8">
      <c r="B199" s="5"/>
      <c r="H199" s="16"/>
    </row>
    <row r="200" spans="2:8">
      <c r="B200" s="5"/>
      <c r="H200" s="16"/>
    </row>
    <row r="201" spans="2:8">
      <c r="B201" s="5"/>
      <c r="H201" s="16"/>
    </row>
    <row r="202" spans="2:8">
      <c r="B202" s="5"/>
      <c r="H202" s="16"/>
    </row>
    <row r="203" spans="2:8">
      <c r="B203" s="5"/>
      <c r="H203" s="16"/>
    </row>
    <row r="204" spans="2:8">
      <c r="B204" s="5"/>
      <c r="H204" s="16"/>
    </row>
    <row r="205" spans="2:8">
      <c r="B205" s="5"/>
      <c r="H205" s="16"/>
    </row>
    <row r="206" spans="2:8">
      <c r="B206" s="5"/>
      <c r="H206" s="16"/>
    </row>
    <row r="207" spans="2:8">
      <c r="B207" s="5"/>
      <c r="H207" s="16"/>
    </row>
    <row r="208" spans="2:8">
      <c r="B208" s="5"/>
      <c r="H208" s="16"/>
    </row>
    <row r="209" spans="2:8">
      <c r="B209" s="5"/>
      <c r="H209" s="16"/>
    </row>
    <row r="210" spans="2:8">
      <c r="B210" s="5"/>
      <c r="H210" s="16"/>
    </row>
    <row r="211" spans="2:8">
      <c r="B211" s="5"/>
      <c r="H211" s="16"/>
    </row>
    <row r="212" spans="2:8">
      <c r="B212" s="5"/>
      <c r="H212" s="16"/>
    </row>
    <row r="213" spans="2:8">
      <c r="B213" s="5"/>
      <c r="H213" s="16"/>
    </row>
    <row r="214" spans="2:8">
      <c r="B214" s="5"/>
      <c r="H214" s="16"/>
    </row>
    <row r="215" spans="2:8">
      <c r="B215" s="5"/>
      <c r="H215" s="16"/>
    </row>
    <row r="216" spans="2:8">
      <c r="B216" s="5"/>
      <c r="H216" s="16"/>
    </row>
    <row r="217" spans="2:8">
      <c r="B217" s="5"/>
      <c r="H217" s="16"/>
    </row>
    <row r="218" spans="2:8">
      <c r="B218" s="5"/>
      <c r="H218" s="16"/>
    </row>
    <row r="219" spans="2:8">
      <c r="B219" s="5"/>
      <c r="H219" s="16"/>
    </row>
    <row r="220" spans="2:8">
      <c r="B220" s="5"/>
      <c r="H220" s="16"/>
    </row>
    <row r="221" spans="2:8">
      <c r="B221" s="5"/>
      <c r="H221" s="16"/>
    </row>
    <row r="222" spans="2:8">
      <c r="B222" s="5"/>
      <c r="H222" s="16"/>
    </row>
    <row r="223" spans="2:8">
      <c r="B223" s="5"/>
      <c r="H223" s="16"/>
    </row>
    <row r="224" spans="2:8">
      <c r="B224" s="5"/>
      <c r="H224" s="16"/>
    </row>
    <row r="225" spans="2:8">
      <c r="B225" s="5"/>
      <c r="H225" s="16"/>
    </row>
    <row r="226" spans="2:8">
      <c r="B226" s="5"/>
      <c r="H226" s="16"/>
    </row>
    <row r="227" spans="2:8">
      <c r="B227" s="5"/>
      <c r="H227" s="16"/>
    </row>
    <row r="228" spans="2:8">
      <c r="B228" s="5"/>
      <c r="H228" s="16"/>
    </row>
    <row r="229" spans="2:8">
      <c r="B229" s="5"/>
      <c r="H229" s="16"/>
    </row>
    <row r="230" spans="2:8">
      <c r="B230" s="5"/>
      <c r="H230" s="16"/>
    </row>
    <row r="231" spans="2:8">
      <c r="B231" s="5"/>
      <c r="H231" s="16"/>
    </row>
    <row r="232" spans="2:8">
      <c r="B232" s="5"/>
      <c r="H232" s="16"/>
    </row>
    <row r="233" spans="2:8">
      <c r="B233" s="5"/>
      <c r="H233" s="16"/>
    </row>
    <row r="234" spans="2:8">
      <c r="B234" s="5"/>
      <c r="H234" s="16"/>
    </row>
    <row r="235" spans="2:8">
      <c r="B235" s="5"/>
      <c r="H235" s="16"/>
    </row>
    <row r="236" spans="2:8">
      <c r="B236" s="5"/>
      <c r="H236" s="16"/>
    </row>
    <row r="237" spans="2:8">
      <c r="B237" s="5"/>
      <c r="H237" s="16"/>
    </row>
    <row r="238" spans="2:8">
      <c r="B238" s="5"/>
      <c r="H238" s="16"/>
    </row>
    <row r="239" spans="2:8">
      <c r="B239" s="5"/>
      <c r="H239" s="16"/>
    </row>
    <row r="240" spans="2:8">
      <c r="B240" s="5"/>
      <c r="H240" s="16"/>
    </row>
    <row r="241" spans="2:8">
      <c r="B241" s="5"/>
      <c r="H241" s="16"/>
    </row>
    <row r="242" spans="2:8">
      <c r="B242" s="5"/>
      <c r="H242" s="16"/>
    </row>
    <row r="243" spans="2:8">
      <c r="B243" s="5"/>
      <c r="H243" s="16"/>
    </row>
    <row r="244" spans="2:8">
      <c r="B244" s="5"/>
      <c r="H244" s="16"/>
    </row>
    <row r="245" spans="2:8">
      <c r="B245" s="5"/>
      <c r="H245" s="16"/>
    </row>
    <row r="246" spans="2:8">
      <c r="B246" s="5"/>
      <c r="H246" s="16"/>
    </row>
    <row r="247" spans="2:8">
      <c r="B247" s="5"/>
      <c r="H247" s="16"/>
    </row>
    <row r="248" spans="2:8">
      <c r="B248" s="5"/>
      <c r="H248" s="16"/>
    </row>
    <row r="249" spans="2:8">
      <c r="B249" s="5"/>
      <c r="H249" s="16"/>
    </row>
    <row r="250" spans="2:8">
      <c r="B250" s="5"/>
      <c r="H250" s="16"/>
    </row>
    <row r="251" spans="2:8">
      <c r="B251" s="5"/>
      <c r="H251" s="16"/>
    </row>
    <row r="252" spans="2:8">
      <c r="B252" s="5"/>
      <c r="H252" s="16"/>
    </row>
    <row r="253" spans="2:8">
      <c r="B253" s="5"/>
      <c r="H253" s="16"/>
    </row>
    <row r="254" spans="2:8">
      <c r="B254" s="5"/>
      <c r="H254" s="16"/>
    </row>
    <row r="255" spans="2:8">
      <c r="B255" s="5"/>
      <c r="H255" s="16"/>
    </row>
    <row r="256" spans="2:8">
      <c r="B256" s="5"/>
      <c r="H256" s="16"/>
    </row>
    <row r="257" spans="2:8">
      <c r="B257" s="5"/>
      <c r="H257" s="16"/>
    </row>
    <row r="258" spans="2:8">
      <c r="B258" s="5"/>
      <c r="H258" s="16"/>
    </row>
    <row r="259" spans="2:8">
      <c r="B259" s="5"/>
      <c r="H259" s="16"/>
    </row>
    <row r="260" spans="2:8">
      <c r="B260" s="5"/>
      <c r="H260" s="16"/>
    </row>
    <row r="261" spans="2:8">
      <c r="B261" s="5"/>
      <c r="H261" s="16"/>
    </row>
    <row r="262" spans="2:8">
      <c r="B262" s="5"/>
      <c r="H262" s="16"/>
    </row>
    <row r="263" spans="2:8">
      <c r="B263" s="5"/>
      <c r="H263" s="16"/>
    </row>
    <row r="264" spans="2:8">
      <c r="B264" s="5"/>
      <c r="H264" s="16"/>
    </row>
    <row r="265" spans="2:8">
      <c r="B265" s="5"/>
      <c r="H265" s="16"/>
    </row>
    <row r="266" spans="2:8">
      <c r="B266" s="5"/>
      <c r="H266" s="16"/>
    </row>
    <row r="267" spans="2:8">
      <c r="B267" s="5"/>
      <c r="H267" s="16"/>
    </row>
    <row r="268" spans="2:8">
      <c r="B268" s="5"/>
      <c r="H268" s="16"/>
    </row>
    <row r="269" spans="2:8">
      <c r="B269" s="5"/>
      <c r="H269" s="16"/>
    </row>
    <row r="270" spans="2:8">
      <c r="B270" s="5"/>
      <c r="H270" s="16"/>
    </row>
    <row r="271" spans="2:8">
      <c r="B271" s="5"/>
      <c r="H271" s="16"/>
    </row>
    <row r="272" spans="2:8">
      <c r="B272" s="5"/>
      <c r="H272" s="16"/>
    </row>
    <row r="273" spans="2:8">
      <c r="B273" s="5"/>
      <c r="H273" s="16"/>
    </row>
    <row r="274" spans="2:8">
      <c r="B274" s="5"/>
      <c r="H274" s="16"/>
    </row>
    <row r="275" spans="2:8">
      <c r="B275" s="5"/>
      <c r="H275" s="16"/>
    </row>
    <row r="276" spans="2:8">
      <c r="B276" s="5"/>
      <c r="H276" s="16"/>
    </row>
    <row r="277" spans="2:8">
      <c r="B277" s="5"/>
      <c r="H277" s="16"/>
    </row>
    <row r="278" spans="2:8">
      <c r="B278" s="5"/>
      <c r="H278" s="16"/>
    </row>
    <row r="279" spans="2:8">
      <c r="B279" s="5"/>
      <c r="H279" s="16"/>
    </row>
    <row r="280" spans="2:8">
      <c r="B280" s="5"/>
      <c r="H280" s="16"/>
    </row>
    <row r="281" spans="2:8">
      <c r="B281" s="5"/>
      <c r="H281" s="16"/>
    </row>
    <row r="282" spans="2:8">
      <c r="B282" s="5"/>
      <c r="H282" s="16"/>
    </row>
    <row r="283" spans="2:8">
      <c r="B283" s="5"/>
      <c r="H283" s="16"/>
    </row>
    <row r="284" spans="2:8">
      <c r="B284" s="5"/>
      <c r="H284" s="16"/>
    </row>
    <row r="285" spans="2:8">
      <c r="B285" s="5"/>
      <c r="H285" s="16"/>
    </row>
    <row r="286" spans="2:8">
      <c r="B286" s="5"/>
      <c r="H286" s="16"/>
    </row>
    <row r="287" spans="2:8">
      <c r="B287" s="5"/>
      <c r="H287" s="16"/>
    </row>
    <row r="288" spans="2:8">
      <c r="B288" s="5"/>
      <c r="H288" s="16"/>
    </row>
    <row r="289" spans="2:8">
      <c r="B289" s="5"/>
      <c r="H289" s="16"/>
    </row>
    <row r="290" spans="2:8">
      <c r="B290" s="5"/>
      <c r="H290" s="16"/>
    </row>
    <row r="291" spans="2:8">
      <c r="B291" s="5"/>
      <c r="H291" s="16"/>
    </row>
    <row r="292" spans="2:8">
      <c r="B292" s="5"/>
      <c r="H292" s="16"/>
    </row>
    <row r="293" spans="2:8">
      <c r="B293" s="5"/>
      <c r="H293" s="16"/>
    </row>
    <row r="294" spans="2:8">
      <c r="B294" s="5"/>
      <c r="H294" s="16"/>
    </row>
    <row r="295" spans="2:8">
      <c r="B295" s="5"/>
      <c r="H295" s="16"/>
    </row>
    <row r="296" spans="2:8">
      <c r="B296" s="5"/>
      <c r="H296" s="16"/>
    </row>
    <row r="297" spans="2:8">
      <c r="B297" s="5"/>
      <c r="H297" s="16"/>
    </row>
    <row r="298" spans="2:8">
      <c r="B298" s="5"/>
      <c r="H298" s="16"/>
    </row>
    <row r="299" spans="2:8">
      <c r="B299" s="5"/>
      <c r="H299" s="16"/>
    </row>
    <row r="300" spans="2:8">
      <c r="B300" s="5"/>
      <c r="H300" s="16"/>
    </row>
    <row r="301" spans="2:8">
      <c r="B301" s="5"/>
      <c r="H301" s="16"/>
    </row>
    <row r="302" spans="2:8">
      <c r="B302" s="5"/>
      <c r="H302" s="16"/>
    </row>
    <row r="303" spans="2:8">
      <c r="B303" s="5"/>
      <c r="H303" s="16"/>
    </row>
    <row r="304" spans="2:8">
      <c r="B304" s="5"/>
      <c r="H304" s="16"/>
    </row>
    <row r="305" spans="2:8">
      <c r="B305" s="5"/>
      <c r="H305" s="16"/>
    </row>
    <row r="306" spans="2:8">
      <c r="B306" s="5"/>
      <c r="H306" s="16"/>
    </row>
    <row r="307" spans="2:8">
      <c r="B307" s="5"/>
      <c r="H307" s="16"/>
    </row>
    <row r="308" spans="2:8">
      <c r="B308" s="5"/>
      <c r="H308" s="16"/>
    </row>
    <row r="309" spans="2:8">
      <c r="B309" s="5"/>
      <c r="H309" s="16"/>
    </row>
    <row r="310" spans="2:8">
      <c r="B310" s="5"/>
      <c r="H310" s="16"/>
    </row>
    <row r="311" spans="2:8">
      <c r="B311" s="5"/>
      <c r="H311" s="16"/>
    </row>
    <row r="312" spans="2:8">
      <c r="B312" s="5"/>
      <c r="H312" s="16"/>
    </row>
    <row r="313" spans="2:8">
      <c r="B313" s="5"/>
      <c r="H313" s="16"/>
    </row>
    <row r="314" spans="2:8">
      <c r="B314" s="5"/>
      <c r="H314" s="16"/>
    </row>
    <row r="315" spans="2:8">
      <c r="B315" s="5"/>
      <c r="H315" s="16"/>
    </row>
    <row r="316" spans="2:8">
      <c r="B316" s="5"/>
      <c r="H316" s="16"/>
    </row>
    <row r="317" spans="2:8">
      <c r="B317" s="5"/>
      <c r="H317" s="16"/>
    </row>
    <row r="318" spans="2:8">
      <c r="B318" s="5"/>
      <c r="H318" s="16"/>
    </row>
    <row r="319" spans="2:8">
      <c r="B319" s="5"/>
      <c r="H319" s="16"/>
    </row>
    <row r="320" spans="2:8">
      <c r="B320" s="5"/>
      <c r="H320" s="16"/>
    </row>
    <row r="321" spans="2:8">
      <c r="B321" s="5"/>
      <c r="H321" s="16"/>
    </row>
    <row r="322" spans="2:8">
      <c r="B322" s="5"/>
      <c r="H322" s="16"/>
    </row>
    <row r="323" spans="2:8">
      <c r="B323" s="5"/>
      <c r="H323" s="16"/>
    </row>
    <row r="324" spans="2:8">
      <c r="B324" s="5"/>
      <c r="H324" s="16"/>
    </row>
    <row r="325" spans="2:8">
      <c r="B325" s="5"/>
      <c r="H325" s="16"/>
    </row>
    <row r="326" spans="2:8">
      <c r="B326" s="5"/>
      <c r="H326" s="16"/>
    </row>
    <row r="327" spans="2:8">
      <c r="B327" s="5"/>
      <c r="H327" s="16"/>
    </row>
    <row r="328" spans="2:8">
      <c r="B328" s="5"/>
      <c r="H328" s="16"/>
    </row>
    <row r="329" spans="2:8">
      <c r="B329" s="5"/>
      <c r="H329" s="16"/>
    </row>
    <row r="330" spans="2:8">
      <c r="B330" s="5"/>
      <c r="H330" s="16"/>
    </row>
    <row r="331" spans="2:8">
      <c r="B331" s="5"/>
      <c r="H331" s="16"/>
    </row>
    <row r="332" spans="2:8">
      <c r="B332" s="5"/>
      <c r="H332" s="16"/>
    </row>
    <row r="333" spans="2:8">
      <c r="B333" s="5"/>
      <c r="H333" s="16"/>
    </row>
    <row r="334" spans="2:8">
      <c r="B334" s="5"/>
      <c r="H334" s="16"/>
    </row>
    <row r="335" spans="2:8">
      <c r="B335" s="5"/>
      <c r="H335" s="16"/>
    </row>
    <row r="336" spans="2:8">
      <c r="B336" s="5"/>
      <c r="H336" s="16"/>
    </row>
    <row r="337" spans="2:8">
      <c r="B337" s="5"/>
      <c r="H337" s="16"/>
    </row>
    <row r="338" spans="2:8">
      <c r="B338" s="5"/>
      <c r="H338" s="16"/>
    </row>
    <row r="339" spans="2:8">
      <c r="B339" s="5"/>
      <c r="H339" s="16"/>
    </row>
    <row r="340" spans="2:8">
      <c r="B340" s="5"/>
      <c r="H340" s="16"/>
    </row>
    <row r="341" spans="2:8">
      <c r="B341" s="5"/>
      <c r="H341" s="16"/>
    </row>
    <row r="342" spans="2:8">
      <c r="B342" s="5"/>
      <c r="H342" s="16"/>
    </row>
    <row r="343" spans="2:8">
      <c r="B343" s="5"/>
      <c r="H343" s="16"/>
    </row>
    <row r="344" spans="2:8">
      <c r="B344" s="5"/>
      <c r="H344" s="16"/>
    </row>
    <row r="345" spans="2:8">
      <c r="B345" s="5"/>
      <c r="H345" s="16"/>
    </row>
    <row r="346" spans="2:8">
      <c r="B346" s="5"/>
      <c r="H346" s="16"/>
    </row>
    <row r="347" spans="2:8">
      <c r="B347" s="5"/>
      <c r="H347" s="16"/>
    </row>
    <row r="348" spans="2:8">
      <c r="B348" s="5"/>
      <c r="H348" s="16"/>
    </row>
    <row r="349" spans="2:8">
      <c r="B349" s="5"/>
      <c r="H349" s="16"/>
    </row>
    <row r="350" spans="2:8">
      <c r="B350" s="5"/>
      <c r="H350" s="16"/>
    </row>
    <row r="351" spans="2:8">
      <c r="B351" s="5"/>
      <c r="H351" s="16"/>
    </row>
    <row r="352" spans="2:8">
      <c r="B352" s="5"/>
      <c r="H352" s="16"/>
    </row>
    <row r="353" spans="2:8">
      <c r="B353" s="5"/>
      <c r="H353" s="16"/>
    </row>
    <row r="354" spans="2:8">
      <c r="B354" s="5"/>
      <c r="H354" s="16"/>
    </row>
    <row r="355" spans="2:8">
      <c r="B355" s="5"/>
      <c r="H355" s="16"/>
    </row>
    <row r="356" spans="2:8">
      <c r="B356" s="5"/>
      <c r="H356" s="16"/>
    </row>
    <row r="357" spans="2:8">
      <c r="B357" s="5"/>
      <c r="H357" s="16"/>
    </row>
    <row r="358" spans="2:8">
      <c r="B358" s="5"/>
      <c r="H358" s="16"/>
    </row>
    <row r="359" spans="2:8">
      <c r="B359" s="5"/>
      <c r="H359" s="16"/>
    </row>
    <row r="360" spans="2:8">
      <c r="B360" s="5"/>
      <c r="H360" s="16"/>
    </row>
    <row r="361" spans="2:8">
      <c r="B361" s="5"/>
      <c r="H361" s="16"/>
    </row>
    <row r="362" spans="2:8">
      <c r="B362" s="5"/>
      <c r="H362" s="16"/>
    </row>
    <row r="363" spans="2:8">
      <c r="B363" s="5"/>
      <c r="H363" s="16"/>
    </row>
    <row r="364" spans="2:8">
      <c r="B364" s="5"/>
      <c r="H364" s="16"/>
    </row>
    <row r="365" spans="2:8">
      <c r="B365" s="5"/>
      <c r="H365" s="16"/>
    </row>
    <row r="366" spans="2:8">
      <c r="B366" s="5"/>
      <c r="H366" s="16"/>
    </row>
    <row r="367" spans="2:8">
      <c r="B367" s="5"/>
      <c r="H367" s="16"/>
    </row>
    <row r="368" spans="2:8">
      <c r="B368" s="5"/>
      <c r="H368" s="16"/>
    </row>
    <row r="369" spans="2:8">
      <c r="B369" s="5"/>
      <c r="H369" s="16"/>
    </row>
    <row r="370" spans="2:8">
      <c r="B370" s="5"/>
      <c r="H370" s="16"/>
    </row>
    <row r="371" spans="2:8">
      <c r="B371" s="5"/>
      <c r="H371" s="16"/>
    </row>
    <row r="372" spans="2:8">
      <c r="B372" s="5"/>
      <c r="H372" s="16"/>
    </row>
    <row r="373" spans="2:8">
      <c r="B373" s="5"/>
      <c r="H373" s="16"/>
    </row>
    <row r="374" spans="2:8">
      <c r="B374" s="5"/>
      <c r="H374" s="16"/>
    </row>
    <row r="375" spans="2:8">
      <c r="B375" s="5"/>
      <c r="H375" s="16"/>
    </row>
    <row r="376" spans="2:8">
      <c r="B376" s="5"/>
      <c r="H376" s="16"/>
    </row>
    <row r="377" spans="2:8">
      <c r="B377" s="5"/>
      <c r="H377" s="16"/>
    </row>
    <row r="378" spans="2:8">
      <c r="B378" s="5"/>
      <c r="H378" s="16"/>
    </row>
    <row r="379" spans="2:8">
      <c r="B379" s="5"/>
      <c r="H379" s="16"/>
    </row>
    <row r="380" spans="2:8">
      <c r="B380" s="5"/>
      <c r="H380" s="16"/>
    </row>
    <row r="381" spans="2:8">
      <c r="B381" s="5"/>
      <c r="H381" s="16"/>
    </row>
    <row r="382" spans="2:8">
      <c r="B382" s="5"/>
      <c r="H382" s="16"/>
    </row>
    <row r="383" spans="2:8">
      <c r="B383" s="5"/>
      <c r="H383" s="16"/>
    </row>
    <row r="384" spans="2:8">
      <c r="B384" s="5"/>
      <c r="H384" s="16"/>
    </row>
    <row r="385" spans="2:8">
      <c r="B385" s="5"/>
      <c r="H385" s="16"/>
    </row>
    <row r="386" spans="2:8">
      <c r="B386" s="5"/>
      <c r="H386" s="16"/>
    </row>
    <row r="387" spans="2:8">
      <c r="B387" s="5"/>
      <c r="H387" s="16"/>
    </row>
    <row r="388" spans="2:8">
      <c r="B388" s="5"/>
      <c r="H388" s="16"/>
    </row>
    <row r="389" spans="2:8">
      <c r="B389" s="5"/>
      <c r="H389" s="16"/>
    </row>
    <row r="390" spans="2:8">
      <c r="B390" s="5"/>
      <c r="H390" s="16"/>
    </row>
    <row r="391" spans="2:8">
      <c r="B391" s="5"/>
      <c r="H391" s="16"/>
    </row>
    <row r="392" spans="2:8">
      <c r="B392" s="5"/>
      <c r="H392" s="16"/>
    </row>
    <row r="393" spans="2:8">
      <c r="B393" s="5"/>
      <c r="H393" s="16"/>
    </row>
    <row r="394" spans="2:8">
      <c r="B394" s="5"/>
      <c r="H394" s="16"/>
    </row>
    <row r="395" spans="2:8">
      <c r="B395" s="5"/>
      <c r="H395" s="16"/>
    </row>
    <row r="396" spans="2:8">
      <c r="B396" s="5"/>
      <c r="H396" s="16"/>
    </row>
    <row r="397" spans="2:8">
      <c r="B397" s="5"/>
      <c r="H397" s="16"/>
    </row>
    <row r="398" spans="2:8">
      <c r="B398" s="5"/>
      <c r="H398" s="16"/>
    </row>
    <row r="399" spans="2:8">
      <c r="B399" s="5"/>
      <c r="H399" s="16"/>
    </row>
    <row r="400" spans="2:8">
      <c r="B400" s="5"/>
      <c r="H400" s="16"/>
    </row>
    <row r="401" spans="2:8">
      <c r="B401" s="5"/>
      <c r="H401" s="16"/>
    </row>
    <row r="402" spans="2:8">
      <c r="B402" s="5"/>
      <c r="H402" s="16"/>
    </row>
    <row r="403" spans="2:8">
      <c r="B403" s="5"/>
      <c r="H403" s="16"/>
    </row>
    <row r="404" spans="2:8">
      <c r="B404" s="5"/>
      <c r="H404" s="16"/>
    </row>
    <row r="405" spans="2:8">
      <c r="B405" s="5"/>
      <c r="H405" s="16"/>
    </row>
    <row r="406" spans="2:8">
      <c r="B406" s="5"/>
      <c r="H406" s="16"/>
    </row>
    <row r="407" spans="2:8">
      <c r="B407" s="5"/>
      <c r="H407" s="16"/>
    </row>
    <row r="408" spans="2:8">
      <c r="B408" s="5"/>
      <c r="H408" s="16"/>
    </row>
    <row r="409" spans="2:8">
      <c r="B409" s="5"/>
      <c r="H409" s="16"/>
    </row>
    <row r="410" spans="2:8">
      <c r="B410" s="5"/>
      <c r="H410" s="16"/>
    </row>
    <row r="411" spans="2:8">
      <c r="B411" s="5"/>
      <c r="H411" s="16"/>
    </row>
    <row r="412" spans="2:8">
      <c r="B412" s="5"/>
      <c r="H412" s="16"/>
    </row>
    <row r="413" spans="2:8">
      <c r="B413" s="5"/>
      <c r="H413" s="16"/>
    </row>
    <row r="414" spans="2:8">
      <c r="B414" s="5"/>
      <c r="H414" s="16"/>
    </row>
    <row r="415" spans="2:8">
      <c r="B415" s="5"/>
      <c r="H415" s="16"/>
    </row>
    <row r="416" spans="2:8">
      <c r="B416" s="5"/>
      <c r="H416" s="16"/>
    </row>
    <row r="417" spans="2:8">
      <c r="B417" s="5"/>
      <c r="H417" s="16"/>
    </row>
    <row r="418" spans="2:8">
      <c r="B418" s="5"/>
      <c r="H418" s="16"/>
    </row>
    <row r="419" spans="2:8">
      <c r="B419" s="5"/>
      <c r="H419" s="16"/>
    </row>
    <row r="420" spans="2:8">
      <c r="B420" s="5"/>
      <c r="H420" s="16"/>
    </row>
    <row r="421" spans="2:8">
      <c r="B421" s="5"/>
      <c r="H421" s="16"/>
    </row>
    <row r="422" spans="2:8">
      <c r="B422" s="5"/>
      <c r="H422" s="16"/>
    </row>
    <row r="423" spans="2:8">
      <c r="B423" s="5"/>
      <c r="H423" s="16"/>
    </row>
    <row r="424" spans="2:8">
      <c r="B424" s="5"/>
      <c r="H424" s="16"/>
    </row>
    <row r="425" spans="2:8">
      <c r="B425" s="5"/>
      <c r="H425" s="16"/>
    </row>
    <row r="426" spans="2:8">
      <c r="B426" s="5"/>
      <c r="H426" s="16"/>
    </row>
    <row r="427" spans="2:8">
      <c r="B427" s="5"/>
      <c r="H427" s="16"/>
    </row>
    <row r="428" spans="2:8">
      <c r="B428" s="5"/>
      <c r="H428" s="16"/>
    </row>
    <row r="429" spans="2:8">
      <c r="B429" s="5"/>
      <c r="H429" s="16"/>
    </row>
    <row r="430" spans="2:8">
      <c r="B430" s="5"/>
      <c r="H430" s="16"/>
    </row>
    <row r="431" spans="2:8">
      <c r="B431" s="5"/>
      <c r="H431" s="16"/>
    </row>
    <row r="432" spans="2:8">
      <c r="B432" s="5"/>
      <c r="H432" s="16"/>
    </row>
    <row r="433" spans="2:8">
      <c r="B433" s="5"/>
      <c r="H433" s="16"/>
    </row>
    <row r="434" spans="2:8">
      <c r="B434" s="5"/>
      <c r="H434" s="16"/>
    </row>
    <row r="435" spans="2:8">
      <c r="B435" s="5"/>
      <c r="H435" s="16"/>
    </row>
    <row r="436" spans="2:8">
      <c r="B436" s="5"/>
      <c r="H436" s="16"/>
    </row>
    <row r="437" spans="2:8">
      <c r="B437" s="5"/>
      <c r="H437" s="16"/>
    </row>
    <row r="438" spans="2:8">
      <c r="B438" s="5"/>
      <c r="H438" s="16"/>
    </row>
    <row r="439" spans="2:8">
      <c r="B439" s="5"/>
      <c r="H439" s="16"/>
    </row>
    <row r="440" spans="2:8">
      <c r="B440" s="5"/>
      <c r="H440" s="16"/>
    </row>
    <row r="441" spans="2:8">
      <c r="B441" s="5"/>
      <c r="H441" s="16"/>
    </row>
    <row r="442" spans="2:8">
      <c r="B442" s="5"/>
      <c r="H442" s="16"/>
    </row>
    <row r="443" spans="2:8">
      <c r="B443" s="5"/>
      <c r="H443" s="16"/>
    </row>
    <row r="444" spans="2:8">
      <c r="B444" s="5"/>
      <c r="H444" s="16"/>
    </row>
    <row r="445" spans="2:8">
      <c r="B445" s="5"/>
      <c r="H445" s="16"/>
    </row>
    <row r="446" spans="2:8">
      <c r="B446" s="5"/>
      <c r="H446" s="16"/>
    </row>
    <row r="447" spans="2:8">
      <c r="B447" s="5"/>
      <c r="H447" s="16"/>
    </row>
    <row r="448" spans="2:8">
      <c r="B448" s="5"/>
      <c r="H448" s="16"/>
    </row>
    <row r="449" spans="2:8">
      <c r="B449" s="5"/>
      <c r="H449" s="16"/>
    </row>
    <row r="450" spans="2:8">
      <c r="B450" s="5"/>
      <c r="H450" s="16"/>
    </row>
    <row r="451" spans="2:8">
      <c r="B451" s="5"/>
      <c r="H451" s="16"/>
    </row>
    <row r="452" spans="2:8">
      <c r="B452" s="5"/>
      <c r="H452" s="16"/>
    </row>
    <row r="453" spans="2:8">
      <c r="B453" s="5"/>
      <c r="H453" s="16"/>
    </row>
    <row r="454" spans="2:8">
      <c r="B454" s="5"/>
      <c r="H454" s="16"/>
    </row>
    <row r="455" spans="2:8">
      <c r="B455" s="5"/>
      <c r="H455" s="16"/>
    </row>
    <row r="456" spans="2:8">
      <c r="B456" s="5"/>
      <c r="H456" s="16"/>
    </row>
    <row r="457" spans="2:8">
      <c r="B457" s="5"/>
      <c r="H457" s="16"/>
    </row>
    <row r="458" spans="2:8">
      <c r="B458" s="5"/>
      <c r="H458" s="16"/>
    </row>
    <row r="459" spans="2:8">
      <c r="B459" s="5"/>
      <c r="H459" s="16"/>
    </row>
    <row r="460" spans="2:8">
      <c r="B460" s="5"/>
      <c r="H460" s="16"/>
    </row>
    <row r="461" spans="2:8">
      <c r="B461" s="5"/>
      <c r="H461" s="16"/>
    </row>
    <row r="462" spans="2:8">
      <c r="B462" s="5"/>
      <c r="H462" s="16"/>
    </row>
    <row r="463" spans="2:8">
      <c r="B463" s="5"/>
      <c r="H463" s="16"/>
    </row>
    <row r="464" spans="2:8">
      <c r="B464" s="5"/>
      <c r="H464" s="16"/>
    </row>
    <row r="465" spans="2:8">
      <c r="B465" s="5"/>
      <c r="H465" s="16"/>
    </row>
    <row r="466" spans="2:8">
      <c r="B466" s="5"/>
      <c r="H466" s="16"/>
    </row>
    <row r="467" spans="2:8">
      <c r="B467" s="5"/>
      <c r="H467" s="16"/>
    </row>
    <row r="468" spans="2:8">
      <c r="B468" s="5"/>
      <c r="H468" s="16"/>
    </row>
    <row r="469" spans="2:8">
      <c r="B469" s="5"/>
      <c r="H469" s="16"/>
    </row>
    <row r="470" spans="2:8">
      <c r="B470" s="5"/>
      <c r="H470" s="16"/>
    </row>
    <row r="471" spans="2:8">
      <c r="B471" s="5"/>
      <c r="H471" s="16"/>
    </row>
    <row r="472" spans="2:8">
      <c r="B472" s="5"/>
      <c r="H472" s="16"/>
    </row>
    <row r="473" spans="2:8">
      <c r="B473" s="5"/>
      <c r="H473" s="16"/>
    </row>
    <row r="474" spans="2:8">
      <c r="B474" s="5"/>
      <c r="H474" s="16"/>
    </row>
    <row r="475" spans="2:8">
      <c r="B475" s="5"/>
      <c r="H475" s="16"/>
    </row>
    <row r="476" spans="2:8">
      <c r="B476" s="5"/>
      <c r="H476" s="16"/>
    </row>
    <row r="477" spans="2:8">
      <c r="B477" s="5"/>
      <c r="H477" s="16"/>
    </row>
    <row r="478" spans="2:8">
      <c r="B478" s="5"/>
      <c r="H478" s="16"/>
    </row>
    <row r="479" spans="2:8">
      <c r="B479" s="5"/>
      <c r="H479" s="16"/>
    </row>
    <row r="480" spans="2:8">
      <c r="B480" s="5"/>
      <c r="H480" s="16"/>
    </row>
    <row r="481" spans="2:8">
      <c r="B481" s="5"/>
      <c r="H481" s="16"/>
    </row>
    <row r="482" spans="2:8">
      <c r="B482" s="5"/>
      <c r="H482" s="16"/>
    </row>
    <row r="483" spans="2:8">
      <c r="B483" s="5"/>
      <c r="H483" s="16"/>
    </row>
    <row r="484" spans="2:8">
      <c r="B484" s="5"/>
      <c r="H484" s="16"/>
    </row>
    <row r="485" spans="2:8">
      <c r="B485" s="5"/>
      <c r="H485" s="16"/>
    </row>
    <row r="486" spans="2:8">
      <c r="B486" s="5"/>
      <c r="H486" s="16"/>
    </row>
    <row r="487" spans="2:8">
      <c r="B487" s="5"/>
      <c r="H487" s="16"/>
    </row>
    <row r="488" spans="2:8">
      <c r="B488" s="5"/>
      <c r="H488" s="16"/>
    </row>
    <row r="489" spans="2:8">
      <c r="B489" s="5"/>
      <c r="H489" s="16"/>
    </row>
    <row r="490" spans="2:8">
      <c r="B490" s="5"/>
      <c r="H490" s="16"/>
    </row>
    <row r="491" spans="2:8">
      <c r="B491" s="5"/>
      <c r="H491" s="16"/>
    </row>
    <row r="492" spans="2:8">
      <c r="B492" s="5"/>
      <c r="H492" s="16"/>
    </row>
    <row r="493" spans="2:8">
      <c r="B493" s="5"/>
      <c r="H493" s="16"/>
    </row>
    <row r="494" spans="2:8">
      <c r="B494" s="5"/>
      <c r="H494" s="16"/>
    </row>
    <row r="495" spans="2:8">
      <c r="B495" s="5"/>
      <c r="H495" s="16"/>
    </row>
    <row r="496" spans="2:8">
      <c r="B496" s="5"/>
      <c r="H496" s="16"/>
    </row>
    <row r="497" spans="2:8">
      <c r="B497" s="5"/>
      <c r="H497" s="16"/>
    </row>
    <row r="498" spans="2:8">
      <c r="B498" s="5"/>
      <c r="H498" s="16"/>
    </row>
    <row r="499" spans="2:8">
      <c r="B499" s="5"/>
      <c r="H499" s="16"/>
    </row>
    <row r="500" spans="2:8">
      <c r="B500" s="5"/>
      <c r="H500" s="16"/>
    </row>
    <row r="501" spans="2:8">
      <c r="B501" s="5"/>
      <c r="H501" s="16"/>
    </row>
    <row r="502" spans="2:8">
      <c r="B502" s="5"/>
      <c r="H502" s="16"/>
    </row>
    <row r="503" spans="2:8">
      <c r="B503" s="5"/>
      <c r="H503" s="16"/>
    </row>
    <row r="504" spans="2:8">
      <c r="B504" s="5"/>
      <c r="H504" s="16"/>
    </row>
    <row r="505" spans="2:8">
      <c r="B505" s="5"/>
      <c r="H505" s="16"/>
    </row>
    <row r="506" spans="2:8">
      <c r="B506" s="5"/>
      <c r="H506" s="16"/>
    </row>
    <row r="507" spans="2:8">
      <c r="B507" s="5"/>
      <c r="H507" s="16"/>
    </row>
    <row r="508" spans="2:8">
      <c r="B508" s="5"/>
      <c r="H508" s="16"/>
    </row>
    <row r="509" spans="2:8">
      <c r="B509" s="5"/>
      <c r="H509" s="16"/>
    </row>
    <row r="510" spans="2:8">
      <c r="B510" s="5"/>
      <c r="H510" s="16"/>
    </row>
    <row r="511" spans="2:8">
      <c r="B511" s="5"/>
      <c r="H511" s="16"/>
    </row>
    <row r="512" spans="2:8">
      <c r="B512" s="5"/>
      <c r="H512" s="16"/>
    </row>
    <row r="513" spans="2:8">
      <c r="B513" s="5"/>
      <c r="H513" s="16"/>
    </row>
    <row r="514" spans="2:8">
      <c r="B514" s="5"/>
      <c r="H514" s="16"/>
    </row>
    <row r="515" spans="2:8">
      <c r="B515" s="5"/>
      <c r="H515" s="16"/>
    </row>
    <row r="516" spans="2:8">
      <c r="B516" s="5"/>
      <c r="H516" s="16"/>
    </row>
    <row r="517" spans="2:8">
      <c r="B517" s="5"/>
      <c r="H517" s="16"/>
    </row>
    <row r="518" spans="2:8">
      <c r="B518" s="5"/>
      <c r="H518" s="16"/>
    </row>
    <row r="519" spans="2:8">
      <c r="B519" s="5"/>
      <c r="H519" s="16"/>
    </row>
    <row r="520" spans="2:8">
      <c r="B520" s="5"/>
      <c r="H520" s="16"/>
    </row>
    <row r="521" spans="2:8">
      <c r="B521" s="5"/>
      <c r="H521" s="16"/>
    </row>
    <row r="522" spans="2:8">
      <c r="B522" s="5"/>
      <c r="H522" s="16"/>
    </row>
    <row r="523" spans="2:8">
      <c r="B523" s="5"/>
      <c r="H523" s="16"/>
    </row>
    <row r="524" spans="2:8">
      <c r="B524" s="5"/>
      <c r="H524" s="16"/>
    </row>
    <row r="525" spans="2:8">
      <c r="B525" s="5"/>
      <c r="H525" s="16"/>
    </row>
    <row r="526" spans="2:8">
      <c r="B526" s="5"/>
      <c r="H526" s="16"/>
    </row>
    <row r="527" spans="2:8">
      <c r="B527" s="5"/>
      <c r="H527" s="16"/>
    </row>
    <row r="528" spans="2:8">
      <c r="B528" s="5"/>
      <c r="H528" s="16"/>
    </row>
    <row r="529" spans="2:8">
      <c r="B529" s="5"/>
      <c r="H529" s="16"/>
    </row>
    <row r="530" spans="2:8">
      <c r="B530" s="5"/>
      <c r="H530" s="16"/>
    </row>
    <row r="531" spans="2:8">
      <c r="B531" s="5"/>
      <c r="H531" s="16"/>
    </row>
    <row r="532" spans="2:8">
      <c r="B532" s="5"/>
      <c r="H532" s="16"/>
    </row>
    <row r="533" spans="2:8">
      <c r="B533" s="5"/>
      <c r="H533" s="16"/>
    </row>
    <row r="534" spans="2:8">
      <c r="B534" s="5"/>
      <c r="H534" s="16"/>
    </row>
    <row r="535" spans="2:8">
      <c r="B535" s="5"/>
      <c r="H535" s="16"/>
    </row>
    <row r="536" spans="2:8">
      <c r="B536" s="5"/>
      <c r="H536" s="16"/>
    </row>
    <row r="537" spans="2:8">
      <c r="B537" s="5"/>
      <c r="H537" s="16"/>
    </row>
    <row r="538" spans="2:8">
      <c r="B538" s="5"/>
      <c r="H538" s="16"/>
    </row>
    <row r="539" spans="2:8">
      <c r="B539" s="5"/>
      <c r="H539" s="16"/>
    </row>
    <row r="540" spans="2:8">
      <c r="B540" s="5"/>
      <c r="H540" s="16"/>
    </row>
    <row r="541" spans="2:8">
      <c r="B541" s="5"/>
      <c r="H541" s="16"/>
    </row>
    <row r="542" spans="2:8">
      <c r="B542" s="5"/>
      <c r="H542" s="16"/>
    </row>
    <row r="543" spans="2:8">
      <c r="B543" s="5"/>
      <c r="H543" s="16"/>
    </row>
    <row r="544" spans="2:8">
      <c r="B544" s="5"/>
      <c r="H544" s="16"/>
    </row>
    <row r="545" spans="2:8">
      <c r="B545" s="5"/>
      <c r="H545" s="16"/>
    </row>
    <row r="546" spans="2:8">
      <c r="B546" s="5"/>
      <c r="H546" s="16"/>
    </row>
    <row r="547" spans="2:8">
      <c r="B547" s="5"/>
      <c r="H547" s="16"/>
    </row>
    <row r="548" spans="2:8">
      <c r="B548" s="5"/>
      <c r="H548" s="16"/>
    </row>
    <row r="549" spans="2:8">
      <c r="B549" s="5"/>
      <c r="H549" s="16"/>
    </row>
    <row r="550" spans="2:8">
      <c r="B550" s="5"/>
      <c r="H550" s="16"/>
    </row>
    <row r="551" spans="2:8">
      <c r="B551" s="5"/>
      <c r="H551" s="16"/>
    </row>
    <row r="552" spans="2:8">
      <c r="B552" s="5"/>
      <c r="H552" s="16"/>
    </row>
    <row r="553" spans="2:8">
      <c r="B553" s="5"/>
      <c r="H553" s="16"/>
    </row>
    <row r="554" spans="2:8">
      <c r="B554" s="5"/>
      <c r="H554" s="16"/>
    </row>
    <row r="555" spans="2:8">
      <c r="B555" s="5"/>
      <c r="H555" s="16"/>
    </row>
    <row r="556" spans="2:8">
      <c r="B556" s="5"/>
      <c r="H556" s="16"/>
    </row>
    <row r="557" spans="2:8">
      <c r="B557" s="5"/>
      <c r="H557" s="16"/>
    </row>
    <row r="558" spans="2:8">
      <c r="B558" s="5"/>
      <c r="H558" s="16"/>
    </row>
    <row r="559" spans="2:8">
      <c r="B559" s="5"/>
      <c r="H559" s="16"/>
    </row>
    <row r="560" spans="2:8">
      <c r="B560" s="5"/>
      <c r="H560" s="16"/>
    </row>
    <row r="561" spans="2:8">
      <c r="B561" s="5"/>
      <c r="H561" s="16"/>
    </row>
    <row r="562" spans="2:8">
      <c r="B562" s="5"/>
      <c r="H562" s="16"/>
    </row>
    <row r="563" spans="2:8">
      <c r="B563" s="5"/>
      <c r="H563" s="16"/>
    </row>
    <row r="564" spans="2:8">
      <c r="B564" s="5"/>
      <c r="H564" s="16"/>
    </row>
    <row r="565" spans="2:8">
      <c r="B565" s="5"/>
      <c r="H565" s="16"/>
    </row>
    <row r="566" spans="2:8">
      <c r="B566" s="5"/>
      <c r="H566" s="16"/>
    </row>
    <row r="567" spans="2:8">
      <c r="B567" s="5"/>
      <c r="H567" s="16"/>
    </row>
    <row r="568" spans="2:8">
      <c r="B568" s="5"/>
      <c r="H568" s="16"/>
    </row>
    <row r="569" spans="2:8">
      <c r="B569" s="5"/>
      <c r="H569" s="16"/>
    </row>
    <row r="570" spans="2:8">
      <c r="B570" s="5"/>
      <c r="H570" s="16"/>
    </row>
    <row r="571" spans="2:8">
      <c r="B571" s="5"/>
      <c r="H571" s="16"/>
    </row>
    <row r="572" spans="2:8">
      <c r="B572" s="5"/>
      <c r="H572" s="16"/>
    </row>
    <row r="573" spans="2:8">
      <c r="B573" s="5"/>
      <c r="H573" s="16"/>
    </row>
    <row r="574" spans="2:8">
      <c r="B574" s="5"/>
      <c r="H574" s="16"/>
    </row>
    <row r="575" spans="2:8">
      <c r="B575" s="5"/>
      <c r="H575" s="16"/>
    </row>
    <row r="576" spans="2:8">
      <c r="B576" s="5"/>
      <c r="H576" s="16"/>
    </row>
    <row r="577" spans="2:8">
      <c r="B577" s="5"/>
      <c r="H577" s="16"/>
    </row>
    <row r="578" spans="2:8">
      <c r="B578" s="5"/>
      <c r="H578" s="16"/>
    </row>
    <row r="579" spans="2:8">
      <c r="B579" s="5"/>
      <c r="H579" s="16"/>
    </row>
    <row r="580" spans="2:8">
      <c r="B580" s="5"/>
      <c r="H580" s="16"/>
    </row>
    <row r="581" spans="2:8">
      <c r="B581" s="5"/>
      <c r="H581" s="16"/>
    </row>
    <row r="582" spans="2:8">
      <c r="B582" s="5"/>
      <c r="H582" s="16"/>
    </row>
    <row r="583" spans="2:8">
      <c r="B583" s="5"/>
      <c r="H583" s="16"/>
    </row>
    <row r="584" spans="2:8">
      <c r="B584" s="5"/>
      <c r="H584" s="16"/>
    </row>
    <row r="585" spans="2:8">
      <c r="B585" s="5"/>
      <c r="H585" s="16"/>
    </row>
    <row r="586" spans="2:8">
      <c r="B586" s="5"/>
      <c r="H586" s="16"/>
    </row>
    <row r="587" spans="2:8">
      <c r="B587" s="5"/>
      <c r="H587" s="16"/>
    </row>
    <row r="588" spans="2:8">
      <c r="B588" s="5"/>
      <c r="H588" s="16"/>
    </row>
    <row r="589" spans="2:8">
      <c r="B589" s="5"/>
      <c r="H589" s="16"/>
    </row>
    <row r="590" spans="2:8">
      <c r="B590" s="5"/>
      <c r="H590" s="16"/>
    </row>
    <row r="591" spans="2:8">
      <c r="B591" s="5"/>
      <c r="H591" s="16"/>
    </row>
    <row r="592" spans="2:8">
      <c r="B592" s="5"/>
      <c r="H592" s="16"/>
    </row>
    <row r="593" spans="2:8">
      <c r="B593" s="5"/>
      <c r="H593" s="16"/>
    </row>
    <row r="594" spans="2:8">
      <c r="B594" s="5"/>
      <c r="H594" s="16"/>
    </row>
    <row r="595" spans="2:8">
      <c r="B595" s="5"/>
      <c r="H595" s="16"/>
    </row>
    <row r="596" spans="2:8">
      <c r="B596" s="5"/>
      <c r="H596" s="16"/>
    </row>
    <row r="597" spans="2:8">
      <c r="B597" s="5"/>
      <c r="H597" s="16"/>
    </row>
    <row r="598" spans="2:8">
      <c r="B598" s="5"/>
      <c r="H598" s="16"/>
    </row>
    <row r="599" spans="2:8">
      <c r="B599" s="5"/>
      <c r="H599" s="16"/>
    </row>
    <row r="600" spans="2:8">
      <c r="B600" s="5"/>
      <c r="H600" s="16"/>
    </row>
    <row r="601" spans="2:8">
      <c r="B601" s="5"/>
      <c r="H601" s="16"/>
    </row>
    <row r="602" spans="2:8">
      <c r="B602" s="5"/>
      <c r="H602" s="16"/>
    </row>
    <row r="603" spans="2:8">
      <c r="B603" s="5"/>
      <c r="H603" s="16"/>
    </row>
    <row r="604" spans="2:8">
      <c r="B604" s="5"/>
      <c r="H604" s="16"/>
    </row>
    <row r="605" spans="2:8">
      <c r="B605" s="5"/>
      <c r="H605" s="16"/>
    </row>
    <row r="606" spans="2:8">
      <c r="B606" s="5"/>
      <c r="H606" s="16"/>
    </row>
    <row r="607" spans="2:8">
      <c r="B607" s="5"/>
      <c r="H607" s="16"/>
    </row>
    <row r="608" spans="2:8">
      <c r="B608" s="5"/>
      <c r="H608" s="16"/>
    </row>
    <row r="609" spans="2:8">
      <c r="B609" s="5"/>
      <c r="H609" s="16"/>
    </row>
    <row r="610" spans="2:8">
      <c r="B610" s="5"/>
      <c r="H610" s="16"/>
    </row>
    <row r="611" spans="2:8">
      <c r="B611" s="5"/>
      <c r="H611" s="16"/>
    </row>
    <row r="612" spans="2:8">
      <c r="B612" s="5"/>
      <c r="H612" s="16"/>
    </row>
    <row r="613" spans="2:8">
      <c r="B613" s="5"/>
      <c r="H613" s="16"/>
    </row>
    <row r="614" spans="2:8">
      <c r="B614" s="5"/>
      <c r="H614" s="16"/>
    </row>
    <row r="615" spans="2:8">
      <c r="B615" s="5"/>
      <c r="H615" s="16"/>
    </row>
    <row r="616" spans="2:8">
      <c r="B616" s="5"/>
      <c r="H616" s="16"/>
    </row>
    <row r="617" spans="2:8">
      <c r="B617" s="5"/>
      <c r="H617" s="16"/>
    </row>
    <row r="618" spans="2:8">
      <c r="B618" s="5"/>
      <c r="H618" s="16"/>
    </row>
    <row r="619" spans="2:8">
      <c r="B619" s="5"/>
      <c r="H619" s="16"/>
    </row>
    <row r="620" spans="2:8">
      <c r="B620" s="5"/>
      <c r="H620" s="16"/>
    </row>
    <row r="621" spans="2:8">
      <c r="B621" s="5"/>
      <c r="H621" s="16"/>
    </row>
    <row r="622" spans="2:8">
      <c r="B622" s="5"/>
      <c r="H622" s="16"/>
    </row>
    <row r="623" spans="2:8">
      <c r="B623" s="5"/>
      <c r="H623" s="16"/>
    </row>
    <row r="624" spans="2:8">
      <c r="B624" s="5"/>
      <c r="H624" s="16"/>
    </row>
    <row r="625" spans="2:8">
      <c r="B625" s="5"/>
      <c r="H625" s="16"/>
    </row>
    <row r="626" spans="2:8">
      <c r="B626" s="5"/>
      <c r="H626" s="16"/>
    </row>
    <row r="627" spans="2:8">
      <c r="B627" s="5"/>
      <c r="H627" s="16"/>
    </row>
    <row r="628" spans="2:8">
      <c r="B628" s="5"/>
      <c r="H628" s="16"/>
    </row>
    <row r="629" spans="2:8">
      <c r="B629" s="5"/>
      <c r="H629" s="16"/>
    </row>
    <row r="630" spans="2:8">
      <c r="B630" s="5"/>
      <c r="H630" s="16"/>
    </row>
    <row r="631" spans="2:8">
      <c r="B631" s="5"/>
      <c r="H631" s="16"/>
    </row>
    <row r="632" spans="2:8">
      <c r="B632" s="5"/>
      <c r="H632" s="16"/>
    </row>
    <row r="633" spans="2:8">
      <c r="B633" s="5"/>
      <c r="H633" s="16"/>
    </row>
    <row r="634" spans="2:8">
      <c r="B634" s="5"/>
      <c r="H634" s="16"/>
    </row>
    <row r="635" spans="2:8">
      <c r="B635" s="5"/>
      <c r="H635" s="16"/>
    </row>
    <row r="636" spans="2:8">
      <c r="B636" s="5"/>
      <c r="H636" s="16"/>
    </row>
    <row r="637" spans="2:8">
      <c r="B637" s="5"/>
      <c r="H637" s="16"/>
    </row>
    <row r="638" spans="2:8">
      <c r="B638" s="5"/>
      <c r="H638" s="16"/>
    </row>
    <row r="639" spans="2:8">
      <c r="B639" s="5"/>
      <c r="H639" s="16"/>
    </row>
    <row r="640" spans="2:8">
      <c r="B640" s="5"/>
      <c r="H640" s="16"/>
    </row>
    <row r="641" spans="2:8">
      <c r="B641" s="5"/>
      <c r="H641" s="16"/>
    </row>
    <row r="642" spans="2:8">
      <c r="B642" s="5"/>
      <c r="H642" s="16"/>
    </row>
    <row r="643" spans="2:8">
      <c r="B643" s="5"/>
      <c r="H643" s="16"/>
    </row>
    <row r="644" spans="2:8">
      <c r="B644" s="5"/>
      <c r="H644" s="16"/>
    </row>
    <row r="645" spans="2:8">
      <c r="B645" s="5"/>
      <c r="H645" s="16"/>
    </row>
    <row r="646" spans="2:8">
      <c r="B646" s="5"/>
      <c r="H646" s="16"/>
    </row>
    <row r="647" spans="2:8">
      <c r="B647" s="5"/>
      <c r="H647" s="16"/>
    </row>
    <row r="648" spans="2:8">
      <c r="B648" s="5"/>
      <c r="H648" s="16"/>
    </row>
    <row r="649" spans="2:8">
      <c r="B649" s="5"/>
      <c r="H649" s="16"/>
    </row>
    <row r="650" spans="2:8">
      <c r="B650" s="5"/>
      <c r="H650" s="16"/>
    </row>
    <row r="651" spans="2:8">
      <c r="B651" s="5"/>
      <c r="H651" s="16"/>
    </row>
    <row r="652" spans="2:8">
      <c r="B652" s="5"/>
      <c r="H652" s="16"/>
    </row>
    <row r="653" spans="2:8">
      <c r="B653" s="5"/>
      <c r="H653" s="16"/>
    </row>
    <row r="654" spans="2:8">
      <c r="B654" s="5"/>
      <c r="H654" s="16"/>
    </row>
    <row r="655" spans="2:8">
      <c r="B655" s="5"/>
      <c r="H655" s="16"/>
    </row>
    <row r="656" spans="2:8">
      <c r="B656" s="5"/>
      <c r="H656" s="16"/>
    </row>
    <row r="657" spans="2:8">
      <c r="B657" s="5"/>
      <c r="H657" s="16"/>
    </row>
    <row r="658" spans="2:8">
      <c r="B658" s="5"/>
      <c r="H658" s="16"/>
    </row>
    <row r="659" spans="2:8">
      <c r="B659" s="5"/>
      <c r="H659" s="16"/>
    </row>
    <row r="660" spans="2:8">
      <c r="B660" s="5"/>
      <c r="H660" s="16"/>
    </row>
    <row r="661" spans="2:8">
      <c r="B661" s="5"/>
      <c r="H661" s="16"/>
    </row>
    <row r="662" spans="2:8">
      <c r="B662" s="5"/>
      <c r="H662" s="16"/>
    </row>
    <row r="663" spans="2:8">
      <c r="B663" s="5"/>
      <c r="H663" s="16"/>
    </row>
    <row r="664" spans="2:8">
      <c r="B664" s="5"/>
      <c r="H664" s="16"/>
    </row>
    <row r="665" spans="2:8">
      <c r="B665" s="5"/>
      <c r="H665" s="16"/>
    </row>
    <row r="666" spans="2:8">
      <c r="B666" s="5"/>
      <c r="H666" s="16"/>
    </row>
    <row r="667" spans="2:8">
      <c r="B667" s="5"/>
      <c r="H667" s="16"/>
    </row>
    <row r="668" spans="2:8">
      <c r="B668" s="5"/>
      <c r="H668" s="16"/>
    </row>
    <row r="669" spans="2:8">
      <c r="B669" s="5"/>
      <c r="H669" s="16"/>
    </row>
    <row r="670" spans="2:8">
      <c r="B670" s="5"/>
      <c r="H670" s="16"/>
    </row>
    <row r="671" spans="2:8">
      <c r="B671" s="5"/>
      <c r="H671" s="16"/>
    </row>
    <row r="672" spans="2:8">
      <c r="B672" s="5"/>
      <c r="H672" s="16"/>
    </row>
    <row r="673" spans="2:8">
      <c r="B673" s="5"/>
      <c r="H673" s="16"/>
    </row>
    <row r="674" spans="2:8">
      <c r="B674" s="5"/>
      <c r="H674" s="16"/>
    </row>
    <row r="675" spans="2:8">
      <c r="B675" s="5"/>
      <c r="H675" s="16"/>
    </row>
    <row r="676" spans="2:8">
      <c r="B676" s="5"/>
      <c r="H676" s="16"/>
    </row>
    <row r="677" spans="2:8">
      <c r="B677" s="5"/>
      <c r="H677" s="16"/>
    </row>
    <row r="678" spans="2:8">
      <c r="B678" s="5"/>
      <c r="H678" s="16"/>
    </row>
    <row r="679" spans="2:8">
      <c r="B679" s="5"/>
      <c r="H679" s="16"/>
    </row>
    <row r="680" spans="2:8">
      <c r="B680" s="5"/>
      <c r="H680" s="16"/>
    </row>
    <row r="681" spans="2:8">
      <c r="B681" s="5"/>
      <c r="H681" s="16"/>
    </row>
    <row r="682" spans="2:8">
      <c r="B682" s="5"/>
      <c r="H682" s="16"/>
    </row>
    <row r="683" spans="2:8">
      <c r="B683" s="5"/>
      <c r="H683" s="16"/>
    </row>
    <row r="684" spans="2:8">
      <c r="B684" s="5"/>
      <c r="H684" s="16"/>
    </row>
    <row r="685" spans="2:8">
      <c r="B685" s="5"/>
      <c r="H685" s="16"/>
    </row>
    <row r="686" spans="2:8">
      <c r="B686" s="5"/>
      <c r="H686" s="16"/>
    </row>
    <row r="687" spans="2:8">
      <c r="B687" s="5"/>
      <c r="H687" s="16"/>
    </row>
    <row r="688" spans="2:8">
      <c r="B688" s="5"/>
      <c r="H688" s="16"/>
    </row>
    <row r="689" spans="2:8">
      <c r="B689" s="5"/>
      <c r="H689" s="16"/>
    </row>
    <row r="690" spans="2:8">
      <c r="B690" s="5"/>
      <c r="H690" s="16"/>
    </row>
    <row r="691" spans="2:8">
      <c r="B691" s="5"/>
      <c r="H691" s="16"/>
    </row>
    <row r="692" spans="2:8">
      <c r="B692" s="5"/>
      <c r="H692" s="16"/>
    </row>
    <row r="693" spans="2:8">
      <c r="B693" s="5"/>
      <c r="H693" s="16"/>
    </row>
    <row r="694" spans="2:8">
      <c r="B694" s="5"/>
      <c r="H694" s="16"/>
    </row>
    <row r="695" spans="2:8">
      <c r="B695" s="5"/>
      <c r="H695" s="16"/>
    </row>
    <row r="696" spans="2:8">
      <c r="B696" s="5"/>
      <c r="H696" s="16"/>
    </row>
    <row r="697" spans="2:8">
      <c r="B697" s="5"/>
      <c r="H697" s="16"/>
    </row>
    <row r="698" spans="2:8">
      <c r="B698" s="5"/>
      <c r="H698" s="16"/>
    </row>
    <row r="699" spans="2:8">
      <c r="B699" s="5"/>
      <c r="H699" s="16"/>
    </row>
    <row r="700" spans="2:8">
      <c r="B700" s="5"/>
      <c r="H700" s="16"/>
    </row>
    <row r="701" spans="2:8">
      <c r="B701" s="5"/>
      <c r="H701" s="16"/>
    </row>
    <row r="702" spans="2:8">
      <c r="B702" s="5"/>
      <c r="H702" s="16"/>
    </row>
    <row r="703" spans="2:8">
      <c r="B703" s="5"/>
      <c r="H703" s="16"/>
    </row>
    <row r="704" spans="2:8">
      <c r="B704" s="5"/>
      <c r="H704" s="16"/>
    </row>
    <row r="705" spans="2:8">
      <c r="B705" s="5"/>
      <c r="H705" s="16"/>
    </row>
    <row r="706" spans="2:8">
      <c r="B706" s="5"/>
      <c r="H706" s="16"/>
    </row>
    <row r="707" spans="2:8">
      <c r="B707" s="5"/>
      <c r="H707" s="16"/>
    </row>
    <row r="708" spans="2:8">
      <c r="B708" s="5"/>
      <c r="H708" s="16"/>
    </row>
    <row r="709" spans="2:8">
      <c r="B709" s="5"/>
      <c r="H709" s="16"/>
    </row>
    <row r="710" spans="2:8">
      <c r="B710" s="5"/>
      <c r="H710" s="16"/>
    </row>
    <row r="711" spans="2:8">
      <c r="B711" s="5"/>
      <c r="H711" s="16"/>
    </row>
    <row r="712" spans="2:8">
      <c r="B712" s="5"/>
      <c r="H712" s="16"/>
    </row>
    <row r="713" spans="2:8">
      <c r="B713" s="5"/>
      <c r="H713" s="16"/>
    </row>
    <row r="714" spans="2:8">
      <c r="B714" s="5"/>
      <c r="H714" s="16"/>
    </row>
    <row r="715" spans="2:8">
      <c r="B715" s="5"/>
      <c r="H715" s="16"/>
    </row>
    <row r="716" spans="2:8">
      <c r="B716" s="5"/>
      <c r="H716" s="16"/>
    </row>
    <row r="717" spans="2:8">
      <c r="B717" s="5"/>
      <c r="H717" s="16"/>
    </row>
    <row r="718" spans="2:8">
      <c r="B718" s="5"/>
      <c r="H718" s="16"/>
    </row>
    <row r="719" spans="2:8">
      <c r="B719" s="5"/>
      <c r="H719" s="16"/>
    </row>
    <row r="720" spans="2:8">
      <c r="B720" s="5"/>
      <c r="H720" s="16"/>
    </row>
    <row r="721" spans="2:8">
      <c r="B721" s="5"/>
      <c r="H721" s="16"/>
    </row>
    <row r="722" spans="2:8">
      <c r="B722" s="5"/>
      <c r="H722" s="16"/>
    </row>
    <row r="723" spans="2:8">
      <c r="B723" s="5"/>
      <c r="H723" s="16"/>
    </row>
    <row r="724" spans="2:8">
      <c r="B724" s="5"/>
      <c r="H724" s="16"/>
    </row>
    <row r="725" spans="2:8">
      <c r="B725" s="5"/>
      <c r="H725" s="16"/>
    </row>
    <row r="726" spans="2:8">
      <c r="B726" s="5"/>
      <c r="H726" s="16"/>
    </row>
    <row r="727" spans="2:8">
      <c r="B727" s="5"/>
      <c r="H727" s="16"/>
    </row>
    <row r="728" spans="2:8">
      <c r="B728" s="5"/>
      <c r="H728" s="16"/>
    </row>
    <row r="729" spans="2:8">
      <c r="B729" s="5"/>
      <c r="H729" s="16"/>
    </row>
    <row r="730" spans="2:8">
      <c r="B730" s="5"/>
      <c r="H730" s="16"/>
    </row>
    <row r="731" spans="2:8">
      <c r="B731" s="5"/>
      <c r="H731" s="16"/>
    </row>
    <row r="732" spans="2:8">
      <c r="B732" s="5"/>
      <c r="H732" s="16"/>
    </row>
    <row r="733" spans="2:8">
      <c r="B733" s="5"/>
      <c r="H733" s="16"/>
    </row>
    <row r="734" spans="2:8">
      <c r="B734" s="5"/>
      <c r="H734" s="16"/>
    </row>
    <row r="735" spans="2:8">
      <c r="B735" s="5"/>
      <c r="H735" s="16"/>
    </row>
    <row r="736" spans="2:8">
      <c r="B736" s="5"/>
      <c r="H736" s="16"/>
    </row>
    <row r="737" spans="2:8">
      <c r="B737" s="5"/>
      <c r="H737" s="16"/>
    </row>
    <row r="738" spans="2:8">
      <c r="B738" s="5"/>
      <c r="H738" s="16"/>
    </row>
    <row r="739" spans="2:8">
      <c r="B739" s="5"/>
      <c r="H739" s="16"/>
    </row>
    <row r="740" spans="2:8">
      <c r="B740" s="5"/>
      <c r="H740" s="16"/>
    </row>
    <row r="741" spans="2:8">
      <c r="B741" s="5"/>
      <c r="H741" s="16"/>
    </row>
    <row r="742" spans="2:8">
      <c r="B742" s="5"/>
      <c r="H742" s="16"/>
    </row>
    <row r="743" spans="2:8">
      <c r="B743" s="5"/>
      <c r="H743" s="16"/>
    </row>
    <row r="744" spans="2:8">
      <c r="B744" s="5"/>
      <c r="H744" s="16"/>
    </row>
    <row r="745" spans="2:8">
      <c r="B745" s="5"/>
      <c r="H745" s="16"/>
    </row>
    <row r="746" spans="2:8">
      <c r="B746" s="5"/>
      <c r="H746" s="16"/>
    </row>
    <row r="747" spans="2:8">
      <c r="B747" s="5"/>
      <c r="H747" s="16"/>
    </row>
    <row r="748" spans="2:8">
      <c r="B748" s="5"/>
      <c r="H748" s="16"/>
    </row>
    <row r="749" spans="2:8">
      <c r="B749" s="5"/>
      <c r="H749" s="16"/>
    </row>
    <row r="750" spans="2:8">
      <c r="B750" s="5"/>
      <c r="H750" s="16"/>
    </row>
    <row r="751" spans="2:8">
      <c r="B751" s="5"/>
      <c r="H751" s="16"/>
    </row>
    <row r="752" spans="2:8">
      <c r="B752" s="5"/>
      <c r="H752" s="16"/>
    </row>
    <row r="753" spans="2:8">
      <c r="B753" s="5"/>
      <c r="H753" s="16"/>
    </row>
    <row r="754" spans="2:8">
      <c r="B754" s="5"/>
      <c r="H754" s="16"/>
    </row>
    <row r="755" spans="2:8">
      <c r="B755" s="5"/>
      <c r="H755" s="16"/>
    </row>
    <row r="756" spans="2:8">
      <c r="B756" s="5"/>
      <c r="H756" s="16"/>
    </row>
    <row r="757" spans="2:8">
      <c r="B757" s="5"/>
      <c r="H757" s="16"/>
    </row>
    <row r="758" spans="2:8">
      <c r="B758" s="5"/>
      <c r="H758" s="16"/>
    </row>
    <row r="759" spans="2:8">
      <c r="B759" s="5"/>
      <c r="H759" s="16"/>
    </row>
    <row r="760" spans="2:8">
      <c r="B760" s="5"/>
      <c r="H760" s="16"/>
    </row>
    <row r="761" spans="2:8">
      <c r="B761" s="5"/>
      <c r="H761" s="16"/>
    </row>
    <row r="762" spans="2:8">
      <c r="B762" s="5"/>
      <c r="H762" s="16"/>
    </row>
    <row r="763" spans="2:8">
      <c r="B763" s="5"/>
      <c r="H763" s="16"/>
    </row>
    <row r="764" spans="2:8">
      <c r="B764" s="5"/>
      <c r="H764" s="16"/>
    </row>
    <row r="765" spans="2:8">
      <c r="B765" s="5"/>
      <c r="H765" s="16"/>
    </row>
    <row r="766" spans="2:8">
      <c r="B766" s="5"/>
      <c r="H766" s="16"/>
    </row>
    <row r="767" spans="2:8">
      <c r="B767" s="5"/>
      <c r="H767" s="16"/>
    </row>
    <row r="768" spans="2:8">
      <c r="B768" s="5"/>
      <c r="H768" s="16"/>
    </row>
    <row r="769" spans="2:8">
      <c r="B769" s="5"/>
      <c r="H769" s="16"/>
    </row>
    <row r="770" spans="2:8">
      <c r="B770" s="5"/>
      <c r="H770" s="16"/>
    </row>
    <row r="771" spans="2:8">
      <c r="B771" s="5"/>
      <c r="H771" s="16"/>
    </row>
    <row r="772" spans="2:8">
      <c r="B772" s="5"/>
      <c r="H772" s="16"/>
    </row>
    <row r="773" spans="2:8">
      <c r="B773" s="5"/>
      <c r="H773" s="16"/>
    </row>
    <row r="774" spans="2:8">
      <c r="B774" s="5"/>
      <c r="H774" s="16"/>
    </row>
    <row r="775" spans="2:8">
      <c r="B775" s="5"/>
      <c r="H775" s="16"/>
    </row>
    <row r="776" spans="2:8">
      <c r="B776" s="5"/>
      <c r="H776" s="16"/>
    </row>
    <row r="777" spans="2:8">
      <c r="B777" s="5"/>
      <c r="H777" s="16"/>
    </row>
    <row r="778" spans="2:8">
      <c r="B778" s="5"/>
      <c r="H778" s="16"/>
    </row>
    <row r="779" spans="2:8">
      <c r="B779" s="5"/>
      <c r="H779" s="16"/>
    </row>
    <row r="780" spans="2:8">
      <c r="B780" s="5"/>
      <c r="H780" s="16"/>
    </row>
    <row r="781" spans="2:8">
      <c r="B781" s="5"/>
      <c r="H781" s="16"/>
    </row>
    <row r="782" spans="2:8">
      <c r="B782" s="5"/>
      <c r="H782" s="16"/>
    </row>
    <row r="783" spans="2:8">
      <c r="B783" s="5"/>
      <c r="H783" s="16"/>
    </row>
    <row r="784" spans="2:8">
      <c r="B784" s="5"/>
      <c r="H784" s="16"/>
    </row>
    <row r="785" spans="2:8">
      <c r="B785" s="5"/>
      <c r="H785" s="16"/>
    </row>
    <row r="786" spans="2:8">
      <c r="B786" s="5"/>
      <c r="H786" s="16"/>
    </row>
    <row r="787" spans="2:8">
      <c r="B787" s="5"/>
      <c r="H787" s="16"/>
    </row>
    <row r="788" spans="2:8">
      <c r="B788" s="5"/>
      <c r="H788" s="16"/>
    </row>
    <row r="789" spans="2:8">
      <c r="B789" s="5"/>
      <c r="H789" s="16"/>
    </row>
    <row r="790" spans="2:8">
      <c r="B790" s="5"/>
      <c r="H790" s="16"/>
    </row>
    <row r="791" spans="2:8">
      <c r="B791" s="5"/>
      <c r="H791" s="16"/>
    </row>
    <row r="792" spans="2:8">
      <c r="B792" s="5"/>
      <c r="H792" s="16"/>
    </row>
    <row r="793" spans="2:8">
      <c r="B793" s="5"/>
      <c r="H793" s="16"/>
    </row>
    <row r="794" spans="2:8">
      <c r="B794" s="5"/>
      <c r="H794" s="16"/>
    </row>
    <row r="795" spans="2:8">
      <c r="B795" s="5"/>
      <c r="H795" s="16"/>
    </row>
    <row r="796" spans="2:8">
      <c r="B796" s="5"/>
      <c r="H796" s="16"/>
    </row>
    <row r="797" spans="2:8">
      <c r="B797" s="5"/>
      <c r="H797" s="16"/>
    </row>
    <row r="798" spans="2:8">
      <c r="B798" s="5"/>
      <c r="H798" s="16"/>
    </row>
    <row r="799" spans="2:8">
      <c r="B799" s="5"/>
      <c r="H799" s="16"/>
    </row>
    <row r="800" spans="2:8">
      <c r="B800" s="5"/>
      <c r="H800" s="16"/>
    </row>
    <row r="801" spans="2:8">
      <c r="B801" s="5"/>
      <c r="H801" s="16"/>
    </row>
    <row r="802" spans="2:8">
      <c r="B802" s="5"/>
      <c r="H802" s="16"/>
    </row>
    <row r="803" spans="2:8">
      <c r="B803" s="5"/>
      <c r="H803" s="16"/>
    </row>
    <row r="804" spans="2:8">
      <c r="B804" s="5"/>
      <c r="H804" s="16"/>
    </row>
    <row r="805" spans="2:8">
      <c r="B805" s="5"/>
      <c r="H805" s="16"/>
    </row>
    <row r="806" spans="2:8">
      <c r="B806" s="5"/>
      <c r="H806" s="16"/>
    </row>
    <row r="807" spans="2:8">
      <c r="B807" s="5"/>
      <c r="H807" s="16"/>
    </row>
    <row r="808" spans="2:8">
      <c r="B808" s="5"/>
      <c r="H808" s="16"/>
    </row>
    <row r="809" spans="2:8">
      <c r="B809" s="5"/>
      <c r="H809" s="16"/>
    </row>
    <row r="810" spans="2:8">
      <c r="B810" s="5"/>
      <c r="H810" s="16"/>
    </row>
    <row r="811" spans="2:8">
      <c r="B811" s="5"/>
      <c r="H811" s="16"/>
    </row>
    <row r="812" spans="2:8">
      <c r="B812" s="5"/>
      <c r="H812" s="16"/>
    </row>
    <row r="813" spans="2:8">
      <c r="B813" s="5"/>
      <c r="H813" s="16"/>
    </row>
    <row r="814" spans="2:8">
      <c r="B814" s="5"/>
      <c r="H814" s="16"/>
    </row>
    <row r="815" spans="2:8">
      <c r="B815" s="5"/>
      <c r="H815" s="16"/>
    </row>
    <row r="816" spans="2:8">
      <c r="B816" s="5"/>
      <c r="H816" s="16"/>
    </row>
    <row r="817" spans="2:8">
      <c r="B817" s="5"/>
      <c r="H817" s="16"/>
    </row>
    <row r="818" spans="2:8">
      <c r="B818" s="5"/>
      <c r="H818" s="16"/>
    </row>
    <row r="819" spans="2:8">
      <c r="B819" s="5"/>
      <c r="H819" s="16"/>
    </row>
    <row r="820" spans="2:8">
      <c r="B820" s="5"/>
      <c r="H820" s="16"/>
    </row>
    <row r="821" spans="2:8">
      <c r="B821" s="5"/>
      <c r="H821" s="16"/>
    </row>
    <row r="822" spans="2:8">
      <c r="B822" s="5"/>
      <c r="H822" s="16"/>
    </row>
    <row r="823" spans="2:8">
      <c r="B823" s="5"/>
      <c r="H823" s="16"/>
    </row>
    <row r="824" spans="2:8">
      <c r="B824" s="5"/>
      <c r="H824" s="16"/>
    </row>
    <row r="825" spans="2:8">
      <c r="B825" s="5"/>
      <c r="H825" s="16"/>
    </row>
    <row r="826" spans="2:8">
      <c r="B826" s="5"/>
      <c r="H826" s="16"/>
    </row>
    <row r="827" spans="2:8">
      <c r="B827" s="5"/>
      <c r="H827" s="16"/>
    </row>
    <row r="828" spans="2:8">
      <c r="B828" s="5"/>
      <c r="H828" s="16"/>
    </row>
    <row r="829" spans="2:8">
      <c r="B829" s="5"/>
      <c r="H829" s="16"/>
    </row>
    <row r="830" spans="2:8">
      <c r="B830" s="5"/>
      <c r="H830" s="16"/>
    </row>
    <row r="831" spans="2:8">
      <c r="B831" s="5"/>
      <c r="H831" s="16"/>
    </row>
    <row r="832" spans="2:8">
      <c r="B832" s="5"/>
      <c r="H832" s="16"/>
    </row>
    <row r="833" spans="2:8">
      <c r="B833" s="5"/>
      <c r="H833" s="16"/>
    </row>
    <row r="834" spans="2:8">
      <c r="B834" s="5"/>
      <c r="H834" s="16"/>
    </row>
    <row r="835" spans="2:8">
      <c r="B835" s="5"/>
      <c r="H835" s="16"/>
    </row>
    <row r="836" spans="2:8">
      <c r="B836" s="5"/>
      <c r="H836" s="16"/>
    </row>
    <row r="837" spans="2:8">
      <c r="B837" s="5"/>
      <c r="H837" s="16"/>
    </row>
    <row r="838" spans="2:8">
      <c r="B838" s="5"/>
      <c r="H838" s="16"/>
    </row>
    <row r="839" spans="2:8">
      <c r="B839" s="5"/>
      <c r="H839" s="16"/>
    </row>
    <row r="840" spans="2:8">
      <c r="B840" s="5"/>
      <c r="H840" s="16"/>
    </row>
    <row r="841" spans="2:8">
      <c r="B841" s="5"/>
      <c r="H841" s="16"/>
    </row>
    <row r="842" spans="2:8">
      <c r="B842" s="5"/>
      <c r="H842" s="16"/>
    </row>
    <row r="843" spans="2:8">
      <c r="B843" s="5"/>
      <c r="H843" s="16"/>
    </row>
    <row r="844" spans="2:8">
      <c r="B844" s="5"/>
      <c r="H844" s="16"/>
    </row>
    <row r="845" spans="2:8">
      <c r="B845" s="5"/>
      <c r="H845" s="16"/>
    </row>
    <row r="846" spans="2:8">
      <c r="B846" s="5"/>
      <c r="H846" s="16"/>
    </row>
    <row r="847" spans="2:8">
      <c r="B847" s="5"/>
      <c r="H847" s="16"/>
    </row>
    <row r="848" spans="2:8">
      <c r="B848" s="5"/>
      <c r="H848" s="16"/>
    </row>
    <row r="849" spans="2:8">
      <c r="B849" s="5"/>
      <c r="H849" s="16"/>
    </row>
    <row r="850" spans="2:8">
      <c r="B850" s="5"/>
      <c r="H850" s="16"/>
    </row>
    <row r="851" spans="2:8">
      <c r="B851" s="5"/>
      <c r="H851" s="16"/>
    </row>
    <row r="852" spans="2:8">
      <c r="B852" s="5"/>
      <c r="H852" s="16"/>
    </row>
    <row r="853" spans="2:8">
      <c r="B853" s="5"/>
      <c r="H853" s="16"/>
    </row>
    <row r="854" spans="2:8">
      <c r="B854" s="5"/>
      <c r="H854" s="16"/>
    </row>
    <row r="855" spans="2:8">
      <c r="B855" s="5"/>
      <c r="H855" s="16"/>
    </row>
    <row r="856" spans="2:8">
      <c r="B856" s="5"/>
      <c r="H856" s="16"/>
    </row>
    <row r="857" spans="2:8">
      <c r="B857" s="5"/>
      <c r="H857" s="16"/>
    </row>
    <row r="858" spans="2:8">
      <c r="B858" s="5"/>
      <c r="H858" s="16"/>
    </row>
    <row r="859" spans="2:8">
      <c r="B859" s="5"/>
      <c r="H859" s="16"/>
    </row>
    <row r="860" spans="2:8">
      <c r="B860" s="5"/>
      <c r="H860" s="16"/>
    </row>
    <row r="861" spans="2:8">
      <c r="B861" s="5"/>
      <c r="H861" s="16"/>
    </row>
    <row r="862" spans="2:8">
      <c r="B862" s="5"/>
      <c r="H862" s="16"/>
    </row>
    <row r="863" spans="2:8">
      <c r="B863" s="5"/>
      <c r="H863" s="16"/>
    </row>
    <row r="864" spans="2:8">
      <c r="B864" s="5"/>
      <c r="H864" s="16"/>
    </row>
    <row r="865" spans="2:8">
      <c r="B865" s="5"/>
      <c r="H865" s="16"/>
    </row>
    <row r="866" spans="2:8">
      <c r="B866" s="5"/>
      <c r="H866" s="16"/>
    </row>
    <row r="867" spans="2:8">
      <c r="B867" s="5"/>
      <c r="H867" s="16"/>
    </row>
    <row r="868" spans="2:8">
      <c r="B868" s="5"/>
      <c r="H868" s="16"/>
    </row>
    <row r="869" spans="2:8">
      <c r="B869" s="5"/>
      <c r="H869" s="16"/>
    </row>
    <row r="870" spans="2:8">
      <c r="B870" s="5"/>
      <c r="H870" s="16"/>
    </row>
    <row r="871" spans="2:8">
      <c r="B871" s="5"/>
      <c r="H871" s="16"/>
    </row>
    <row r="872" spans="2:8">
      <c r="B872" s="5"/>
      <c r="H872" s="16"/>
    </row>
    <row r="873" spans="2:8">
      <c r="B873" s="5"/>
      <c r="H873" s="16"/>
    </row>
    <row r="874" spans="2:8">
      <c r="B874" s="5"/>
      <c r="H874" s="16"/>
    </row>
    <row r="875" spans="2:8">
      <c r="B875" s="5"/>
      <c r="H875" s="16"/>
    </row>
    <row r="876" spans="2:8">
      <c r="B876" s="5"/>
      <c r="H876" s="16"/>
    </row>
    <row r="877" spans="2:8">
      <c r="B877" s="5"/>
      <c r="H877" s="16"/>
    </row>
    <row r="878" spans="2:8">
      <c r="B878" s="5"/>
      <c r="H878" s="16"/>
    </row>
    <row r="879" spans="2:8">
      <c r="B879" s="5"/>
      <c r="H879" s="16"/>
    </row>
    <row r="880" spans="2:8">
      <c r="B880" s="5"/>
      <c r="H880" s="16"/>
    </row>
    <row r="881" spans="2:8">
      <c r="B881" s="5"/>
      <c r="H881" s="16"/>
    </row>
    <row r="882" spans="2:8">
      <c r="B882" s="5"/>
      <c r="H882" s="16"/>
    </row>
    <row r="883" spans="2:8">
      <c r="B883" s="5"/>
      <c r="H883" s="16"/>
    </row>
    <row r="884" spans="2:8">
      <c r="B884" s="5"/>
      <c r="H884" s="16"/>
    </row>
    <row r="885" spans="2:8">
      <c r="B885" s="5"/>
      <c r="H885" s="16"/>
    </row>
    <row r="886" spans="2:8">
      <c r="B886" s="5"/>
      <c r="H886" s="16"/>
    </row>
    <row r="887" spans="2:8">
      <c r="B887" s="5"/>
      <c r="H887" s="16"/>
    </row>
    <row r="888" spans="2:8">
      <c r="B888" s="5"/>
      <c r="H888" s="16"/>
    </row>
    <row r="889" spans="2:8">
      <c r="B889" s="5"/>
      <c r="H889" s="16"/>
    </row>
    <row r="890" spans="2:8">
      <c r="B890" s="5"/>
      <c r="H890" s="16"/>
    </row>
    <row r="891" spans="2:8">
      <c r="B891" s="5"/>
      <c r="H891" s="16"/>
    </row>
  </sheetData>
  <mergeCells count="23">
    <mergeCell ref="C49:F49"/>
    <mergeCell ref="C44:F44"/>
    <mergeCell ref="C45:F45"/>
    <mergeCell ref="C46:F46"/>
    <mergeCell ref="C47:F47"/>
    <mergeCell ref="C48:F48"/>
    <mergeCell ref="A4:H4"/>
    <mergeCell ref="A38:F38"/>
    <mergeCell ref="C41:F41"/>
    <mergeCell ref="C42:F42"/>
    <mergeCell ref="C43:F43"/>
    <mergeCell ref="A10:F10"/>
    <mergeCell ref="A17:F17"/>
    <mergeCell ref="A23:F23"/>
    <mergeCell ref="A29:F29"/>
    <mergeCell ref="A35:F35"/>
    <mergeCell ref="G41:H41"/>
    <mergeCell ref="G42:H42"/>
    <mergeCell ref="G49:H49"/>
    <mergeCell ref="G44:H44"/>
    <mergeCell ref="G46:H46"/>
    <mergeCell ref="G47:H47"/>
    <mergeCell ref="G48:H48"/>
  </mergeCells>
  <phoneticPr fontId="24" type="noConversion"/>
  <dataValidations count="1">
    <dataValidation type="list" allowBlank="1" showInputMessage="1" showErrorMessage="1" sqref="B42:B48" xr:uid="{00000000-0002-0000-0D00-000000000000}">
      <formula1>$L$41:$L$45</formula1>
    </dataValidation>
  </dataValidations>
  <printOptions horizontalCentered="1"/>
  <pageMargins left="0.45" right="0.45" top="0.5" bottom="0.5" header="0.3" footer="0.3"/>
  <pageSetup scale="5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L891"/>
  <sheetViews>
    <sheetView showZeros="0" zoomScale="65" zoomScaleNormal="65" workbookViewId="0">
      <selection activeCell="A11" sqref="A11"/>
    </sheetView>
  </sheetViews>
  <sheetFormatPr defaultColWidth="10.875" defaultRowHeight="18.95"/>
  <cols>
    <col min="1" max="1" width="35.625" customWidth="1"/>
    <col min="2" max="2" width="14.625" style="16" customWidth="1"/>
    <col min="3" max="7" width="15.875" style="5" customWidth="1"/>
    <col min="8" max="8" width="15.875" style="17" customWidth="1"/>
    <col min="9" max="9" width="10.875" style="5"/>
    <col min="10" max="12" width="0" style="5" hidden="1" customWidth="1"/>
    <col min="13" max="16384" width="10.875" style="5"/>
  </cols>
  <sheetData>
    <row r="1" spans="1:10" customFormat="1" ht="15.95">
      <c r="A1" s="41"/>
      <c r="B1" s="42"/>
      <c r="C1" s="43"/>
      <c r="D1" s="43"/>
      <c r="E1" s="45" t="s">
        <v>25</v>
      </c>
      <c r="F1" s="43"/>
      <c r="G1" s="45" t="s">
        <v>26</v>
      </c>
      <c r="H1" s="44"/>
    </row>
    <row r="2" spans="1:10">
      <c r="A2" s="30"/>
      <c r="B2" s="18" t="s">
        <v>27</v>
      </c>
      <c r="C2" s="18" t="s">
        <v>28</v>
      </c>
      <c r="D2" s="18" t="s">
        <v>65</v>
      </c>
      <c r="E2" s="18" t="s">
        <v>30</v>
      </c>
      <c r="F2" s="18" t="s">
        <v>66</v>
      </c>
      <c r="G2" s="18" t="s">
        <v>32</v>
      </c>
      <c r="H2" s="18" t="s">
        <v>33</v>
      </c>
    </row>
    <row r="3" spans="1:10" ht="21" customHeight="1">
      <c r="A3" s="31" t="s">
        <v>7</v>
      </c>
      <c r="B3" s="6">
        <f>'Week 12'!H3+1</f>
        <v>45977</v>
      </c>
      <c r="C3" s="6">
        <f t="shared" ref="C3:H3" si="0">B3+1</f>
        <v>45978</v>
      </c>
      <c r="D3" s="6">
        <f t="shared" si="0"/>
        <v>45979</v>
      </c>
      <c r="E3" s="6">
        <f t="shared" si="0"/>
        <v>45980</v>
      </c>
      <c r="F3" s="6">
        <f t="shared" si="0"/>
        <v>45981</v>
      </c>
      <c r="G3" s="6">
        <f t="shared" si="0"/>
        <v>45982</v>
      </c>
      <c r="H3" s="6">
        <f t="shared" si="0"/>
        <v>45983</v>
      </c>
    </row>
    <row r="4" spans="1:10" s="7" customFormat="1">
      <c r="A4" s="181" t="s">
        <v>34</v>
      </c>
      <c r="B4" s="181"/>
      <c r="C4" s="181"/>
      <c r="D4" s="181"/>
      <c r="E4" s="181"/>
      <c r="F4" s="181"/>
      <c r="G4" s="181"/>
      <c r="H4" s="181"/>
    </row>
    <row r="5" spans="1:10" s="7" customFormat="1" ht="26.1" customHeight="1">
      <c r="A5" s="32" t="s">
        <v>8</v>
      </c>
      <c r="B5" s="27"/>
      <c r="C5" s="27"/>
      <c r="D5" s="27"/>
      <c r="E5" s="27"/>
      <c r="F5" s="27"/>
      <c r="G5" s="27"/>
      <c r="H5" s="62"/>
    </row>
    <row r="6" spans="1:10" s="7" customFormat="1" ht="26.1" customHeight="1">
      <c r="A6" s="4" t="s">
        <v>23</v>
      </c>
      <c r="B6" s="62"/>
      <c r="C6" s="62"/>
      <c r="D6" s="62"/>
      <c r="E6" s="62"/>
      <c r="F6" s="62"/>
      <c r="G6" s="62"/>
      <c r="H6" s="62"/>
    </row>
    <row r="7" spans="1:10" s="7" customFormat="1" ht="21.95" customHeight="1">
      <c r="A7" s="32" t="s">
        <v>35</v>
      </c>
      <c r="B7" s="27"/>
      <c r="C7" s="28"/>
      <c r="D7" s="28"/>
      <c r="E7" s="28"/>
      <c r="F7" s="28"/>
      <c r="G7" s="28"/>
      <c r="H7" s="62"/>
    </row>
    <row r="8" spans="1:10" s="7" customFormat="1" ht="24.95" customHeight="1" thickBot="1">
      <c r="A8" s="83" t="s">
        <v>36</v>
      </c>
      <c r="B8" s="84">
        <f t="shared" ref="B8:H8" si="1">B5+B6+B7</f>
        <v>0</v>
      </c>
      <c r="C8" s="84">
        <f t="shared" si="1"/>
        <v>0</v>
      </c>
      <c r="D8" s="84">
        <f>D5+D6+D7</f>
        <v>0</v>
      </c>
      <c r="E8" s="84">
        <f>E5+E6+E7</f>
        <v>0</v>
      </c>
      <c r="F8" s="84">
        <f t="shared" si="1"/>
        <v>0</v>
      </c>
      <c r="G8" s="84">
        <f t="shared" si="1"/>
        <v>0</v>
      </c>
      <c r="H8" s="84">
        <f t="shared" si="1"/>
        <v>0</v>
      </c>
    </row>
    <row r="9" spans="1:10" s="7" customFormat="1" ht="24.95" customHeight="1" thickBot="1">
      <c r="A9" s="33"/>
      <c r="B9" s="29"/>
      <c r="C9" s="29"/>
      <c r="D9" s="29"/>
      <c r="E9" s="29"/>
      <c r="F9" s="29"/>
      <c r="G9" s="63" t="s">
        <v>37</v>
      </c>
      <c r="H9" s="64">
        <f>SUM(B8:H8)</f>
        <v>0</v>
      </c>
    </row>
    <row r="10" spans="1:10" s="7" customFormat="1" ht="21" thickTop="1" thickBot="1">
      <c r="A10" s="182" t="s">
        <v>38</v>
      </c>
      <c r="B10" s="183"/>
      <c r="C10" s="183"/>
      <c r="D10" s="183"/>
      <c r="E10" s="183"/>
      <c r="F10" s="183"/>
      <c r="G10" s="65" t="s">
        <v>39</v>
      </c>
      <c r="H10" s="66">
        <v>-0.08</v>
      </c>
      <c r="I10" s="5"/>
      <c r="J10" s="26"/>
    </row>
    <row r="11" spans="1:10" s="7" customFormat="1" ht="30" customHeight="1">
      <c r="A11" s="39" t="s">
        <v>8</v>
      </c>
      <c r="B11" s="9"/>
      <c r="C11" s="9"/>
      <c r="D11" s="67"/>
      <c r="E11" s="67"/>
      <c r="F11" s="9"/>
      <c r="G11" s="68"/>
      <c r="H11" s="69"/>
    </row>
    <row r="12" spans="1:10" s="7" customFormat="1" ht="30" customHeight="1">
      <c r="A12" s="70" t="s">
        <v>23</v>
      </c>
      <c r="B12" s="59"/>
      <c r="C12" s="58"/>
      <c r="D12" s="58"/>
      <c r="E12" s="58"/>
      <c r="F12" s="58"/>
      <c r="G12" s="58"/>
      <c r="H12" s="58"/>
    </row>
    <row r="13" spans="1:10" s="7" customFormat="1" ht="30" customHeight="1">
      <c r="A13" s="3" t="s">
        <v>35</v>
      </c>
      <c r="B13" s="8"/>
      <c r="C13" s="8"/>
      <c r="D13" s="8"/>
      <c r="E13" s="8"/>
      <c r="F13" s="8"/>
      <c r="G13" s="8"/>
      <c r="H13" s="8"/>
    </row>
    <row r="14" spans="1:10" s="7" customFormat="1" ht="27" customHeight="1" thickBot="1">
      <c r="A14" s="85" t="s">
        <v>36</v>
      </c>
      <c r="B14" s="87">
        <f t="shared" ref="B14:H14" si="2">B11+B12+B13</f>
        <v>0</v>
      </c>
      <c r="C14" s="87">
        <f t="shared" si="2"/>
        <v>0</v>
      </c>
      <c r="D14" s="87">
        <f t="shared" si="2"/>
        <v>0</v>
      </c>
      <c r="E14" s="87">
        <f t="shared" si="2"/>
        <v>0</v>
      </c>
      <c r="F14" s="87">
        <f t="shared" si="2"/>
        <v>0</v>
      </c>
      <c r="G14" s="87">
        <f t="shared" si="2"/>
        <v>0</v>
      </c>
      <c r="H14" s="87">
        <f t="shared" si="2"/>
        <v>0</v>
      </c>
    </row>
    <row r="15" spans="1:10" s="7" customFormat="1" ht="24.95" customHeight="1" thickBot="1">
      <c r="A15" s="86" t="s">
        <v>40</v>
      </c>
      <c r="B15" s="92" t="e">
        <f t="shared" ref="B15:H15" si="3">(B14-B8)/B8</f>
        <v>#DIV/0!</v>
      </c>
      <c r="C15" s="93" t="e">
        <f t="shared" si="3"/>
        <v>#DIV/0!</v>
      </c>
      <c r="D15" s="93" t="e">
        <f t="shared" si="3"/>
        <v>#DIV/0!</v>
      </c>
      <c r="E15" s="93" t="e">
        <f t="shared" si="3"/>
        <v>#DIV/0!</v>
      </c>
      <c r="F15" s="93" t="e">
        <f t="shared" si="3"/>
        <v>#DIV/0!</v>
      </c>
      <c r="G15" s="93" t="e">
        <f t="shared" si="3"/>
        <v>#DIV/0!</v>
      </c>
      <c r="H15" s="94" t="e">
        <f t="shared" si="3"/>
        <v>#DIV/0!</v>
      </c>
      <c r="I15" s="71"/>
    </row>
    <row r="16" spans="1:10" ht="30" customHeight="1" thickBot="1">
      <c r="B16" s="88"/>
      <c r="C16" s="88"/>
      <c r="D16" s="88"/>
      <c r="E16" s="88"/>
      <c r="F16" s="89"/>
      <c r="G16" s="90" t="s">
        <v>37</v>
      </c>
      <c r="H16" s="91">
        <f>SUM(B14:H14)</f>
        <v>0</v>
      </c>
    </row>
    <row r="17" spans="1:8" s="7" customFormat="1" ht="21.95" thickTop="1" thickBot="1">
      <c r="A17" s="184" t="s">
        <v>41</v>
      </c>
      <c r="B17" s="185"/>
      <c r="C17" s="185"/>
      <c r="D17" s="185"/>
      <c r="E17" s="185"/>
      <c r="F17" s="185"/>
      <c r="G17" s="72" t="s">
        <v>42</v>
      </c>
      <c r="H17" s="66" t="e">
        <f>(H16-H9)/H9</f>
        <v>#DIV/0!</v>
      </c>
    </row>
    <row r="18" spans="1:8" s="7" customFormat="1" ht="30" customHeight="1">
      <c r="A18" s="35" t="s">
        <v>43</v>
      </c>
      <c r="B18" s="12"/>
      <c r="C18" s="12"/>
      <c r="D18" s="73"/>
      <c r="E18" s="73"/>
      <c r="F18" s="12"/>
      <c r="G18" s="24"/>
      <c r="H18" s="74"/>
    </row>
    <row r="19" spans="1:8" s="7" customFormat="1" ht="30" customHeight="1">
      <c r="A19" s="35" t="str">
        <f>'Week 12'!A31</f>
        <v>Non Meal Plan Meals</v>
      </c>
      <c r="B19" s="12"/>
      <c r="C19" s="12"/>
      <c r="D19" s="73"/>
      <c r="E19" s="73"/>
      <c r="F19" s="12"/>
      <c r="G19" s="24"/>
      <c r="H19" s="74"/>
    </row>
    <row r="20" spans="1:8" s="7" customFormat="1" ht="30" customHeight="1">
      <c r="A20" s="35" t="str">
        <f>'Week 12'!A32</f>
        <v xml:space="preserve">Meal numbers </v>
      </c>
      <c r="B20" s="95"/>
      <c r="C20" s="95"/>
      <c r="D20" s="67"/>
      <c r="E20" s="67"/>
      <c r="F20" s="95"/>
      <c r="G20" s="95"/>
      <c r="H20" s="75"/>
    </row>
    <row r="21" spans="1:8" s="7" customFormat="1" ht="24.95" customHeight="1" thickBot="1">
      <c r="A21" s="36" t="s">
        <v>45</v>
      </c>
      <c r="B21" s="77">
        <f t="shared" ref="B21:H21" si="4">SUM(B18:B20)</f>
        <v>0</v>
      </c>
      <c r="C21" s="77">
        <f t="shared" si="4"/>
        <v>0</v>
      </c>
      <c r="D21" s="96">
        <f t="shared" si="4"/>
        <v>0</v>
      </c>
      <c r="E21" s="96">
        <f t="shared" si="4"/>
        <v>0</v>
      </c>
      <c r="F21" s="77">
        <f t="shared" si="4"/>
        <v>0</v>
      </c>
      <c r="G21" s="77">
        <f t="shared" si="4"/>
        <v>0</v>
      </c>
      <c r="H21" s="77">
        <f t="shared" si="4"/>
        <v>0</v>
      </c>
    </row>
    <row r="22" spans="1:8" s="7" customFormat="1" ht="24.95" customHeight="1" thickBot="1">
      <c r="A22" s="34" t="s">
        <v>40</v>
      </c>
      <c r="B22" s="92" t="e">
        <f>(B21-B5)/B5</f>
        <v>#DIV/0!</v>
      </c>
      <c r="C22" s="93" t="e">
        <f>(C21-C5)/C5</f>
        <v>#DIV/0!</v>
      </c>
      <c r="D22" s="99"/>
      <c r="E22" s="99"/>
      <c r="F22" s="93" t="e">
        <f>(F21-F5)/F5</f>
        <v>#DIV/0!</v>
      </c>
      <c r="G22" s="93" t="e">
        <f>(G21-G5)/G5</f>
        <v>#DIV/0!</v>
      </c>
      <c r="H22" s="94" t="e">
        <f>(H21-H5)/H5</f>
        <v>#DIV/0!</v>
      </c>
    </row>
    <row r="23" spans="1:8" s="7" customFormat="1">
      <c r="A23" s="186" t="s">
        <v>46</v>
      </c>
      <c r="B23" s="187"/>
      <c r="C23" s="187"/>
      <c r="D23" s="187"/>
      <c r="E23" s="187"/>
      <c r="F23" s="188" t="s">
        <v>47</v>
      </c>
      <c r="G23" s="97"/>
      <c r="H23" s="98"/>
    </row>
    <row r="24" spans="1:8" s="7" customFormat="1" ht="30" customHeight="1">
      <c r="A24" s="35" t="s">
        <v>43</v>
      </c>
      <c r="B24" s="11"/>
      <c r="C24" s="12"/>
      <c r="D24" s="12"/>
      <c r="E24" s="12"/>
      <c r="F24" s="12"/>
      <c r="G24" s="12"/>
      <c r="H24" s="11"/>
    </row>
    <row r="25" spans="1:8" s="7" customFormat="1" ht="30" customHeight="1">
      <c r="A25" s="35" t="str">
        <f>A19</f>
        <v>Non Meal Plan Meals</v>
      </c>
      <c r="B25" s="117"/>
      <c r="C25" s="117"/>
      <c r="D25" s="117"/>
      <c r="E25" s="117"/>
      <c r="F25" s="117"/>
      <c r="G25" s="117"/>
      <c r="H25" s="117"/>
    </row>
    <row r="26" spans="1:8" s="7" customFormat="1" ht="30" customHeight="1">
      <c r="A26" s="35" t="str">
        <f>A20</f>
        <v xml:space="preserve">Meal numbers </v>
      </c>
      <c r="B26" s="11"/>
      <c r="C26" s="11"/>
      <c r="D26" s="11"/>
      <c r="E26" s="11"/>
      <c r="F26" s="11"/>
      <c r="G26" s="11"/>
      <c r="H26" s="11"/>
    </row>
    <row r="27" spans="1:8" s="7" customFormat="1" ht="27.95" customHeight="1" thickBot="1">
      <c r="A27" s="36" t="s">
        <v>50</v>
      </c>
      <c r="B27" s="100">
        <f t="shared" ref="B27:H27" si="5">SUM(B24:B26)</f>
        <v>0</v>
      </c>
      <c r="C27" s="100">
        <f t="shared" si="5"/>
        <v>0</v>
      </c>
      <c r="D27" s="100">
        <f t="shared" si="5"/>
        <v>0</v>
      </c>
      <c r="E27" s="100">
        <f t="shared" si="5"/>
        <v>0</v>
      </c>
      <c r="F27" s="100">
        <f t="shared" si="5"/>
        <v>0</v>
      </c>
      <c r="G27" s="100">
        <f t="shared" si="5"/>
        <v>0</v>
      </c>
      <c r="H27" s="100">
        <f t="shared" si="5"/>
        <v>0</v>
      </c>
    </row>
    <row r="28" spans="1:8" s="7" customFormat="1" ht="24.95" customHeight="1" thickBot="1">
      <c r="A28" s="34" t="s">
        <v>40</v>
      </c>
      <c r="B28" s="92" t="e">
        <f t="shared" ref="B28:H28" si="6">(B27-B6)/B6</f>
        <v>#DIV/0!</v>
      </c>
      <c r="C28" s="93" t="e">
        <f t="shared" si="6"/>
        <v>#DIV/0!</v>
      </c>
      <c r="D28" s="93" t="e">
        <f t="shared" si="6"/>
        <v>#DIV/0!</v>
      </c>
      <c r="E28" s="93" t="e">
        <f t="shared" si="6"/>
        <v>#DIV/0!</v>
      </c>
      <c r="F28" s="93" t="e">
        <f t="shared" si="6"/>
        <v>#DIV/0!</v>
      </c>
      <c r="G28" s="93" t="e">
        <f t="shared" si="6"/>
        <v>#DIV/0!</v>
      </c>
      <c r="H28" s="94" t="e">
        <f t="shared" si="6"/>
        <v>#DIV/0!</v>
      </c>
    </row>
    <row r="29" spans="1:8" s="7" customFormat="1">
      <c r="A29" s="189" t="s">
        <v>51</v>
      </c>
      <c r="B29" s="190"/>
      <c r="C29" s="190"/>
      <c r="D29" s="190"/>
      <c r="E29" s="190"/>
      <c r="F29" s="191" t="s">
        <v>35</v>
      </c>
      <c r="G29" s="101"/>
      <c r="H29" s="102"/>
    </row>
    <row r="30" spans="1:8" s="7" customFormat="1" ht="30" customHeight="1">
      <c r="A30" s="35" t="s">
        <v>43</v>
      </c>
      <c r="B30" s="10"/>
      <c r="C30" s="9"/>
      <c r="D30" s="9"/>
      <c r="E30" s="9"/>
      <c r="F30" s="9"/>
      <c r="G30" s="9"/>
      <c r="H30" s="10"/>
    </row>
    <row r="31" spans="1:8" s="7" customFormat="1" ht="30" customHeight="1">
      <c r="A31" s="35" t="str">
        <f>A25</f>
        <v>Non Meal Plan Meals</v>
      </c>
      <c r="B31" s="60"/>
      <c r="C31" s="60"/>
      <c r="D31" s="60"/>
      <c r="E31" s="60"/>
      <c r="F31" s="60"/>
      <c r="G31" s="60"/>
      <c r="H31" s="60"/>
    </row>
    <row r="32" spans="1:8" s="7" customFormat="1" ht="30" customHeight="1">
      <c r="A32" s="35" t="str">
        <f>A26</f>
        <v xml:space="preserve">Meal numbers </v>
      </c>
      <c r="B32" s="10"/>
      <c r="C32" s="10"/>
      <c r="D32" s="10"/>
      <c r="E32" s="10"/>
      <c r="F32" s="10"/>
      <c r="G32" s="10"/>
      <c r="H32" s="10"/>
    </row>
    <row r="33" spans="1:12" s="7" customFormat="1" ht="30.95" customHeight="1" thickBot="1">
      <c r="A33" s="36" t="s">
        <v>53</v>
      </c>
      <c r="B33" s="103">
        <f t="shared" ref="B33:H33" si="7">SUM(B30:B32)</f>
        <v>0</v>
      </c>
      <c r="C33" s="103">
        <f t="shared" si="7"/>
        <v>0</v>
      </c>
      <c r="D33" s="103">
        <f t="shared" si="7"/>
        <v>0</v>
      </c>
      <c r="E33" s="103">
        <f t="shared" si="7"/>
        <v>0</v>
      </c>
      <c r="F33" s="103">
        <f t="shared" si="7"/>
        <v>0</v>
      </c>
      <c r="G33" s="103">
        <f t="shared" si="7"/>
        <v>0</v>
      </c>
      <c r="H33" s="103">
        <f t="shared" si="7"/>
        <v>0</v>
      </c>
    </row>
    <row r="34" spans="1:12" s="7" customFormat="1" ht="24.95" customHeight="1" thickBot="1">
      <c r="A34" s="34" t="s">
        <v>40</v>
      </c>
      <c r="B34" s="92" t="e">
        <f t="shared" ref="B34:H34" si="8">(B33-B7)/B7</f>
        <v>#DIV/0!</v>
      </c>
      <c r="C34" s="93" t="e">
        <f t="shared" si="8"/>
        <v>#DIV/0!</v>
      </c>
      <c r="D34" s="93" t="e">
        <f t="shared" si="8"/>
        <v>#DIV/0!</v>
      </c>
      <c r="E34" s="93" t="e">
        <f t="shared" si="8"/>
        <v>#DIV/0!</v>
      </c>
      <c r="F34" s="93" t="e">
        <f t="shared" si="8"/>
        <v>#DIV/0!</v>
      </c>
      <c r="G34" s="93" t="e">
        <f t="shared" si="8"/>
        <v>#DIV/0!</v>
      </c>
      <c r="H34" s="94" t="e">
        <f t="shared" si="8"/>
        <v>#DIV/0!</v>
      </c>
    </row>
    <row r="35" spans="1:12" s="7" customFormat="1">
      <c r="A35" s="192" t="s">
        <v>54</v>
      </c>
      <c r="B35" s="193"/>
      <c r="C35" s="193"/>
      <c r="D35" s="193"/>
      <c r="E35" s="193"/>
      <c r="F35" s="194" t="s">
        <v>35</v>
      </c>
      <c r="G35" s="104"/>
      <c r="H35" s="105"/>
    </row>
    <row r="36" spans="1:12" s="7" customFormat="1" ht="30.95" customHeight="1" thickBot="1">
      <c r="A36" s="78" t="s">
        <v>55</v>
      </c>
      <c r="B36" s="77">
        <f>B33+B27+B21</f>
        <v>0</v>
      </c>
      <c r="C36" s="77">
        <f>C33+C27+C21</f>
        <v>0</v>
      </c>
      <c r="D36" s="77">
        <f>SUM(D27+D33)</f>
        <v>0</v>
      </c>
      <c r="E36" s="77">
        <f>E33+E27+E21</f>
        <v>0</v>
      </c>
      <c r="F36" s="77">
        <f>F33+F27+F21</f>
        <v>0</v>
      </c>
      <c r="G36" s="77">
        <f>G33+G27+G21</f>
        <v>0</v>
      </c>
      <c r="H36" s="77">
        <f>H33+H27+H21</f>
        <v>0</v>
      </c>
    </row>
    <row r="37" spans="1:12" s="7" customFormat="1" ht="24.95" customHeight="1" thickBot="1">
      <c r="A37" s="34" t="s">
        <v>40</v>
      </c>
      <c r="B37" s="92" t="e">
        <f t="shared" ref="B37:H37" si="9">(B36-B8)/B8</f>
        <v>#DIV/0!</v>
      </c>
      <c r="C37" s="93" t="e">
        <f t="shared" si="9"/>
        <v>#DIV/0!</v>
      </c>
      <c r="D37" s="93" t="e">
        <f t="shared" si="9"/>
        <v>#DIV/0!</v>
      </c>
      <c r="E37" s="93" t="e">
        <f t="shared" si="9"/>
        <v>#DIV/0!</v>
      </c>
      <c r="F37" s="93" t="e">
        <f t="shared" si="9"/>
        <v>#DIV/0!</v>
      </c>
      <c r="G37" s="93" t="e">
        <f t="shared" si="9"/>
        <v>#DIV/0!</v>
      </c>
      <c r="H37" s="94" t="e">
        <f t="shared" si="9"/>
        <v>#DIV/0!</v>
      </c>
    </row>
    <row r="38" spans="1:12" ht="30" customHeight="1" thickBot="1">
      <c r="A38" s="195"/>
      <c r="B38" s="196"/>
      <c r="C38" s="196"/>
      <c r="D38" s="196"/>
      <c r="E38" s="196"/>
      <c r="F38" s="196"/>
      <c r="G38" s="106" t="s">
        <v>37</v>
      </c>
      <c r="H38" s="107">
        <f>SUM(B36:H36)</f>
        <v>0</v>
      </c>
    </row>
    <row r="39" spans="1:12" s="7" customFormat="1" ht="24.95" customHeight="1" thickTop="1">
      <c r="A39" s="37"/>
      <c r="B39" s="25"/>
      <c r="C39" s="25"/>
      <c r="D39" s="25"/>
      <c r="E39" s="25"/>
      <c r="F39" s="25"/>
      <c r="G39" s="79" t="s">
        <v>40</v>
      </c>
      <c r="H39" s="80" t="e">
        <f>(H38-H9)/H9</f>
        <v>#DIV/0!</v>
      </c>
    </row>
    <row r="40" spans="1:12" s="7" customFormat="1" ht="24.95" customHeight="1" thickBot="1">
      <c r="A40" s="37"/>
      <c r="B40" s="25"/>
      <c r="C40" s="25"/>
      <c r="D40" s="25"/>
      <c r="E40" s="25"/>
      <c r="F40" s="25"/>
      <c r="G40" s="81" t="s">
        <v>107</v>
      </c>
      <c r="H40" s="82" t="e">
        <f>(H38-H16)/H16</f>
        <v>#DIV/0!</v>
      </c>
    </row>
    <row r="41" spans="1:12" s="46" customFormat="1" ht="23.1" customHeight="1">
      <c r="A41" s="40"/>
      <c r="B41" s="47" t="s">
        <v>57</v>
      </c>
      <c r="C41" s="197" t="s">
        <v>58</v>
      </c>
      <c r="D41" s="197"/>
      <c r="E41" s="197"/>
      <c r="F41" s="197"/>
      <c r="G41" s="198">
        <v>2020</v>
      </c>
      <c r="H41" s="199"/>
    </row>
    <row r="42" spans="1:12" ht="45" customHeight="1">
      <c r="A42" s="1" t="s">
        <v>0</v>
      </c>
      <c r="B42" s="57" t="s">
        <v>59</v>
      </c>
      <c r="C42" s="206"/>
      <c r="D42" s="207"/>
      <c r="E42" s="207"/>
      <c r="F42" s="210"/>
      <c r="G42" s="206"/>
      <c r="H42" s="210"/>
      <c r="I42" s="46"/>
      <c r="J42" s="126"/>
      <c r="L42" s="7" t="s">
        <v>61</v>
      </c>
    </row>
    <row r="43" spans="1:12" ht="30" customHeight="1">
      <c r="A43" s="1" t="s">
        <v>1</v>
      </c>
      <c r="B43" s="57" t="s">
        <v>59</v>
      </c>
      <c r="C43" s="175"/>
      <c r="D43" s="175"/>
      <c r="E43" s="175"/>
      <c r="F43" s="175"/>
      <c r="G43" s="206"/>
      <c r="H43" s="210"/>
      <c r="I43" s="46"/>
      <c r="J43" s="126"/>
      <c r="L43" s="5" t="s">
        <v>62</v>
      </c>
    </row>
    <row r="44" spans="1:12" ht="30" customHeight="1">
      <c r="A44" s="1" t="s">
        <v>2</v>
      </c>
      <c r="B44" s="57" t="s">
        <v>59</v>
      </c>
      <c r="C44" s="175"/>
      <c r="D44" s="175"/>
      <c r="E44" s="175"/>
      <c r="F44" s="175"/>
      <c r="G44" s="219"/>
      <c r="H44" s="220"/>
      <c r="I44" s="46"/>
      <c r="J44" s="126"/>
      <c r="L44" s="5" t="s">
        <v>63</v>
      </c>
    </row>
    <row r="45" spans="1:12" ht="30" customHeight="1">
      <c r="A45" s="1" t="s">
        <v>3</v>
      </c>
      <c r="B45" s="57" t="s">
        <v>59</v>
      </c>
      <c r="C45" s="175"/>
      <c r="D45" s="175"/>
      <c r="E45" s="175"/>
      <c r="F45" s="175"/>
      <c r="G45" s="176"/>
      <c r="H45" s="177"/>
      <c r="I45" s="46"/>
      <c r="L45" s="5" t="s">
        <v>64</v>
      </c>
    </row>
    <row r="46" spans="1:12" ht="30.95" customHeight="1">
      <c r="A46" s="1" t="s">
        <v>4</v>
      </c>
      <c r="B46" s="57" t="s">
        <v>59</v>
      </c>
      <c r="C46" s="175"/>
      <c r="D46" s="175"/>
      <c r="E46" s="175"/>
      <c r="F46" s="175"/>
      <c r="G46" s="176"/>
      <c r="H46" s="177"/>
    </row>
    <row r="47" spans="1:12" ht="30" customHeight="1">
      <c r="A47" s="1" t="s">
        <v>5</v>
      </c>
      <c r="B47" s="57" t="s">
        <v>59</v>
      </c>
      <c r="C47" s="216"/>
      <c r="D47" s="216"/>
      <c r="E47" s="216"/>
      <c r="F47" s="216"/>
      <c r="G47" s="206"/>
      <c r="H47" s="210"/>
    </row>
    <row r="48" spans="1:12" ht="30" customHeight="1">
      <c r="A48" s="1" t="s">
        <v>6</v>
      </c>
      <c r="B48" s="57" t="s">
        <v>59</v>
      </c>
      <c r="C48" s="175"/>
      <c r="D48" s="175"/>
      <c r="E48" s="175"/>
      <c r="F48" s="175"/>
      <c r="G48" s="206" t="s">
        <v>108</v>
      </c>
      <c r="H48" s="210"/>
    </row>
    <row r="49" spans="1:8" ht="19.5" customHeight="1">
      <c r="A49" s="2"/>
      <c r="B49" s="14"/>
      <c r="C49" s="175"/>
      <c r="D49" s="175"/>
      <c r="E49" s="175"/>
      <c r="F49" s="175"/>
      <c r="G49" s="176"/>
      <c r="H49" s="177"/>
    </row>
    <row r="50" spans="1:8">
      <c r="A50" s="30"/>
      <c r="B50" s="18" t="s">
        <v>27</v>
      </c>
      <c r="C50" s="18" t="s">
        <v>28</v>
      </c>
      <c r="D50" s="18" t="s">
        <v>65</v>
      </c>
      <c r="E50" s="18" t="s">
        <v>30</v>
      </c>
      <c r="F50" s="18" t="s">
        <v>66</v>
      </c>
      <c r="G50" s="18" t="s">
        <v>32</v>
      </c>
      <c r="H50" s="18" t="s">
        <v>33</v>
      </c>
    </row>
    <row r="51" spans="1:8">
      <c r="A51" s="38" t="s">
        <v>91</v>
      </c>
      <c r="B51" s="15"/>
      <c r="C51" s="109"/>
      <c r="D51" s="109"/>
      <c r="E51" s="109"/>
      <c r="F51" s="109"/>
      <c r="G51" s="109"/>
      <c r="H51" s="108"/>
    </row>
    <row r="52" spans="1:8" customFormat="1" ht="15.95">
      <c r="A52" s="48"/>
      <c r="B52" s="22"/>
      <c r="C52" s="21"/>
      <c r="D52" s="21"/>
      <c r="E52" s="21"/>
      <c r="F52" s="21"/>
      <c r="G52" s="23" t="s">
        <v>37</v>
      </c>
      <c r="H52" s="23">
        <f>SUM(B51:H51)</f>
        <v>0</v>
      </c>
    </row>
    <row r="53" spans="1:8">
      <c r="A53" s="30"/>
      <c r="B53" s="18" t="s">
        <v>27</v>
      </c>
      <c r="C53" s="18" t="s">
        <v>28</v>
      </c>
      <c r="D53" s="18" t="s">
        <v>65</v>
      </c>
      <c r="E53" s="18" t="s">
        <v>30</v>
      </c>
      <c r="F53" s="18" t="s">
        <v>66</v>
      </c>
      <c r="G53" s="18" t="s">
        <v>32</v>
      </c>
      <c r="H53" s="18" t="s">
        <v>33</v>
      </c>
    </row>
    <row r="54" spans="1:8">
      <c r="A54" s="38" t="s">
        <v>69</v>
      </c>
      <c r="B54" s="51"/>
      <c r="C54" s="111"/>
      <c r="D54" s="52"/>
      <c r="E54" s="52"/>
      <c r="F54" s="52"/>
      <c r="G54" s="20"/>
      <c r="H54" s="15"/>
    </row>
    <row r="55" spans="1:8" customFormat="1" ht="15.95">
      <c r="A55" s="49" t="s">
        <v>70</v>
      </c>
      <c r="B55" s="53"/>
      <c r="C55" s="53" t="s">
        <v>71</v>
      </c>
      <c r="D55" s="54"/>
      <c r="E55" s="54"/>
      <c r="F55" s="55"/>
      <c r="G55" s="50" t="s">
        <v>37</v>
      </c>
      <c r="H55" s="23"/>
    </row>
    <row r="56" spans="1:8">
      <c r="H56" s="16"/>
    </row>
    <row r="57" spans="1:8">
      <c r="H57" s="16"/>
    </row>
    <row r="58" spans="1:8">
      <c r="H58" s="16"/>
    </row>
    <row r="59" spans="1:8">
      <c r="H59" s="16"/>
    </row>
    <row r="60" spans="1:8">
      <c r="H60" s="16"/>
    </row>
    <row r="61" spans="1:8">
      <c r="H61" s="16"/>
    </row>
    <row r="62" spans="1:8">
      <c r="H62" s="16"/>
    </row>
    <row r="63" spans="1:8">
      <c r="B63" s="5"/>
      <c r="H63" s="16"/>
    </row>
    <row r="64" spans="1:8">
      <c r="B64" s="5"/>
      <c r="H64" s="16"/>
    </row>
    <row r="65" spans="2:8">
      <c r="B65" s="5"/>
      <c r="H65" s="16"/>
    </row>
    <row r="66" spans="2:8">
      <c r="B66" s="5"/>
      <c r="H66" s="16"/>
    </row>
    <row r="67" spans="2:8">
      <c r="B67" s="5"/>
      <c r="H67" s="16"/>
    </row>
    <row r="68" spans="2:8">
      <c r="B68" s="5"/>
      <c r="H68" s="16"/>
    </row>
    <row r="69" spans="2:8">
      <c r="B69" s="5"/>
      <c r="H69" s="16"/>
    </row>
    <row r="70" spans="2:8">
      <c r="B70" s="5"/>
      <c r="H70" s="16"/>
    </row>
    <row r="71" spans="2:8">
      <c r="B71" s="5"/>
      <c r="H71" s="16"/>
    </row>
    <row r="72" spans="2:8">
      <c r="B72" s="5"/>
      <c r="H72" s="16"/>
    </row>
    <row r="73" spans="2:8">
      <c r="B73" s="5"/>
      <c r="H73" s="16"/>
    </row>
    <row r="74" spans="2:8">
      <c r="B74" s="5"/>
      <c r="H74" s="16"/>
    </row>
    <row r="75" spans="2:8">
      <c r="B75" s="5"/>
      <c r="H75" s="16"/>
    </row>
    <row r="76" spans="2:8">
      <c r="B76" s="5"/>
      <c r="H76" s="16"/>
    </row>
    <row r="77" spans="2:8">
      <c r="B77" s="5"/>
      <c r="H77" s="16"/>
    </row>
    <row r="78" spans="2:8">
      <c r="B78" s="5"/>
      <c r="H78" s="16"/>
    </row>
    <row r="79" spans="2:8">
      <c r="B79" s="5"/>
      <c r="H79" s="16"/>
    </row>
    <row r="80" spans="2:8">
      <c r="B80" s="5"/>
      <c r="H80" s="16"/>
    </row>
    <row r="81" spans="2:8">
      <c r="B81" s="5"/>
      <c r="H81" s="16"/>
    </row>
    <row r="82" spans="2:8">
      <c r="B82" s="5"/>
      <c r="H82" s="16"/>
    </row>
    <row r="83" spans="2:8">
      <c r="B83" s="5"/>
      <c r="H83" s="16"/>
    </row>
    <row r="84" spans="2:8">
      <c r="B84" s="5"/>
      <c r="H84" s="16"/>
    </row>
    <row r="85" spans="2:8">
      <c r="B85" s="5"/>
      <c r="H85" s="16"/>
    </row>
    <row r="86" spans="2:8">
      <c r="B86" s="5"/>
      <c r="H86" s="16"/>
    </row>
    <row r="87" spans="2:8">
      <c r="B87" s="5"/>
      <c r="H87" s="16"/>
    </row>
    <row r="88" spans="2:8">
      <c r="B88" s="5"/>
      <c r="H88" s="16"/>
    </row>
    <row r="89" spans="2:8">
      <c r="B89" s="5"/>
      <c r="H89" s="16"/>
    </row>
    <row r="90" spans="2:8">
      <c r="B90" s="5"/>
      <c r="H90" s="16"/>
    </row>
    <row r="91" spans="2:8">
      <c r="B91" s="5"/>
      <c r="H91" s="16"/>
    </row>
    <row r="92" spans="2:8">
      <c r="B92" s="5"/>
      <c r="H92" s="16"/>
    </row>
    <row r="93" spans="2:8">
      <c r="B93" s="5"/>
      <c r="H93" s="16"/>
    </row>
    <row r="94" spans="2:8">
      <c r="B94" s="5"/>
      <c r="H94" s="16"/>
    </row>
    <row r="95" spans="2:8">
      <c r="B95" s="5"/>
      <c r="H95" s="16"/>
    </row>
    <row r="96" spans="2:8">
      <c r="B96" s="5"/>
      <c r="H96" s="16"/>
    </row>
    <row r="97" spans="2:8">
      <c r="B97" s="5"/>
      <c r="H97" s="16"/>
    </row>
    <row r="98" spans="2:8">
      <c r="B98" s="5"/>
      <c r="H98" s="16"/>
    </row>
    <row r="99" spans="2:8">
      <c r="B99" s="5"/>
      <c r="H99" s="16"/>
    </row>
    <row r="100" spans="2:8">
      <c r="B100" s="5"/>
      <c r="H100" s="16"/>
    </row>
    <row r="101" spans="2:8">
      <c r="B101" s="5"/>
      <c r="H101" s="16"/>
    </row>
    <row r="102" spans="2:8">
      <c r="B102" s="5"/>
      <c r="H102" s="16"/>
    </row>
    <row r="103" spans="2:8">
      <c r="B103" s="5"/>
      <c r="H103" s="16"/>
    </row>
    <row r="104" spans="2:8">
      <c r="B104" s="5"/>
      <c r="H104" s="16"/>
    </row>
    <row r="105" spans="2:8">
      <c r="B105" s="5"/>
      <c r="H105" s="16"/>
    </row>
    <row r="106" spans="2:8">
      <c r="B106" s="5"/>
      <c r="H106" s="16"/>
    </row>
    <row r="107" spans="2:8">
      <c r="B107" s="5"/>
      <c r="H107" s="16"/>
    </row>
    <row r="108" spans="2:8">
      <c r="B108" s="5"/>
      <c r="H108" s="16"/>
    </row>
    <row r="109" spans="2:8">
      <c r="B109" s="5"/>
      <c r="H109" s="16"/>
    </row>
    <row r="110" spans="2:8">
      <c r="B110" s="5"/>
      <c r="H110" s="16"/>
    </row>
    <row r="111" spans="2:8">
      <c r="B111" s="5"/>
      <c r="H111" s="16"/>
    </row>
    <row r="112" spans="2:8">
      <c r="B112" s="5"/>
      <c r="H112" s="16"/>
    </row>
    <row r="113" spans="2:8">
      <c r="B113" s="5"/>
      <c r="H113" s="16"/>
    </row>
    <row r="114" spans="2:8">
      <c r="B114" s="5"/>
      <c r="H114" s="16"/>
    </row>
    <row r="115" spans="2:8">
      <c r="B115" s="5"/>
      <c r="H115" s="16"/>
    </row>
    <row r="116" spans="2:8">
      <c r="B116" s="5"/>
      <c r="H116" s="16"/>
    </row>
    <row r="117" spans="2:8">
      <c r="B117" s="5"/>
      <c r="H117" s="16"/>
    </row>
    <row r="118" spans="2:8">
      <c r="B118" s="5"/>
      <c r="H118" s="16"/>
    </row>
    <row r="119" spans="2:8">
      <c r="B119" s="5"/>
      <c r="H119" s="16"/>
    </row>
    <row r="120" spans="2:8">
      <c r="B120" s="5"/>
      <c r="H120" s="16"/>
    </row>
    <row r="121" spans="2:8">
      <c r="B121" s="5"/>
      <c r="H121" s="16"/>
    </row>
    <row r="122" spans="2:8">
      <c r="B122" s="5"/>
      <c r="H122" s="16"/>
    </row>
    <row r="123" spans="2:8">
      <c r="B123" s="5"/>
      <c r="H123" s="16"/>
    </row>
    <row r="124" spans="2:8">
      <c r="B124" s="5"/>
      <c r="H124" s="16"/>
    </row>
    <row r="125" spans="2:8">
      <c r="B125" s="5"/>
      <c r="H125" s="16"/>
    </row>
    <row r="126" spans="2:8">
      <c r="B126" s="5"/>
      <c r="H126" s="16"/>
    </row>
    <row r="127" spans="2:8">
      <c r="B127" s="5"/>
      <c r="H127" s="16"/>
    </row>
    <row r="128" spans="2:8">
      <c r="B128" s="5"/>
      <c r="H128" s="16"/>
    </row>
    <row r="129" spans="2:8">
      <c r="B129" s="5"/>
      <c r="H129" s="16"/>
    </row>
    <row r="130" spans="2:8">
      <c r="B130" s="5"/>
      <c r="H130" s="16"/>
    </row>
    <row r="131" spans="2:8">
      <c r="B131" s="5"/>
      <c r="H131" s="16"/>
    </row>
    <row r="132" spans="2:8">
      <c r="B132" s="5"/>
      <c r="H132" s="16"/>
    </row>
    <row r="133" spans="2:8">
      <c r="B133" s="5"/>
      <c r="H133" s="16"/>
    </row>
    <row r="134" spans="2:8">
      <c r="B134" s="5"/>
      <c r="H134" s="16"/>
    </row>
    <row r="135" spans="2:8">
      <c r="B135" s="5"/>
      <c r="H135" s="16"/>
    </row>
    <row r="136" spans="2:8">
      <c r="B136" s="5"/>
      <c r="H136" s="16"/>
    </row>
    <row r="137" spans="2:8">
      <c r="B137" s="5"/>
      <c r="H137" s="16"/>
    </row>
    <row r="138" spans="2:8">
      <c r="B138" s="5"/>
      <c r="H138" s="16"/>
    </row>
    <row r="139" spans="2:8">
      <c r="B139" s="5"/>
      <c r="H139" s="16"/>
    </row>
    <row r="140" spans="2:8">
      <c r="B140" s="5"/>
      <c r="H140" s="16"/>
    </row>
    <row r="141" spans="2:8">
      <c r="B141" s="5"/>
      <c r="H141" s="16"/>
    </row>
    <row r="142" spans="2:8">
      <c r="B142" s="5"/>
      <c r="H142" s="16"/>
    </row>
    <row r="143" spans="2:8">
      <c r="B143" s="5"/>
      <c r="H143" s="16"/>
    </row>
    <row r="144" spans="2:8">
      <c r="B144" s="5"/>
      <c r="H144" s="16"/>
    </row>
    <row r="145" spans="2:8">
      <c r="B145" s="5"/>
      <c r="H145" s="16"/>
    </row>
    <row r="146" spans="2:8">
      <c r="B146" s="5"/>
      <c r="H146" s="16"/>
    </row>
    <row r="147" spans="2:8">
      <c r="B147" s="5"/>
      <c r="H147" s="16"/>
    </row>
    <row r="148" spans="2:8">
      <c r="B148" s="5"/>
      <c r="H148" s="16"/>
    </row>
    <row r="149" spans="2:8">
      <c r="B149" s="5"/>
      <c r="H149" s="16"/>
    </row>
    <row r="150" spans="2:8">
      <c r="B150" s="5"/>
      <c r="H150" s="16"/>
    </row>
    <row r="151" spans="2:8">
      <c r="B151" s="5"/>
      <c r="H151" s="16"/>
    </row>
    <row r="152" spans="2:8">
      <c r="B152" s="5"/>
      <c r="H152" s="16"/>
    </row>
    <row r="153" spans="2:8">
      <c r="B153" s="5"/>
      <c r="H153" s="16"/>
    </row>
    <row r="154" spans="2:8">
      <c r="B154" s="5"/>
      <c r="H154" s="16"/>
    </row>
    <row r="155" spans="2:8">
      <c r="B155" s="5"/>
      <c r="H155" s="16"/>
    </row>
    <row r="156" spans="2:8">
      <c r="B156" s="5"/>
      <c r="H156" s="16"/>
    </row>
    <row r="157" spans="2:8">
      <c r="B157" s="5"/>
      <c r="H157" s="16"/>
    </row>
    <row r="158" spans="2:8">
      <c r="B158" s="5"/>
      <c r="H158" s="16"/>
    </row>
    <row r="159" spans="2:8">
      <c r="B159" s="5"/>
      <c r="H159" s="16"/>
    </row>
    <row r="160" spans="2:8">
      <c r="B160" s="5"/>
      <c r="H160" s="16"/>
    </row>
    <row r="161" spans="2:8">
      <c r="B161" s="5"/>
      <c r="H161" s="16"/>
    </row>
    <row r="162" spans="2:8">
      <c r="B162" s="5"/>
      <c r="H162" s="16"/>
    </row>
    <row r="163" spans="2:8">
      <c r="B163" s="5"/>
      <c r="H163" s="16"/>
    </row>
    <row r="164" spans="2:8">
      <c r="B164" s="5"/>
      <c r="H164" s="16"/>
    </row>
    <row r="165" spans="2:8">
      <c r="B165" s="5"/>
      <c r="H165" s="16"/>
    </row>
    <row r="166" spans="2:8">
      <c r="B166" s="5"/>
      <c r="H166" s="16"/>
    </row>
    <row r="167" spans="2:8">
      <c r="B167" s="5"/>
      <c r="H167" s="16"/>
    </row>
    <row r="168" spans="2:8">
      <c r="B168" s="5"/>
      <c r="H168" s="16"/>
    </row>
    <row r="169" spans="2:8">
      <c r="B169" s="5"/>
      <c r="H169" s="16"/>
    </row>
    <row r="170" spans="2:8">
      <c r="B170" s="5"/>
      <c r="H170" s="16"/>
    </row>
    <row r="171" spans="2:8">
      <c r="B171" s="5"/>
      <c r="H171" s="16"/>
    </row>
    <row r="172" spans="2:8">
      <c r="B172" s="5"/>
      <c r="H172" s="16"/>
    </row>
    <row r="173" spans="2:8">
      <c r="B173" s="5"/>
      <c r="H173" s="16"/>
    </row>
    <row r="174" spans="2:8">
      <c r="B174" s="5"/>
      <c r="H174" s="16"/>
    </row>
    <row r="175" spans="2:8">
      <c r="B175" s="5"/>
      <c r="H175" s="16"/>
    </row>
    <row r="176" spans="2:8">
      <c r="B176" s="5"/>
      <c r="H176" s="16"/>
    </row>
    <row r="177" spans="2:8">
      <c r="B177" s="5"/>
      <c r="H177" s="16"/>
    </row>
    <row r="178" spans="2:8">
      <c r="B178" s="5"/>
      <c r="H178" s="16"/>
    </row>
    <row r="179" spans="2:8">
      <c r="B179" s="5"/>
      <c r="H179" s="16"/>
    </row>
    <row r="180" spans="2:8">
      <c r="B180" s="5"/>
      <c r="H180" s="16"/>
    </row>
    <row r="181" spans="2:8">
      <c r="B181" s="5"/>
      <c r="H181" s="16"/>
    </row>
    <row r="182" spans="2:8">
      <c r="B182" s="5"/>
      <c r="H182" s="16"/>
    </row>
    <row r="183" spans="2:8">
      <c r="B183" s="5"/>
      <c r="H183" s="16"/>
    </row>
    <row r="184" spans="2:8">
      <c r="B184" s="5"/>
      <c r="H184" s="16"/>
    </row>
    <row r="185" spans="2:8">
      <c r="B185" s="5"/>
      <c r="H185" s="16"/>
    </row>
    <row r="186" spans="2:8">
      <c r="B186" s="5"/>
      <c r="H186" s="16"/>
    </row>
    <row r="187" spans="2:8">
      <c r="B187" s="5"/>
      <c r="H187" s="16"/>
    </row>
    <row r="188" spans="2:8">
      <c r="B188" s="5"/>
      <c r="H188" s="16"/>
    </row>
    <row r="189" spans="2:8">
      <c r="B189" s="5"/>
      <c r="H189" s="16"/>
    </row>
    <row r="190" spans="2:8">
      <c r="B190" s="5"/>
      <c r="H190" s="16"/>
    </row>
    <row r="191" spans="2:8">
      <c r="B191" s="5"/>
      <c r="H191" s="16"/>
    </row>
    <row r="192" spans="2:8">
      <c r="B192" s="5"/>
      <c r="H192" s="16"/>
    </row>
    <row r="193" spans="2:8">
      <c r="B193" s="5"/>
      <c r="H193" s="16"/>
    </row>
    <row r="194" spans="2:8">
      <c r="B194" s="5"/>
      <c r="H194" s="16"/>
    </row>
    <row r="195" spans="2:8">
      <c r="B195" s="5"/>
      <c r="H195" s="16"/>
    </row>
    <row r="196" spans="2:8">
      <c r="B196" s="5"/>
      <c r="H196" s="16"/>
    </row>
    <row r="197" spans="2:8">
      <c r="B197" s="5"/>
      <c r="H197" s="16"/>
    </row>
    <row r="198" spans="2:8">
      <c r="B198" s="5"/>
      <c r="H198" s="16"/>
    </row>
    <row r="199" spans="2:8">
      <c r="B199" s="5"/>
      <c r="H199" s="16"/>
    </row>
    <row r="200" spans="2:8">
      <c r="B200" s="5"/>
      <c r="H200" s="16"/>
    </row>
    <row r="201" spans="2:8">
      <c r="B201" s="5"/>
      <c r="H201" s="16"/>
    </row>
    <row r="202" spans="2:8">
      <c r="B202" s="5"/>
      <c r="H202" s="16"/>
    </row>
    <row r="203" spans="2:8">
      <c r="B203" s="5"/>
      <c r="H203" s="16"/>
    </row>
    <row r="204" spans="2:8">
      <c r="B204" s="5"/>
      <c r="H204" s="16"/>
    </row>
    <row r="205" spans="2:8">
      <c r="B205" s="5"/>
      <c r="H205" s="16"/>
    </row>
    <row r="206" spans="2:8">
      <c r="B206" s="5"/>
      <c r="H206" s="16"/>
    </row>
    <row r="207" spans="2:8">
      <c r="B207" s="5"/>
      <c r="H207" s="16"/>
    </row>
    <row r="208" spans="2:8">
      <c r="B208" s="5"/>
      <c r="H208" s="16"/>
    </row>
    <row r="209" spans="2:8">
      <c r="B209" s="5"/>
      <c r="H209" s="16"/>
    </row>
    <row r="210" spans="2:8">
      <c r="B210" s="5"/>
      <c r="H210" s="16"/>
    </row>
    <row r="211" spans="2:8">
      <c r="B211" s="5"/>
      <c r="H211" s="16"/>
    </row>
    <row r="212" spans="2:8">
      <c r="B212" s="5"/>
      <c r="H212" s="16"/>
    </row>
    <row r="213" spans="2:8">
      <c r="B213" s="5"/>
      <c r="H213" s="16"/>
    </row>
    <row r="214" spans="2:8">
      <c r="B214" s="5"/>
      <c r="H214" s="16"/>
    </row>
    <row r="215" spans="2:8">
      <c r="B215" s="5"/>
      <c r="H215" s="16"/>
    </row>
    <row r="216" spans="2:8">
      <c r="B216" s="5"/>
      <c r="H216" s="16"/>
    </row>
    <row r="217" spans="2:8">
      <c r="B217" s="5"/>
      <c r="H217" s="16"/>
    </row>
    <row r="218" spans="2:8">
      <c r="B218" s="5"/>
      <c r="H218" s="16"/>
    </row>
    <row r="219" spans="2:8">
      <c r="B219" s="5"/>
      <c r="H219" s="16"/>
    </row>
    <row r="220" spans="2:8">
      <c r="B220" s="5"/>
      <c r="H220" s="16"/>
    </row>
    <row r="221" spans="2:8">
      <c r="B221" s="5"/>
      <c r="H221" s="16"/>
    </row>
    <row r="222" spans="2:8">
      <c r="B222" s="5"/>
      <c r="H222" s="16"/>
    </row>
    <row r="223" spans="2:8">
      <c r="B223" s="5"/>
      <c r="H223" s="16"/>
    </row>
    <row r="224" spans="2:8">
      <c r="B224" s="5"/>
      <c r="H224" s="16"/>
    </row>
    <row r="225" spans="2:8">
      <c r="B225" s="5"/>
      <c r="H225" s="16"/>
    </row>
    <row r="226" spans="2:8">
      <c r="B226" s="5"/>
      <c r="H226" s="16"/>
    </row>
    <row r="227" spans="2:8">
      <c r="B227" s="5"/>
      <c r="H227" s="16"/>
    </row>
    <row r="228" spans="2:8">
      <c r="B228" s="5"/>
      <c r="H228" s="16"/>
    </row>
    <row r="229" spans="2:8">
      <c r="B229" s="5"/>
      <c r="H229" s="16"/>
    </row>
    <row r="230" spans="2:8">
      <c r="B230" s="5"/>
      <c r="H230" s="16"/>
    </row>
    <row r="231" spans="2:8">
      <c r="B231" s="5"/>
      <c r="H231" s="16"/>
    </row>
    <row r="232" spans="2:8">
      <c r="B232" s="5"/>
      <c r="H232" s="16"/>
    </row>
    <row r="233" spans="2:8">
      <c r="B233" s="5"/>
      <c r="H233" s="16"/>
    </row>
    <row r="234" spans="2:8">
      <c r="B234" s="5"/>
      <c r="H234" s="16"/>
    </row>
    <row r="235" spans="2:8">
      <c r="B235" s="5"/>
      <c r="H235" s="16"/>
    </row>
    <row r="236" spans="2:8">
      <c r="B236" s="5"/>
      <c r="H236" s="16"/>
    </row>
    <row r="237" spans="2:8">
      <c r="B237" s="5"/>
      <c r="H237" s="16"/>
    </row>
    <row r="238" spans="2:8">
      <c r="B238" s="5"/>
      <c r="H238" s="16"/>
    </row>
    <row r="239" spans="2:8">
      <c r="B239" s="5"/>
      <c r="H239" s="16"/>
    </row>
    <row r="240" spans="2:8">
      <c r="B240" s="5"/>
      <c r="H240" s="16"/>
    </row>
    <row r="241" spans="2:8">
      <c r="B241" s="5"/>
      <c r="H241" s="16"/>
    </row>
    <row r="242" spans="2:8">
      <c r="B242" s="5"/>
      <c r="H242" s="16"/>
    </row>
    <row r="243" spans="2:8">
      <c r="B243" s="5"/>
      <c r="H243" s="16"/>
    </row>
    <row r="244" spans="2:8">
      <c r="B244" s="5"/>
      <c r="H244" s="16"/>
    </row>
    <row r="245" spans="2:8">
      <c r="B245" s="5"/>
      <c r="H245" s="16"/>
    </row>
    <row r="246" spans="2:8">
      <c r="B246" s="5"/>
      <c r="H246" s="16"/>
    </row>
    <row r="247" spans="2:8">
      <c r="B247" s="5"/>
      <c r="H247" s="16"/>
    </row>
    <row r="248" spans="2:8">
      <c r="B248" s="5"/>
      <c r="H248" s="16"/>
    </row>
    <row r="249" spans="2:8">
      <c r="B249" s="5"/>
      <c r="H249" s="16"/>
    </row>
    <row r="250" spans="2:8">
      <c r="B250" s="5"/>
      <c r="H250" s="16"/>
    </row>
    <row r="251" spans="2:8">
      <c r="B251" s="5"/>
      <c r="H251" s="16"/>
    </row>
    <row r="252" spans="2:8">
      <c r="B252" s="5"/>
      <c r="H252" s="16"/>
    </row>
    <row r="253" spans="2:8">
      <c r="B253" s="5"/>
      <c r="H253" s="16"/>
    </row>
    <row r="254" spans="2:8">
      <c r="B254" s="5"/>
      <c r="H254" s="16"/>
    </row>
    <row r="255" spans="2:8">
      <c r="B255" s="5"/>
      <c r="H255" s="16"/>
    </row>
    <row r="256" spans="2:8">
      <c r="B256" s="5"/>
      <c r="H256" s="16"/>
    </row>
    <row r="257" spans="2:8">
      <c r="B257" s="5"/>
      <c r="H257" s="16"/>
    </row>
    <row r="258" spans="2:8">
      <c r="B258" s="5"/>
      <c r="H258" s="16"/>
    </row>
    <row r="259" spans="2:8">
      <c r="B259" s="5"/>
      <c r="H259" s="16"/>
    </row>
    <row r="260" spans="2:8">
      <c r="B260" s="5"/>
      <c r="H260" s="16"/>
    </row>
    <row r="261" spans="2:8">
      <c r="B261" s="5"/>
      <c r="H261" s="16"/>
    </row>
    <row r="262" spans="2:8">
      <c r="B262" s="5"/>
      <c r="H262" s="16"/>
    </row>
    <row r="263" spans="2:8">
      <c r="B263" s="5"/>
      <c r="H263" s="16"/>
    </row>
    <row r="264" spans="2:8">
      <c r="B264" s="5"/>
      <c r="H264" s="16"/>
    </row>
    <row r="265" spans="2:8">
      <c r="B265" s="5"/>
      <c r="H265" s="16"/>
    </row>
    <row r="266" spans="2:8">
      <c r="B266" s="5"/>
      <c r="H266" s="16"/>
    </row>
    <row r="267" spans="2:8">
      <c r="B267" s="5"/>
      <c r="H267" s="16"/>
    </row>
    <row r="268" spans="2:8">
      <c r="B268" s="5"/>
      <c r="H268" s="16"/>
    </row>
    <row r="269" spans="2:8">
      <c r="B269" s="5"/>
      <c r="H269" s="16"/>
    </row>
    <row r="270" spans="2:8">
      <c r="B270" s="5"/>
      <c r="H270" s="16"/>
    </row>
    <row r="271" spans="2:8">
      <c r="B271" s="5"/>
      <c r="H271" s="16"/>
    </row>
    <row r="272" spans="2:8">
      <c r="B272" s="5"/>
      <c r="H272" s="16"/>
    </row>
    <row r="273" spans="2:8">
      <c r="B273" s="5"/>
      <c r="H273" s="16"/>
    </row>
    <row r="274" spans="2:8">
      <c r="B274" s="5"/>
      <c r="H274" s="16"/>
    </row>
    <row r="275" spans="2:8">
      <c r="B275" s="5"/>
      <c r="H275" s="16"/>
    </row>
    <row r="276" spans="2:8">
      <c r="B276" s="5"/>
      <c r="H276" s="16"/>
    </row>
    <row r="277" spans="2:8">
      <c r="B277" s="5"/>
      <c r="H277" s="16"/>
    </row>
    <row r="278" spans="2:8">
      <c r="B278" s="5"/>
      <c r="H278" s="16"/>
    </row>
    <row r="279" spans="2:8">
      <c r="B279" s="5"/>
      <c r="H279" s="16"/>
    </row>
    <row r="280" spans="2:8">
      <c r="B280" s="5"/>
      <c r="H280" s="16"/>
    </row>
    <row r="281" spans="2:8">
      <c r="B281" s="5"/>
      <c r="H281" s="16"/>
    </row>
    <row r="282" spans="2:8">
      <c r="B282" s="5"/>
      <c r="H282" s="16"/>
    </row>
    <row r="283" spans="2:8">
      <c r="B283" s="5"/>
      <c r="H283" s="16"/>
    </row>
    <row r="284" spans="2:8">
      <c r="B284" s="5"/>
      <c r="H284" s="16"/>
    </row>
    <row r="285" spans="2:8">
      <c r="B285" s="5"/>
      <c r="H285" s="16"/>
    </row>
    <row r="286" spans="2:8">
      <c r="B286" s="5"/>
      <c r="H286" s="16"/>
    </row>
    <row r="287" spans="2:8">
      <c r="B287" s="5"/>
      <c r="H287" s="16"/>
    </row>
    <row r="288" spans="2:8">
      <c r="B288" s="5"/>
      <c r="H288" s="16"/>
    </row>
    <row r="289" spans="2:8">
      <c r="B289" s="5"/>
      <c r="H289" s="16"/>
    </row>
    <row r="290" spans="2:8">
      <c r="B290" s="5"/>
      <c r="H290" s="16"/>
    </row>
    <row r="291" spans="2:8">
      <c r="B291" s="5"/>
      <c r="H291" s="16"/>
    </row>
    <row r="292" spans="2:8">
      <c r="B292" s="5"/>
      <c r="H292" s="16"/>
    </row>
    <row r="293" spans="2:8">
      <c r="B293" s="5"/>
      <c r="H293" s="16"/>
    </row>
    <row r="294" spans="2:8">
      <c r="B294" s="5"/>
      <c r="H294" s="16"/>
    </row>
    <row r="295" spans="2:8">
      <c r="B295" s="5"/>
      <c r="H295" s="16"/>
    </row>
    <row r="296" spans="2:8">
      <c r="B296" s="5"/>
      <c r="H296" s="16"/>
    </row>
    <row r="297" spans="2:8">
      <c r="B297" s="5"/>
      <c r="H297" s="16"/>
    </row>
    <row r="298" spans="2:8">
      <c r="B298" s="5"/>
      <c r="H298" s="16"/>
    </row>
    <row r="299" spans="2:8">
      <c r="B299" s="5"/>
      <c r="H299" s="16"/>
    </row>
    <row r="300" spans="2:8">
      <c r="B300" s="5"/>
      <c r="H300" s="16"/>
    </row>
    <row r="301" spans="2:8">
      <c r="B301" s="5"/>
      <c r="H301" s="16"/>
    </row>
    <row r="302" spans="2:8">
      <c r="B302" s="5"/>
      <c r="H302" s="16"/>
    </row>
    <row r="303" spans="2:8">
      <c r="B303" s="5"/>
      <c r="H303" s="16"/>
    </row>
    <row r="304" spans="2:8">
      <c r="B304" s="5"/>
      <c r="H304" s="16"/>
    </row>
    <row r="305" spans="2:8">
      <c r="B305" s="5"/>
      <c r="H305" s="16"/>
    </row>
    <row r="306" spans="2:8">
      <c r="B306" s="5"/>
      <c r="H306" s="16"/>
    </row>
    <row r="307" spans="2:8">
      <c r="B307" s="5"/>
      <c r="H307" s="16"/>
    </row>
    <row r="308" spans="2:8">
      <c r="B308" s="5"/>
      <c r="H308" s="16"/>
    </row>
    <row r="309" spans="2:8">
      <c r="B309" s="5"/>
      <c r="H309" s="16"/>
    </row>
    <row r="310" spans="2:8">
      <c r="B310" s="5"/>
      <c r="H310" s="16"/>
    </row>
    <row r="311" spans="2:8">
      <c r="B311" s="5"/>
      <c r="H311" s="16"/>
    </row>
    <row r="312" spans="2:8">
      <c r="B312" s="5"/>
      <c r="H312" s="16"/>
    </row>
    <row r="313" spans="2:8">
      <c r="B313" s="5"/>
      <c r="H313" s="16"/>
    </row>
    <row r="314" spans="2:8">
      <c r="B314" s="5"/>
      <c r="H314" s="16"/>
    </row>
    <row r="315" spans="2:8">
      <c r="B315" s="5"/>
      <c r="H315" s="16"/>
    </row>
    <row r="316" spans="2:8">
      <c r="B316" s="5"/>
      <c r="H316" s="16"/>
    </row>
    <row r="317" spans="2:8">
      <c r="B317" s="5"/>
      <c r="H317" s="16"/>
    </row>
    <row r="318" spans="2:8">
      <c r="B318" s="5"/>
      <c r="H318" s="16"/>
    </row>
    <row r="319" spans="2:8">
      <c r="B319" s="5"/>
      <c r="H319" s="16"/>
    </row>
    <row r="320" spans="2:8">
      <c r="B320" s="5"/>
      <c r="H320" s="16"/>
    </row>
    <row r="321" spans="2:8">
      <c r="B321" s="5"/>
      <c r="H321" s="16"/>
    </row>
    <row r="322" spans="2:8">
      <c r="B322" s="5"/>
      <c r="H322" s="16"/>
    </row>
    <row r="323" spans="2:8">
      <c r="B323" s="5"/>
      <c r="H323" s="16"/>
    </row>
    <row r="324" spans="2:8">
      <c r="B324" s="5"/>
      <c r="H324" s="16"/>
    </row>
    <row r="325" spans="2:8">
      <c r="B325" s="5"/>
      <c r="H325" s="16"/>
    </row>
    <row r="326" spans="2:8">
      <c r="B326" s="5"/>
      <c r="H326" s="16"/>
    </row>
    <row r="327" spans="2:8">
      <c r="B327" s="5"/>
      <c r="H327" s="16"/>
    </row>
    <row r="328" spans="2:8">
      <c r="B328" s="5"/>
      <c r="H328" s="16"/>
    </row>
    <row r="329" spans="2:8">
      <c r="B329" s="5"/>
      <c r="H329" s="16"/>
    </row>
    <row r="330" spans="2:8">
      <c r="B330" s="5"/>
      <c r="H330" s="16"/>
    </row>
    <row r="331" spans="2:8">
      <c r="B331" s="5"/>
      <c r="H331" s="16"/>
    </row>
    <row r="332" spans="2:8">
      <c r="B332" s="5"/>
      <c r="H332" s="16"/>
    </row>
    <row r="333" spans="2:8">
      <c r="B333" s="5"/>
      <c r="H333" s="16"/>
    </row>
    <row r="334" spans="2:8">
      <c r="B334" s="5"/>
      <c r="H334" s="16"/>
    </row>
    <row r="335" spans="2:8">
      <c r="B335" s="5"/>
      <c r="H335" s="16"/>
    </row>
    <row r="336" spans="2:8">
      <c r="B336" s="5"/>
      <c r="H336" s="16"/>
    </row>
    <row r="337" spans="2:8">
      <c r="B337" s="5"/>
      <c r="H337" s="16"/>
    </row>
    <row r="338" spans="2:8">
      <c r="B338" s="5"/>
      <c r="H338" s="16"/>
    </row>
    <row r="339" spans="2:8">
      <c r="B339" s="5"/>
      <c r="H339" s="16"/>
    </row>
    <row r="340" spans="2:8">
      <c r="B340" s="5"/>
      <c r="H340" s="16"/>
    </row>
    <row r="341" spans="2:8">
      <c r="B341" s="5"/>
      <c r="H341" s="16"/>
    </row>
    <row r="342" spans="2:8">
      <c r="B342" s="5"/>
      <c r="H342" s="16"/>
    </row>
    <row r="343" spans="2:8">
      <c r="B343" s="5"/>
      <c r="H343" s="16"/>
    </row>
    <row r="344" spans="2:8">
      <c r="B344" s="5"/>
      <c r="H344" s="16"/>
    </row>
    <row r="345" spans="2:8">
      <c r="B345" s="5"/>
      <c r="H345" s="16"/>
    </row>
    <row r="346" spans="2:8">
      <c r="B346" s="5"/>
      <c r="H346" s="16"/>
    </row>
    <row r="347" spans="2:8">
      <c r="B347" s="5"/>
      <c r="H347" s="16"/>
    </row>
    <row r="348" spans="2:8">
      <c r="B348" s="5"/>
      <c r="H348" s="16"/>
    </row>
    <row r="349" spans="2:8">
      <c r="B349" s="5"/>
      <c r="H349" s="16"/>
    </row>
    <row r="350" spans="2:8">
      <c r="B350" s="5"/>
      <c r="H350" s="16"/>
    </row>
    <row r="351" spans="2:8">
      <c r="B351" s="5"/>
      <c r="H351" s="16"/>
    </row>
    <row r="352" spans="2:8">
      <c r="B352" s="5"/>
      <c r="H352" s="16"/>
    </row>
    <row r="353" spans="2:8">
      <c r="B353" s="5"/>
      <c r="H353" s="16"/>
    </row>
    <row r="354" spans="2:8">
      <c r="B354" s="5"/>
      <c r="H354" s="16"/>
    </row>
    <row r="355" spans="2:8">
      <c r="B355" s="5"/>
      <c r="H355" s="16"/>
    </row>
    <row r="356" spans="2:8">
      <c r="B356" s="5"/>
      <c r="H356" s="16"/>
    </row>
    <row r="357" spans="2:8">
      <c r="B357" s="5"/>
      <c r="H357" s="16"/>
    </row>
    <row r="358" spans="2:8">
      <c r="B358" s="5"/>
      <c r="H358" s="16"/>
    </row>
    <row r="359" spans="2:8">
      <c r="B359" s="5"/>
      <c r="H359" s="16"/>
    </row>
    <row r="360" spans="2:8">
      <c r="B360" s="5"/>
      <c r="H360" s="16"/>
    </row>
    <row r="361" spans="2:8">
      <c r="B361" s="5"/>
      <c r="H361" s="16"/>
    </row>
    <row r="362" spans="2:8">
      <c r="B362" s="5"/>
      <c r="H362" s="16"/>
    </row>
    <row r="363" spans="2:8">
      <c r="B363" s="5"/>
      <c r="H363" s="16"/>
    </row>
    <row r="364" spans="2:8">
      <c r="B364" s="5"/>
      <c r="H364" s="16"/>
    </row>
    <row r="365" spans="2:8">
      <c r="B365" s="5"/>
      <c r="H365" s="16"/>
    </row>
    <row r="366" spans="2:8">
      <c r="B366" s="5"/>
      <c r="H366" s="16"/>
    </row>
    <row r="367" spans="2:8">
      <c r="B367" s="5"/>
      <c r="H367" s="16"/>
    </row>
    <row r="368" spans="2:8">
      <c r="B368" s="5"/>
      <c r="H368" s="16"/>
    </row>
    <row r="369" spans="2:8">
      <c r="B369" s="5"/>
      <c r="H369" s="16"/>
    </row>
    <row r="370" spans="2:8">
      <c r="B370" s="5"/>
      <c r="H370" s="16"/>
    </row>
    <row r="371" spans="2:8">
      <c r="B371" s="5"/>
      <c r="H371" s="16"/>
    </row>
    <row r="372" spans="2:8">
      <c r="B372" s="5"/>
      <c r="H372" s="16"/>
    </row>
    <row r="373" spans="2:8">
      <c r="B373" s="5"/>
      <c r="H373" s="16"/>
    </row>
    <row r="374" spans="2:8">
      <c r="B374" s="5"/>
      <c r="H374" s="16"/>
    </row>
    <row r="375" spans="2:8">
      <c r="B375" s="5"/>
      <c r="H375" s="16"/>
    </row>
    <row r="376" spans="2:8">
      <c r="B376" s="5"/>
      <c r="H376" s="16"/>
    </row>
    <row r="377" spans="2:8">
      <c r="B377" s="5"/>
      <c r="H377" s="16"/>
    </row>
    <row r="378" spans="2:8">
      <c r="B378" s="5"/>
      <c r="H378" s="16"/>
    </row>
    <row r="379" spans="2:8">
      <c r="B379" s="5"/>
      <c r="H379" s="16"/>
    </row>
    <row r="380" spans="2:8">
      <c r="B380" s="5"/>
      <c r="H380" s="16"/>
    </row>
    <row r="381" spans="2:8">
      <c r="B381" s="5"/>
      <c r="H381" s="16"/>
    </row>
    <row r="382" spans="2:8">
      <c r="B382" s="5"/>
      <c r="H382" s="16"/>
    </row>
    <row r="383" spans="2:8">
      <c r="B383" s="5"/>
      <c r="H383" s="16"/>
    </row>
    <row r="384" spans="2:8">
      <c r="B384" s="5"/>
      <c r="H384" s="16"/>
    </row>
    <row r="385" spans="2:8">
      <c r="B385" s="5"/>
      <c r="H385" s="16"/>
    </row>
    <row r="386" spans="2:8">
      <c r="B386" s="5"/>
      <c r="H386" s="16"/>
    </row>
    <row r="387" spans="2:8">
      <c r="B387" s="5"/>
      <c r="H387" s="16"/>
    </row>
    <row r="388" spans="2:8">
      <c r="B388" s="5"/>
      <c r="H388" s="16"/>
    </row>
    <row r="389" spans="2:8">
      <c r="B389" s="5"/>
      <c r="H389" s="16"/>
    </row>
    <row r="390" spans="2:8">
      <c r="B390" s="5"/>
      <c r="H390" s="16"/>
    </row>
    <row r="391" spans="2:8">
      <c r="B391" s="5"/>
      <c r="H391" s="16"/>
    </row>
    <row r="392" spans="2:8">
      <c r="B392" s="5"/>
      <c r="H392" s="16"/>
    </row>
    <row r="393" spans="2:8">
      <c r="B393" s="5"/>
      <c r="H393" s="16"/>
    </row>
    <row r="394" spans="2:8">
      <c r="B394" s="5"/>
      <c r="H394" s="16"/>
    </row>
    <row r="395" spans="2:8">
      <c r="B395" s="5"/>
      <c r="H395" s="16"/>
    </row>
    <row r="396" spans="2:8">
      <c r="B396" s="5"/>
      <c r="H396" s="16"/>
    </row>
    <row r="397" spans="2:8">
      <c r="B397" s="5"/>
      <c r="H397" s="16"/>
    </row>
    <row r="398" spans="2:8">
      <c r="B398" s="5"/>
      <c r="H398" s="16"/>
    </row>
    <row r="399" spans="2:8">
      <c r="B399" s="5"/>
      <c r="H399" s="16"/>
    </row>
    <row r="400" spans="2:8">
      <c r="B400" s="5"/>
      <c r="H400" s="16"/>
    </row>
    <row r="401" spans="2:8">
      <c r="B401" s="5"/>
      <c r="H401" s="16"/>
    </row>
    <row r="402" spans="2:8">
      <c r="B402" s="5"/>
      <c r="H402" s="16"/>
    </row>
    <row r="403" spans="2:8">
      <c r="B403" s="5"/>
      <c r="H403" s="16"/>
    </row>
    <row r="404" spans="2:8">
      <c r="B404" s="5"/>
      <c r="H404" s="16"/>
    </row>
    <row r="405" spans="2:8">
      <c r="B405" s="5"/>
      <c r="H405" s="16"/>
    </row>
    <row r="406" spans="2:8">
      <c r="B406" s="5"/>
      <c r="H406" s="16"/>
    </row>
    <row r="407" spans="2:8">
      <c r="B407" s="5"/>
      <c r="H407" s="16"/>
    </row>
    <row r="408" spans="2:8">
      <c r="B408" s="5"/>
      <c r="H408" s="16"/>
    </row>
    <row r="409" spans="2:8">
      <c r="B409" s="5"/>
      <c r="H409" s="16"/>
    </row>
    <row r="410" spans="2:8">
      <c r="B410" s="5"/>
      <c r="H410" s="16"/>
    </row>
    <row r="411" spans="2:8">
      <c r="B411" s="5"/>
      <c r="H411" s="16"/>
    </row>
    <row r="412" spans="2:8">
      <c r="B412" s="5"/>
      <c r="H412" s="16"/>
    </row>
    <row r="413" spans="2:8">
      <c r="B413" s="5"/>
      <c r="H413" s="16"/>
    </row>
    <row r="414" spans="2:8">
      <c r="B414" s="5"/>
      <c r="H414" s="16"/>
    </row>
    <row r="415" spans="2:8">
      <c r="B415" s="5"/>
      <c r="H415" s="16"/>
    </row>
    <row r="416" spans="2:8">
      <c r="B416" s="5"/>
      <c r="H416" s="16"/>
    </row>
    <row r="417" spans="2:8">
      <c r="B417" s="5"/>
      <c r="H417" s="16"/>
    </row>
    <row r="418" spans="2:8">
      <c r="B418" s="5"/>
      <c r="H418" s="16"/>
    </row>
    <row r="419" spans="2:8">
      <c r="B419" s="5"/>
      <c r="H419" s="16"/>
    </row>
    <row r="420" spans="2:8">
      <c r="B420" s="5"/>
      <c r="H420" s="16"/>
    </row>
    <row r="421" spans="2:8">
      <c r="B421" s="5"/>
      <c r="H421" s="16"/>
    </row>
    <row r="422" spans="2:8">
      <c r="B422" s="5"/>
      <c r="H422" s="16"/>
    </row>
    <row r="423" spans="2:8">
      <c r="B423" s="5"/>
      <c r="H423" s="16"/>
    </row>
    <row r="424" spans="2:8">
      <c r="B424" s="5"/>
      <c r="H424" s="16"/>
    </row>
    <row r="425" spans="2:8">
      <c r="B425" s="5"/>
      <c r="H425" s="16"/>
    </row>
    <row r="426" spans="2:8">
      <c r="B426" s="5"/>
      <c r="H426" s="16"/>
    </row>
    <row r="427" spans="2:8">
      <c r="B427" s="5"/>
      <c r="H427" s="16"/>
    </row>
    <row r="428" spans="2:8">
      <c r="B428" s="5"/>
      <c r="H428" s="16"/>
    </row>
    <row r="429" spans="2:8">
      <c r="B429" s="5"/>
      <c r="H429" s="16"/>
    </row>
    <row r="430" spans="2:8">
      <c r="B430" s="5"/>
      <c r="H430" s="16"/>
    </row>
    <row r="431" spans="2:8">
      <c r="B431" s="5"/>
      <c r="H431" s="16"/>
    </row>
    <row r="432" spans="2:8">
      <c r="B432" s="5"/>
      <c r="H432" s="16"/>
    </row>
    <row r="433" spans="2:8">
      <c r="B433" s="5"/>
      <c r="H433" s="16"/>
    </row>
    <row r="434" spans="2:8">
      <c r="B434" s="5"/>
      <c r="H434" s="16"/>
    </row>
    <row r="435" spans="2:8">
      <c r="B435" s="5"/>
      <c r="H435" s="16"/>
    </row>
    <row r="436" spans="2:8">
      <c r="B436" s="5"/>
      <c r="H436" s="16"/>
    </row>
    <row r="437" spans="2:8">
      <c r="B437" s="5"/>
      <c r="H437" s="16"/>
    </row>
    <row r="438" spans="2:8">
      <c r="B438" s="5"/>
      <c r="H438" s="16"/>
    </row>
    <row r="439" spans="2:8">
      <c r="B439" s="5"/>
      <c r="H439" s="16"/>
    </row>
    <row r="440" spans="2:8">
      <c r="B440" s="5"/>
      <c r="H440" s="16"/>
    </row>
    <row r="441" spans="2:8">
      <c r="B441" s="5"/>
      <c r="H441" s="16"/>
    </row>
    <row r="442" spans="2:8">
      <c r="B442" s="5"/>
      <c r="H442" s="16"/>
    </row>
    <row r="443" spans="2:8">
      <c r="B443" s="5"/>
      <c r="H443" s="16"/>
    </row>
    <row r="444" spans="2:8">
      <c r="B444" s="5"/>
      <c r="H444" s="16"/>
    </row>
    <row r="445" spans="2:8">
      <c r="B445" s="5"/>
      <c r="H445" s="16"/>
    </row>
    <row r="446" spans="2:8">
      <c r="B446" s="5"/>
      <c r="H446" s="16"/>
    </row>
    <row r="447" spans="2:8">
      <c r="B447" s="5"/>
      <c r="H447" s="16"/>
    </row>
    <row r="448" spans="2:8">
      <c r="B448" s="5"/>
      <c r="H448" s="16"/>
    </row>
    <row r="449" spans="2:8">
      <c r="B449" s="5"/>
      <c r="H449" s="16"/>
    </row>
    <row r="450" spans="2:8">
      <c r="B450" s="5"/>
      <c r="H450" s="16"/>
    </row>
    <row r="451" spans="2:8">
      <c r="B451" s="5"/>
      <c r="H451" s="16"/>
    </row>
    <row r="452" spans="2:8">
      <c r="B452" s="5"/>
      <c r="H452" s="16"/>
    </row>
    <row r="453" spans="2:8">
      <c r="B453" s="5"/>
      <c r="H453" s="16"/>
    </row>
    <row r="454" spans="2:8">
      <c r="B454" s="5"/>
      <c r="H454" s="16"/>
    </row>
    <row r="455" spans="2:8">
      <c r="B455" s="5"/>
      <c r="H455" s="16"/>
    </row>
    <row r="456" spans="2:8">
      <c r="B456" s="5"/>
      <c r="H456" s="16"/>
    </row>
    <row r="457" spans="2:8">
      <c r="B457" s="5"/>
      <c r="H457" s="16"/>
    </row>
    <row r="458" spans="2:8">
      <c r="B458" s="5"/>
      <c r="H458" s="16"/>
    </row>
    <row r="459" spans="2:8">
      <c r="B459" s="5"/>
      <c r="H459" s="16"/>
    </row>
    <row r="460" spans="2:8">
      <c r="B460" s="5"/>
      <c r="H460" s="16"/>
    </row>
    <row r="461" spans="2:8">
      <c r="B461" s="5"/>
      <c r="H461" s="16"/>
    </row>
    <row r="462" spans="2:8">
      <c r="B462" s="5"/>
      <c r="H462" s="16"/>
    </row>
    <row r="463" spans="2:8">
      <c r="B463" s="5"/>
      <c r="H463" s="16"/>
    </row>
    <row r="464" spans="2:8">
      <c r="B464" s="5"/>
      <c r="H464" s="16"/>
    </row>
    <row r="465" spans="2:8">
      <c r="B465" s="5"/>
      <c r="H465" s="16"/>
    </row>
    <row r="466" spans="2:8">
      <c r="B466" s="5"/>
      <c r="H466" s="16"/>
    </row>
    <row r="467" spans="2:8">
      <c r="B467" s="5"/>
      <c r="H467" s="16"/>
    </row>
    <row r="468" spans="2:8">
      <c r="B468" s="5"/>
      <c r="H468" s="16"/>
    </row>
    <row r="469" spans="2:8">
      <c r="B469" s="5"/>
      <c r="H469" s="16"/>
    </row>
    <row r="470" spans="2:8">
      <c r="B470" s="5"/>
      <c r="H470" s="16"/>
    </row>
    <row r="471" spans="2:8">
      <c r="B471" s="5"/>
      <c r="H471" s="16"/>
    </row>
    <row r="472" spans="2:8">
      <c r="B472" s="5"/>
      <c r="H472" s="16"/>
    </row>
    <row r="473" spans="2:8">
      <c r="B473" s="5"/>
      <c r="H473" s="16"/>
    </row>
    <row r="474" spans="2:8">
      <c r="B474" s="5"/>
      <c r="H474" s="16"/>
    </row>
    <row r="475" spans="2:8">
      <c r="B475" s="5"/>
      <c r="H475" s="16"/>
    </row>
    <row r="476" spans="2:8">
      <c r="B476" s="5"/>
      <c r="H476" s="16"/>
    </row>
    <row r="477" spans="2:8">
      <c r="B477" s="5"/>
      <c r="H477" s="16"/>
    </row>
    <row r="478" spans="2:8">
      <c r="B478" s="5"/>
      <c r="H478" s="16"/>
    </row>
    <row r="479" spans="2:8">
      <c r="B479" s="5"/>
      <c r="H479" s="16"/>
    </row>
    <row r="480" spans="2:8">
      <c r="B480" s="5"/>
      <c r="H480" s="16"/>
    </row>
    <row r="481" spans="2:8">
      <c r="B481" s="5"/>
      <c r="H481" s="16"/>
    </row>
    <row r="482" spans="2:8">
      <c r="B482" s="5"/>
      <c r="H482" s="16"/>
    </row>
    <row r="483" spans="2:8">
      <c r="B483" s="5"/>
      <c r="H483" s="16"/>
    </row>
    <row r="484" spans="2:8">
      <c r="B484" s="5"/>
      <c r="H484" s="16"/>
    </row>
    <row r="485" spans="2:8">
      <c r="B485" s="5"/>
      <c r="H485" s="16"/>
    </row>
    <row r="486" spans="2:8">
      <c r="B486" s="5"/>
      <c r="H486" s="16"/>
    </row>
    <row r="487" spans="2:8">
      <c r="B487" s="5"/>
      <c r="H487" s="16"/>
    </row>
    <row r="488" spans="2:8">
      <c r="B488" s="5"/>
      <c r="H488" s="16"/>
    </row>
    <row r="489" spans="2:8">
      <c r="B489" s="5"/>
      <c r="H489" s="16"/>
    </row>
    <row r="490" spans="2:8">
      <c r="B490" s="5"/>
      <c r="H490" s="16"/>
    </row>
    <row r="491" spans="2:8">
      <c r="B491" s="5"/>
      <c r="H491" s="16"/>
    </row>
    <row r="492" spans="2:8">
      <c r="B492" s="5"/>
      <c r="H492" s="16"/>
    </row>
    <row r="493" spans="2:8">
      <c r="B493" s="5"/>
      <c r="H493" s="16"/>
    </row>
    <row r="494" spans="2:8">
      <c r="B494" s="5"/>
      <c r="H494" s="16"/>
    </row>
    <row r="495" spans="2:8">
      <c r="B495" s="5"/>
      <c r="H495" s="16"/>
    </row>
    <row r="496" spans="2:8">
      <c r="B496" s="5"/>
      <c r="H496" s="16"/>
    </row>
    <row r="497" spans="2:8">
      <c r="B497" s="5"/>
      <c r="H497" s="16"/>
    </row>
    <row r="498" spans="2:8">
      <c r="B498" s="5"/>
      <c r="H498" s="16"/>
    </row>
    <row r="499" spans="2:8">
      <c r="B499" s="5"/>
      <c r="H499" s="16"/>
    </row>
    <row r="500" spans="2:8">
      <c r="B500" s="5"/>
      <c r="H500" s="16"/>
    </row>
    <row r="501" spans="2:8">
      <c r="B501" s="5"/>
      <c r="H501" s="16"/>
    </row>
    <row r="502" spans="2:8">
      <c r="B502" s="5"/>
      <c r="H502" s="16"/>
    </row>
    <row r="503" spans="2:8">
      <c r="B503" s="5"/>
      <c r="H503" s="16"/>
    </row>
    <row r="504" spans="2:8">
      <c r="B504" s="5"/>
      <c r="H504" s="16"/>
    </row>
    <row r="505" spans="2:8">
      <c r="B505" s="5"/>
      <c r="H505" s="16"/>
    </row>
    <row r="506" spans="2:8">
      <c r="B506" s="5"/>
      <c r="H506" s="16"/>
    </row>
    <row r="507" spans="2:8">
      <c r="B507" s="5"/>
      <c r="H507" s="16"/>
    </row>
    <row r="508" spans="2:8">
      <c r="B508" s="5"/>
      <c r="H508" s="16"/>
    </row>
    <row r="509" spans="2:8">
      <c r="B509" s="5"/>
      <c r="H509" s="16"/>
    </row>
    <row r="510" spans="2:8">
      <c r="B510" s="5"/>
      <c r="H510" s="16"/>
    </row>
    <row r="511" spans="2:8">
      <c r="B511" s="5"/>
      <c r="H511" s="16"/>
    </row>
    <row r="512" spans="2:8">
      <c r="B512" s="5"/>
      <c r="H512" s="16"/>
    </row>
    <row r="513" spans="2:8">
      <c r="B513" s="5"/>
      <c r="H513" s="16"/>
    </row>
    <row r="514" spans="2:8">
      <c r="B514" s="5"/>
      <c r="H514" s="16"/>
    </row>
    <row r="515" spans="2:8">
      <c r="B515" s="5"/>
      <c r="H515" s="16"/>
    </row>
    <row r="516" spans="2:8">
      <c r="B516" s="5"/>
      <c r="H516" s="16"/>
    </row>
    <row r="517" spans="2:8">
      <c r="B517" s="5"/>
      <c r="H517" s="16"/>
    </row>
    <row r="518" spans="2:8">
      <c r="B518" s="5"/>
      <c r="H518" s="16"/>
    </row>
    <row r="519" spans="2:8">
      <c r="B519" s="5"/>
      <c r="H519" s="16"/>
    </row>
    <row r="520" spans="2:8">
      <c r="B520" s="5"/>
      <c r="H520" s="16"/>
    </row>
    <row r="521" spans="2:8">
      <c r="B521" s="5"/>
      <c r="H521" s="16"/>
    </row>
    <row r="522" spans="2:8">
      <c r="B522" s="5"/>
      <c r="H522" s="16"/>
    </row>
    <row r="523" spans="2:8">
      <c r="B523" s="5"/>
      <c r="H523" s="16"/>
    </row>
    <row r="524" spans="2:8">
      <c r="B524" s="5"/>
      <c r="H524" s="16"/>
    </row>
    <row r="525" spans="2:8">
      <c r="B525" s="5"/>
      <c r="H525" s="16"/>
    </row>
    <row r="526" spans="2:8">
      <c r="B526" s="5"/>
      <c r="H526" s="16"/>
    </row>
    <row r="527" spans="2:8">
      <c r="B527" s="5"/>
      <c r="H527" s="16"/>
    </row>
    <row r="528" spans="2:8">
      <c r="B528" s="5"/>
      <c r="H528" s="16"/>
    </row>
    <row r="529" spans="2:8">
      <c r="B529" s="5"/>
      <c r="H529" s="16"/>
    </row>
    <row r="530" spans="2:8">
      <c r="B530" s="5"/>
      <c r="H530" s="16"/>
    </row>
    <row r="531" spans="2:8">
      <c r="B531" s="5"/>
      <c r="H531" s="16"/>
    </row>
    <row r="532" spans="2:8">
      <c r="B532" s="5"/>
      <c r="H532" s="16"/>
    </row>
    <row r="533" spans="2:8">
      <c r="B533" s="5"/>
      <c r="H533" s="16"/>
    </row>
    <row r="534" spans="2:8">
      <c r="B534" s="5"/>
      <c r="H534" s="16"/>
    </row>
    <row r="535" spans="2:8">
      <c r="B535" s="5"/>
      <c r="H535" s="16"/>
    </row>
    <row r="536" spans="2:8">
      <c r="B536" s="5"/>
      <c r="H536" s="16"/>
    </row>
    <row r="537" spans="2:8">
      <c r="B537" s="5"/>
      <c r="H537" s="16"/>
    </row>
    <row r="538" spans="2:8">
      <c r="B538" s="5"/>
      <c r="H538" s="16"/>
    </row>
    <row r="539" spans="2:8">
      <c r="B539" s="5"/>
      <c r="H539" s="16"/>
    </row>
    <row r="540" spans="2:8">
      <c r="B540" s="5"/>
      <c r="H540" s="16"/>
    </row>
    <row r="541" spans="2:8">
      <c r="B541" s="5"/>
      <c r="H541" s="16"/>
    </row>
    <row r="542" spans="2:8">
      <c r="B542" s="5"/>
      <c r="H542" s="16"/>
    </row>
    <row r="543" spans="2:8">
      <c r="B543" s="5"/>
      <c r="H543" s="16"/>
    </row>
    <row r="544" spans="2:8">
      <c r="B544" s="5"/>
      <c r="H544" s="16"/>
    </row>
    <row r="545" spans="2:8">
      <c r="B545" s="5"/>
      <c r="H545" s="16"/>
    </row>
    <row r="546" spans="2:8">
      <c r="B546" s="5"/>
      <c r="H546" s="16"/>
    </row>
    <row r="547" spans="2:8">
      <c r="B547" s="5"/>
      <c r="H547" s="16"/>
    </row>
    <row r="548" spans="2:8">
      <c r="B548" s="5"/>
      <c r="H548" s="16"/>
    </row>
    <row r="549" spans="2:8">
      <c r="B549" s="5"/>
      <c r="H549" s="16"/>
    </row>
    <row r="550" spans="2:8">
      <c r="B550" s="5"/>
      <c r="H550" s="16"/>
    </row>
    <row r="551" spans="2:8">
      <c r="B551" s="5"/>
      <c r="H551" s="16"/>
    </row>
    <row r="552" spans="2:8">
      <c r="B552" s="5"/>
      <c r="H552" s="16"/>
    </row>
    <row r="553" spans="2:8">
      <c r="B553" s="5"/>
      <c r="H553" s="16"/>
    </row>
    <row r="554" spans="2:8">
      <c r="B554" s="5"/>
      <c r="H554" s="16"/>
    </row>
    <row r="555" spans="2:8">
      <c r="B555" s="5"/>
      <c r="H555" s="16"/>
    </row>
    <row r="556" spans="2:8">
      <c r="B556" s="5"/>
      <c r="H556" s="16"/>
    </row>
    <row r="557" spans="2:8">
      <c r="B557" s="5"/>
      <c r="H557" s="16"/>
    </row>
    <row r="558" spans="2:8">
      <c r="B558" s="5"/>
      <c r="H558" s="16"/>
    </row>
    <row r="559" spans="2:8">
      <c r="B559" s="5"/>
      <c r="H559" s="16"/>
    </row>
    <row r="560" spans="2:8">
      <c r="B560" s="5"/>
      <c r="H560" s="16"/>
    </row>
    <row r="561" spans="2:8">
      <c r="B561" s="5"/>
      <c r="H561" s="16"/>
    </row>
    <row r="562" spans="2:8">
      <c r="B562" s="5"/>
      <c r="H562" s="16"/>
    </row>
    <row r="563" spans="2:8">
      <c r="B563" s="5"/>
      <c r="H563" s="16"/>
    </row>
    <row r="564" spans="2:8">
      <c r="B564" s="5"/>
      <c r="H564" s="16"/>
    </row>
    <row r="565" spans="2:8">
      <c r="B565" s="5"/>
      <c r="H565" s="16"/>
    </row>
    <row r="566" spans="2:8">
      <c r="B566" s="5"/>
      <c r="H566" s="16"/>
    </row>
    <row r="567" spans="2:8">
      <c r="B567" s="5"/>
      <c r="H567" s="16"/>
    </row>
    <row r="568" spans="2:8">
      <c r="B568" s="5"/>
      <c r="H568" s="16"/>
    </row>
    <row r="569" spans="2:8">
      <c r="B569" s="5"/>
      <c r="H569" s="16"/>
    </row>
    <row r="570" spans="2:8">
      <c r="B570" s="5"/>
      <c r="H570" s="16"/>
    </row>
    <row r="571" spans="2:8">
      <c r="B571" s="5"/>
      <c r="H571" s="16"/>
    </row>
    <row r="572" spans="2:8">
      <c r="B572" s="5"/>
      <c r="H572" s="16"/>
    </row>
    <row r="573" spans="2:8">
      <c r="B573" s="5"/>
      <c r="H573" s="16"/>
    </row>
    <row r="574" spans="2:8">
      <c r="B574" s="5"/>
      <c r="H574" s="16"/>
    </row>
    <row r="575" spans="2:8">
      <c r="B575" s="5"/>
      <c r="H575" s="16"/>
    </row>
    <row r="576" spans="2:8">
      <c r="B576" s="5"/>
      <c r="H576" s="16"/>
    </row>
    <row r="577" spans="2:8">
      <c r="B577" s="5"/>
      <c r="H577" s="16"/>
    </row>
    <row r="578" spans="2:8">
      <c r="B578" s="5"/>
      <c r="H578" s="16"/>
    </row>
    <row r="579" spans="2:8">
      <c r="B579" s="5"/>
      <c r="H579" s="16"/>
    </row>
    <row r="580" spans="2:8">
      <c r="B580" s="5"/>
      <c r="H580" s="16"/>
    </row>
    <row r="581" spans="2:8">
      <c r="B581" s="5"/>
      <c r="H581" s="16"/>
    </row>
    <row r="582" spans="2:8">
      <c r="B582" s="5"/>
      <c r="H582" s="16"/>
    </row>
    <row r="583" spans="2:8">
      <c r="B583" s="5"/>
      <c r="H583" s="16"/>
    </row>
    <row r="584" spans="2:8">
      <c r="B584" s="5"/>
      <c r="H584" s="16"/>
    </row>
    <row r="585" spans="2:8">
      <c r="B585" s="5"/>
      <c r="H585" s="16"/>
    </row>
    <row r="586" spans="2:8">
      <c r="B586" s="5"/>
      <c r="H586" s="16"/>
    </row>
    <row r="587" spans="2:8">
      <c r="B587" s="5"/>
      <c r="H587" s="16"/>
    </row>
    <row r="588" spans="2:8">
      <c r="B588" s="5"/>
      <c r="H588" s="16"/>
    </row>
    <row r="589" spans="2:8">
      <c r="B589" s="5"/>
      <c r="H589" s="16"/>
    </row>
    <row r="590" spans="2:8">
      <c r="B590" s="5"/>
      <c r="H590" s="16"/>
    </row>
    <row r="591" spans="2:8">
      <c r="B591" s="5"/>
      <c r="H591" s="16"/>
    </row>
    <row r="592" spans="2:8">
      <c r="B592" s="5"/>
      <c r="H592" s="16"/>
    </row>
    <row r="593" spans="2:8">
      <c r="B593" s="5"/>
      <c r="H593" s="16"/>
    </row>
    <row r="594" spans="2:8">
      <c r="B594" s="5"/>
      <c r="H594" s="16"/>
    </row>
    <row r="595" spans="2:8">
      <c r="B595" s="5"/>
      <c r="H595" s="16"/>
    </row>
    <row r="596" spans="2:8">
      <c r="B596" s="5"/>
      <c r="H596" s="16"/>
    </row>
    <row r="597" spans="2:8">
      <c r="B597" s="5"/>
      <c r="H597" s="16"/>
    </row>
    <row r="598" spans="2:8">
      <c r="B598" s="5"/>
      <c r="H598" s="16"/>
    </row>
    <row r="599" spans="2:8">
      <c r="B599" s="5"/>
      <c r="H599" s="16"/>
    </row>
    <row r="600" spans="2:8">
      <c r="B600" s="5"/>
      <c r="H600" s="16"/>
    </row>
    <row r="601" spans="2:8">
      <c r="B601" s="5"/>
      <c r="H601" s="16"/>
    </row>
    <row r="602" spans="2:8">
      <c r="B602" s="5"/>
      <c r="H602" s="16"/>
    </row>
    <row r="603" spans="2:8">
      <c r="B603" s="5"/>
      <c r="H603" s="16"/>
    </row>
    <row r="604" spans="2:8">
      <c r="B604" s="5"/>
      <c r="H604" s="16"/>
    </row>
    <row r="605" spans="2:8">
      <c r="B605" s="5"/>
      <c r="H605" s="16"/>
    </row>
    <row r="606" spans="2:8">
      <c r="B606" s="5"/>
      <c r="H606" s="16"/>
    </row>
    <row r="607" spans="2:8">
      <c r="B607" s="5"/>
      <c r="H607" s="16"/>
    </row>
    <row r="608" spans="2:8">
      <c r="B608" s="5"/>
      <c r="H608" s="16"/>
    </row>
    <row r="609" spans="2:8">
      <c r="B609" s="5"/>
      <c r="H609" s="16"/>
    </row>
    <row r="610" spans="2:8">
      <c r="B610" s="5"/>
      <c r="H610" s="16"/>
    </row>
    <row r="611" spans="2:8">
      <c r="B611" s="5"/>
      <c r="H611" s="16"/>
    </row>
    <row r="612" spans="2:8">
      <c r="B612" s="5"/>
      <c r="H612" s="16"/>
    </row>
    <row r="613" spans="2:8">
      <c r="B613" s="5"/>
      <c r="H613" s="16"/>
    </row>
    <row r="614" spans="2:8">
      <c r="B614" s="5"/>
      <c r="H614" s="16"/>
    </row>
    <row r="615" spans="2:8">
      <c r="B615" s="5"/>
      <c r="H615" s="16"/>
    </row>
    <row r="616" spans="2:8">
      <c r="B616" s="5"/>
      <c r="H616" s="16"/>
    </row>
    <row r="617" spans="2:8">
      <c r="B617" s="5"/>
      <c r="H617" s="16"/>
    </row>
    <row r="618" spans="2:8">
      <c r="B618" s="5"/>
      <c r="H618" s="16"/>
    </row>
    <row r="619" spans="2:8">
      <c r="B619" s="5"/>
      <c r="H619" s="16"/>
    </row>
    <row r="620" spans="2:8">
      <c r="B620" s="5"/>
      <c r="H620" s="16"/>
    </row>
    <row r="621" spans="2:8">
      <c r="B621" s="5"/>
      <c r="H621" s="16"/>
    </row>
    <row r="622" spans="2:8">
      <c r="B622" s="5"/>
      <c r="H622" s="16"/>
    </row>
    <row r="623" spans="2:8">
      <c r="B623" s="5"/>
      <c r="H623" s="16"/>
    </row>
    <row r="624" spans="2:8">
      <c r="B624" s="5"/>
      <c r="H624" s="16"/>
    </row>
    <row r="625" spans="2:8">
      <c r="B625" s="5"/>
      <c r="H625" s="16"/>
    </row>
    <row r="626" spans="2:8">
      <c r="B626" s="5"/>
      <c r="H626" s="16"/>
    </row>
    <row r="627" spans="2:8">
      <c r="B627" s="5"/>
      <c r="H627" s="16"/>
    </row>
    <row r="628" spans="2:8">
      <c r="B628" s="5"/>
      <c r="H628" s="16"/>
    </row>
    <row r="629" spans="2:8">
      <c r="B629" s="5"/>
      <c r="H629" s="16"/>
    </row>
    <row r="630" spans="2:8">
      <c r="B630" s="5"/>
      <c r="H630" s="16"/>
    </row>
    <row r="631" spans="2:8">
      <c r="B631" s="5"/>
      <c r="H631" s="16"/>
    </row>
    <row r="632" spans="2:8">
      <c r="B632" s="5"/>
      <c r="H632" s="16"/>
    </row>
    <row r="633" spans="2:8">
      <c r="B633" s="5"/>
      <c r="H633" s="16"/>
    </row>
    <row r="634" spans="2:8">
      <c r="B634" s="5"/>
      <c r="H634" s="16"/>
    </row>
    <row r="635" spans="2:8">
      <c r="B635" s="5"/>
      <c r="H635" s="16"/>
    </row>
    <row r="636" spans="2:8">
      <c r="B636" s="5"/>
      <c r="H636" s="16"/>
    </row>
    <row r="637" spans="2:8">
      <c r="B637" s="5"/>
      <c r="H637" s="16"/>
    </row>
    <row r="638" spans="2:8">
      <c r="B638" s="5"/>
      <c r="H638" s="16"/>
    </row>
    <row r="639" spans="2:8">
      <c r="B639" s="5"/>
      <c r="H639" s="16"/>
    </row>
    <row r="640" spans="2:8">
      <c r="B640" s="5"/>
      <c r="H640" s="16"/>
    </row>
    <row r="641" spans="2:8">
      <c r="B641" s="5"/>
      <c r="H641" s="16"/>
    </row>
    <row r="642" spans="2:8">
      <c r="B642" s="5"/>
      <c r="H642" s="16"/>
    </row>
    <row r="643" spans="2:8">
      <c r="B643" s="5"/>
      <c r="H643" s="16"/>
    </row>
    <row r="644" spans="2:8">
      <c r="B644" s="5"/>
      <c r="H644" s="16"/>
    </row>
    <row r="645" spans="2:8">
      <c r="B645" s="5"/>
      <c r="H645" s="16"/>
    </row>
    <row r="646" spans="2:8">
      <c r="B646" s="5"/>
      <c r="H646" s="16"/>
    </row>
    <row r="647" spans="2:8">
      <c r="B647" s="5"/>
      <c r="H647" s="16"/>
    </row>
    <row r="648" spans="2:8">
      <c r="B648" s="5"/>
      <c r="H648" s="16"/>
    </row>
    <row r="649" spans="2:8">
      <c r="B649" s="5"/>
      <c r="H649" s="16"/>
    </row>
    <row r="650" spans="2:8">
      <c r="B650" s="5"/>
      <c r="H650" s="16"/>
    </row>
    <row r="651" spans="2:8">
      <c r="B651" s="5"/>
      <c r="H651" s="16"/>
    </row>
    <row r="652" spans="2:8">
      <c r="B652" s="5"/>
      <c r="H652" s="16"/>
    </row>
    <row r="653" spans="2:8">
      <c r="B653" s="5"/>
      <c r="H653" s="16"/>
    </row>
    <row r="654" spans="2:8">
      <c r="B654" s="5"/>
      <c r="H654" s="16"/>
    </row>
    <row r="655" spans="2:8">
      <c r="B655" s="5"/>
      <c r="H655" s="16"/>
    </row>
    <row r="656" spans="2:8">
      <c r="B656" s="5"/>
      <c r="H656" s="16"/>
    </row>
    <row r="657" spans="2:8">
      <c r="B657" s="5"/>
      <c r="H657" s="16"/>
    </row>
    <row r="658" spans="2:8">
      <c r="B658" s="5"/>
      <c r="H658" s="16"/>
    </row>
    <row r="659" spans="2:8">
      <c r="B659" s="5"/>
      <c r="H659" s="16"/>
    </row>
    <row r="660" spans="2:8">
      <c r="B660" s="5"/>
      <c r="H660" s="16"/>
    </row>
    <row r="661" spans="2:8">
      <c r="B661" s="5"/>
      <c r="H661" s="16"/>
    </row>
    <row r="662" spans="2:8">
      <c r="B662" s="5"/>
      <c r="H662" s="16"/>
    </row>
    <row r="663" spans="2:8">
      <c r="B663" s="5"/>
      <c r="H663" s="16"/>
    </row>
    <row r="664" spans="2:8">
      <c r="B664" s="5"/>
      <c r="H664" s="16"/>
    </row>
    <row r="665" spans="2:8">
      <c r="B665" s="5"/>
      <c r="H665" s="16"/>
    </row>
    <row r="666" spans="2:8">
      <c r="B666" s="5"/>
      <c r="H666" s="16"/>
    </row>
    <row r="667" spans="2:8">
      <c r="B667" s="5"/>
      <c r="H667" s="16"/>
    </row>
    <row r="668" spans="2:8">
      <c r="B668" s="5"/>
      <c r="H668" s="16"/>
    </row>
    <row r="669" spans="2:8">
      <c r="B669" s="5"/>
      <c r="H669" s="16"/>
    </row>
    <row r="670" spans="2:8">
      <c r="B670" s="5"/>
      <c r="H670" s="16"/>
    </row>
    <row r="671" spans="2:8">
      <c r="B671" s="5"/>
      <c r="H671" s="16"/>
    </row>
    <row r="672" spans="2:8">
      <c r="B672" s="5"/>
      <c r="H672" s="16"/>
    </row>
    <row r="673" spans="2:8">
      <c r="B673" s="5"/>
      <c r="H673" s="16"/>
    </row>
    <row r="674" spans="2:8">
      <c r="B674" s="5"/>
      <c r="H674" s="16"/>
    </row>
    <row r="675" spans="2:8">
      <c r="B675" s="5"/>
      <c r="H675" s="16"/>
    </row>
    <row r="676" spans="2:8">
      <c r="B676" s="5"/>
      <c r="H676" s="16"/>
    </row>
    <row r="677" spans="2:8">
      <c r="B677" s="5"/>
      <c r="H677" s="16"/>
    </row>
    <row r="678" spans="2:8">
      <c r="B678" s="5"/>
      <c r="H678" s="16"/>
    </row>
    <row r="679" spans="2:8">
      <c r="B679" s="5"/>
      <c r="H679" s="16"/>
    </row>
    <row r="680" spans="2:8">
      <c r="B680" s="5"/>
      <c r="H680" s="16"/>
    </row>
    <row r="681" spans="2:8">
      <c r="B681" s="5"/>
      <c r="H681" s="16"/>
    </row>
    <row r="682" spans="2:8">
      <c r="B682" s="5"/>
      <c r="H682" s="16"/>
    </row>
    <row r="683" spans="2:8">
      <c r="B683" s="5"/>
      <c r="H683" s="16"/>
    </row>
    <row r="684" spans="2:8">
      <c r="B684" s="5"/>
      <c r="H684" s="16"/>
    </row>
    <row r="685" spans="2:8">
      <c r="B685" s="5"/>
      <c r="H685" s="16"/>
    </row>
    <row r="686" spans="2:8">
      <c r="B686" s="5"/>
      <c r="H686" s="16"/>
    </row>
    <row r="687" spans="2:8">
      <c r="B687" s="5"/>
      <c r="H687" s="16"/>
    </row>
    <row r="688" spans="2:8">
      <c r="B688" s="5"/>
      <c r="H688" s="16"/>
    </row>
    <row r="689" spans="2:8">
      <c r="B689" s="5"/>
      <c r="H689" s="16"/>
    </row>
    <row r="690" spans="2:8">
      <c r="B690" s="5"/>
      <c r="H690" s="16"/>
    </row>
    <row r="691" spans="2:8">
      <c r="B691" s="5"/>
      <c r="H691" s="16"/>
    </row>
    <row r="692" spans="2:8">
      <c r="B692" s="5"/>
      <c r="H692" s="16"/>
    </row>
    <row r="693" spans="2:8">
      <c r="B693" s="5"/>
      <c r="H693" s="16"/>
    </row>
    <row r="694" spans="2:8">
      <c r="B694" s="5"/>
      <c r="H694" s="16"/>
    </row>
    <row r="695" spans="2:8">
      <c r="B695" s="5"/>
      <c r="H695" s="16"/>
    </row>
    <row r="696" spans="2:8">
      <c r="B696" s="5"/>
      <c r="H696" s="16"/>
    </row>
    <row r="697" spans="2:8">
      <c r="B697" s="5"/>
      <c r="H697" s="16"/>
    </row>
    <row r="698" spans="2:8">
      <c r="B698" s="5"/>
      <c r="H698" s="16"/>
    </row>
    <row r="699" spans="2:8">
      <c r="B699" s="5"/>
      <c r="H699" s="16"/>
    </row>
    <row r="700" spans="2:8">
      <c r="B700" s="5"/>
      <c r="H700" s="16"/>
    </row>
    <row r="701" spans="2:8">
      <c r="B701" s="5"/>
      <c r="H701" s="16"/>
    </row>
    <row r="702" spans="2:8">
      <c r="B702" s="5"/>
      <c r="H702" s="16"/>
    </row>
    <row r="703" spans="2:8">
      <c r="B703" s="5"/>
      <c r="H703" s="16"/>
    </row>
    <row r="704" spans="2:8">
      <c r="B704" s="5"/>
      <c r="H704" s="16"/>
    </row>
    <row r="705" spans="2:8">
      <c r="B705" s="5"/>
      <c r="H705" s="16"/>
    </row>
    <row r="706" spans="2:8">
      <c r="B706" s="5"/>
      <c r="H706" s="16"/>
    </row>
    <row r="707" spans="2:8">
      <c r="B707" s="5"/>
      <c r="H707" s="16"/>
    </row>
    <row r="708" spans="2:8">
      <c r="B708" s="5"/>
      <c r="H708" s="16"/>
    </row>
    <row r="709" spans="2:8">
      <c r="B709" s="5"/>
      <c r="H709" s="16"/>
    </row>
    <row r="710" spans="2:8">
      <c r="B710" s="5"/>
      <c r="H710" s="16"/>
    </row>
    <row r="711" spans="2:8">
      <c r="B711" s="5"/>
      <c r="H711" s="16"/>
    </row>
    <row r="712" spans="2:8">
      <c r="B712" s="5"/>
      <c r="H712" s="16"/>
    </row>
    <row r="713" spans="2:8">
      <c r="B713" s="5"/>
      <c r="H713" s="16"/>
    </row>
    <row r="714" spans="2:8">
      <c r="B714" s="5"/>
      <c r="H714" s="16"/>
    </row>
    <row r="715" spans="2:8">
      <c r="B715" s="5"/>
      <c r="H715" s="16"/>
    </row>
    <row r="716" spans="2:8">
      <c r="B716" s="5"/>
      <c r="H716" s="16"/>
    </row>
    <row r="717" spans="2:8">
      <c r="B717" s="5"/>
      <c r="H717" s="16"/>
    </row>
    <row r="718" spans="2:8">
      <c r="B718" s="5"/>
      <c r="H718" s="16"/>
    </row>
    <row r="719" spans="2:8">
      <c r="B719" s="5"/>
      <c r="H719" s="16"/>
    </row>
    <row r="720" spans="2:8">
      <c r="B720" s="5"/>
      <c r="H720" s="16"/>
    </row>
    <row r="721" spans="2:8">
      <c r="B721" s="5"/>
      <c r="H721" s="16"/>
    </row>
    <row r="722" spans="2:8">
      <c r="B722" s="5"/>
      <c r="H722" s="16"/>
    </row>
    <row r="723" spans="2:8">
      <c r="B723" s="5"/>
      <c r="H723" s="16"/>
    </row>
    <row r="724" spans="2:8">
      <c r="B724" s="5"/>
      <c r="H724" s="16"/>
    </row>
    <row r="725" spans="2:8">
      <c r="B725" s="5"/>
      <c r="H725" s="16"/>
    </row>
    <row r="726" spans="2:8">
      <c r="B726" s="5"/>
      <c r="H726" s="16"/>
    </row>
    <row r="727" spans="2:8">
      <c r="B727" s="5"/>
      <c r="H727" s="16"/>
    </row>
    <row r="728" spans="2:8">
      <c r="B728" s="5"/>
      <c r="H728" s="16"/>
    </row>
    <row r="729" spans="2:8">
      <c r="B729" s="5"/>
      <c r="H729" s="16"/>
    </row>
    <row r="730" spans="2:8">
      <c r="B730" s="5"/>
      <c r="H730" s="16"/>
    </row>
    <row r="731" spans="2:8">
      <c r="B731" s="5"/>
      <c r="H731" s="16"/>
    </row>
    <row r="732" spans="2:8">
      <c r="B732" s="5"/>
      <c r="H732" s="16"/>
    </row>
    <row r="733" spans="2:8">
      <c r="B733" s="5"/>
      <c r="H733" s="16"/>
    </row>
    <row r="734" spans="2:8">
      <c r="B734" s="5"/>
      <c r="H734" s="16"/>
    </row>
    <row r="735" spans="2:8">
      <c r="B735" s="5"/>
      <c r="H735" s="16"/>
    </row>
    <row r="736" spans="2:8">
      <c r="B736" s="5"/>
      <c r="H736" s="16"/>
    </row>
    <row r="737" spans="2:8">
      <c r="B737" s="5"/>
      <c r="H737" s="16"/>
    </row>
    <row r="738" spans="2:8">
      <c r="B738" s="5"/>
      <c r="H738" s="16"/>
    </row>
    <row r="739" spans="2:8">
      <c r="B739" s="5"/>
      <c r="H739" s="16"/>
    </row>
    <row r="740" spans="2:8">
      <c r="B740" s="5"/>
      <c r="H740" s="16"/>
    </row>
    <row r="741" spans="2:8">
      <c r="B741" s="5"/>
      <c r="H741" s="16"/>
    </row>
    <row r="742" spans="2:8">
      <c r="B742" s="5"/>
      <c r="H742" s="16"/>
    </row>
    <row r="743" spans="2:8">
      <c r="B743" s="5"/>
      <c r="H743" s="16"/>
    </row>
    <row r="744" spans="2:8">
      <c r="B744" s="5"/>
      <c r="H744" s="16"/>
    </row>
    <row r="745" spans="2:8">
      <c r="B745" s="5"/>
      <c r="H745" s="16"/>
    </row>
    <row r="746" spans="2:8">
      <c r="B746" s="5"/>
      <c r="H746" s="16"/>
    </row>
    <row r="747" spans="2:8">
      <c r="B747" s="5"/>
      <c r="H747" s="16"/>
    </row>
    <row r="748" spans="2:8">
      <c r="B748" s="5"/>
      <c r="H748" s="16"/>
    </row>
    <row r="749" spans="2:8">
      <c r="B749" s="5"/>
      <c r="H749" s="16"/>
    </row>
    <row r="750" spans="2:8">
      <c r="B750" s="5"/>
      <c r="H750" s="16"/>
    </row>
    <row r="751" spans="2:8">
      <c r="B751" s="5"/>
      <c r="H751" s="16"/>
    </row>
    <row r="752" spans="2:8">
      <c r="B752" s="5"/>
      <c r="H752" s="16"/>
    </row>
    <row r="753" spans="2:8">
      <c r="B753" s="5"/>
      <c r="H753" s="16"/>
    </row>
    <row r="754" spans="2:8">
      <c r="B754" s="5"/>
      <c r="H754" s="16"/>
    </row>
    <row r="755" spans="2:8">
      <c r="B755" s="5"/>
      <c r="H755" s="16"/>
    </row>
    <row r="756" spans="2:8">
      <c r="B756" s="5"/>
      <c r="H756" s="16"/>
    </row>
    <row r="757" spans="2:8">
      <c r="B757" s="5"/>
      <c r="H757" s="16"/>
    </row>
    <row r="758" spans="2:8">
      <c r="B758" s="5"/>
      <c r="H758" s="16"/>
    </row>
    <row r="759" spans="2:8">
      <c r="B759" s="5"/>
      <c r="H759" s="16"/>
    </row>
    <row r="760" spans="2:8">
      <c r="B760" s="5"/>
      <c r="H760" s="16"/>
    </row>
    <row r="761" spans="2:8">
      <c r="B761" s="5"/>
      <c r="H761" s="16"/>
    </row>
    <row r="762" spans="2:8">
      <c r="B762" s="5"/>
      <c r="H762" s="16"/>
    </row>
    <row r="763" spans="2:8">
      <c r="B763" s="5"/>
      <c r="H763" s="16"/>
    </row>
    <row r="764" spans="2:8">
      <c r="B764" s="5"/>
      <c r="H764" s="16"/>
    </row>
    <row r="765" spans="2:8">
      <c r="B765" s="5"/>
      <c r="H765" s="16"/>
    </row>
    <row r="766" spans="2:8">
      <c r="B766" s="5"/>
      <c r="H766" s="16"/>
    </row>
    <row r="767" spans="2:8">
      <c r="B767" s="5"/>
      <c r="H767" s="16"/>
    </row>
    <row r="768" spans="2:8">
      <c r="B768" s="5"/>
      <c r="H768" s="16"/>
    </row>
    <row r="769" spans="2:8">
      <c r="B769" s="5"/>
      <c r="H769" s="16"/>
    </row>
    <row r="770" spans="2:8">
      <c r="B770" s="5"/>
      <c r="H770" s="16"/>
    </row>
    <row r="771" spans="2:8">
      <c r="B771" s="5"/>
      <c r="H771" s="16"/>
    </row>
    <row r="772" spans="2:8">
      <c r="B772" s="5"/>
      <c r="H772" s="16"/>
    </row>
    <row r="773" spans="2:8">
      <c r="B773" s="5"/>
      <c r="H773" s="16"/>
    </row>
    <row r="774" spans="2:8">
      <c r="B774" s="5"/>
      <c r="H774" s="16"/>
    </row>
    <row r="775" spans="2:8">
      <c r="B775" s="5"/>
      <c r="H775" s="16"/>
    </row>
    <row r="776" spans="2:8">
      <c r="B776" s="5"/>
      <c r="H776" s="16"/>
    </row>
    <row r="777" spans="2:8">
      <c r="B777" s="5"/>
      <c r="H777" s="16"/>
    </row>
    <row r="778" spans="2:8">
      <c r="B778" s="5"/>
      <c r="H778" s="16"/>
    </row>
    <row r="779" spans="2:8">
      <c r="B779" s="5"/>
      <c r="H779" s="16"/>
    </row>
    <row r="780" spans="2:8">
      <c r="B780" s="5"/>
      <c r="H780" s="16"/>
    </row>
    <row r="781" spans="2:8">
      <c r="B781" s="5"/>
      <c r="H781" s="16"/>
    </row>
    <row r="782" spans="2:8">
      <c r="B782" s="5"/>
      <c r="H782" s="16"/>
    </row>
    <row r="783" spans="2:8">
      <c r="B783" s="5"/>
      <c r="H783" s="16"/>
    </row>
    <row r="784" spans="2:8">
      <c r="B784" s="5"/>
      <c r="H784" s="16"/>
    </row>
    <row r="785" spans="2:8">
      <c r="B785" s="5"/>
      <c r="H785" s="16"/>
    </row>
    <row r="786" spans="2:8">
      <c r="B786" s="5"/>
      <c r="H786" s="16"/>
    </row>
    <row r="787" spans="2:8">
      <c r="B787" s="5"/>
      <c r="H787" s="16"/>
    </row>
    <row r="788" spans="2:8">
      <c r="B788" s="5"/>
      <c r="H788" s="16"/>
    </row>
    <row r="789" spans="2:8">
      <c r="B789" s="5"/>
      <c r="H789" s="16"/>
    </row>
    <row r="790" spans="2:8">
      <c r="B790" s="5"/>
      <c r="H790" s="16"/>
    </row>
    <row r="791" spans="2:8">
      <c r="B791" s="5"/>
      <c r="H791" s="16"/>
    </row>
    <row r="792" spans="2:8">
      <c r="B792" s="5"/>
      <c r="H792" s="16"/>
    </row>
    <row r="793" spans="2:8">
      <c r="B793" s="5"/>
      <c r="H793" s="16"/>
    </row>
    <row r="794" spans="2:8">
      <c r="B794" s="5"/>
      <c r="H794" s="16"/>
    </row>
    <row r="795" spans="2:8">
      <c r="B795" s="5"/>
      <c r="H795" s="16"/>
    </row>
    <row r="796" spans="2:8">
      <c r="B796" s="5"/>
      <c r="H796" s="16"/>
    </row>
    <row r="797" spans="2:8">
      <c r="B797" s="5"/>
      <c r="H797" s="16"/>
    </row>
    <row r="798" spans="2:8">
      <c r="B798" s="5"/>
      <c r="H798" s="16"/>
    </row>
    <row r="799" spans="2:8">
      <c r="B799" s="5"/>
      <c r="H799" s="16"/>
    </row>
    <row r="800" spans="2:8">
      <c r="B800" s="5"/>
      <c r="H800" s="16"/>
    </row>
    <row r="801" spans="2:8">
      <c r="B801" s="5"/>
      <c r="H801" s="16"/>
    </row>
    <row r="802" spans="2:8">
      <c r="B802" s="5"/>
      <c r="H802" s="16"/>
    </row>
    <row r="803" spans="2:8">
      <c r="B803" s="5"/>
      <c r="H803" s="16"/>
    </row>
    <row r="804" spans="2:8">
      <c r="B804" s="5"/>
      <c r="H804" s="16"/>
    </row>
    <row r="805" spans="2:8">
      <c r="B805" s="5"/>
      <c r="H805" s="16"/>
    </row>
    <row r="806" spans="2:8">
      <c r="B806" s="5"/>
      <c r="H806" s="16"/>
    </row>
    <row r="807" spans="2:8">
      <c r="B807" s="5"/>
      <c r="H807" s="16"/>
    </row>
    <row r="808" spans="2:8">
      <c r="B808" s="5"/>
      <c r="H808" s="16"/>
    </row>
    <row r="809" spans="2:8">
      <c r="B809" s="5"/>
      <c r="H809" s="16"/>
    </row>
    <row r="810" spans="2:8">
      <c r="B810" s="5"/>
      <c r="H810" s="16"/>
    </row>
    <row r="811" spans="2:8">
      <c r="B811" s="5"/>
      <c r="H811" s="16"/>
    </row>
    <row r="812" spans="2:8">
      <c r="B812" s="5"/>
      <c r="H812" s="16"/>
    </row>
    <row r="813" spans="2:8">
      <c r="B813" s="5"/>
      <c r="H813" s="16"/>
    </row>
    <row r="814" spans="2:8">
      <c r="B814" s="5"/>
      <c r="H814" s="16"/>
    </row>
    <row r="815" spans="2:8">
      <c r="B815" s="5"/>
      <c r="H815" s="16"/>
    </row>
    <row r="816" spans="2:8">
      <c r="B816" s="5"/>
      <c r="H816" s="16"/>
    </row>
    <row r="817" spans="2:8">
      <c r="B817" s="5"/>
      <c r="H817" s="16"/>
    </row>
    <row r="818" spans="2:8">
      <c r="B818" s="5"/>
      <c r="H818" s="16"/>
    </row>
    <row r="819" spans="2:8">
      <c r="B819" s="5"/>
      <c r="H819" s="16"/>
    </row>
    <row r="820" spans="2:8">
      <c r="B820" s="5"/>
      <c r="H820" s="16"/>
    </row>
    <row r="821" spans="2:8">
      <c r="B821" s="5"/>
      <c r="H821" s="16"/>
    </row>
    <row r="822" spans="2:8">
      <c r="B822" s="5"/>
      <c r="H822" s="16"/>
    </row>
    <row r="823" spans="2:8">
      <c r="B823" s="5"/>
      <c r="H823" s="16"/>
    </row>
    <row r="824" spans="2:8">
      <c r="B824" s="5"/>
      <c r="H824" s="16"/>
    </row>
    <row r="825" spans="2:8">
      <c r="B825" s="5"/>
      <c r="H825" s="16"/>
    </row>
    <row r="826" spans="2:8">
      <c r="B826" s="5"/>
      <c r="H826" s="16"/>
    </row>
    <row r="827" spans="2:8">
      <c r="B827" s="5"/>
      <c r="H827" s="16"/>
    </row>
    <row r="828" spans="2:8">
      <c r="B828" s="5"/>
      <c r="H828" s="16"/>
    </row>
    <row r="829" spans="2:8">
      <c r="B829" s="5"/>
      <c r="H829" s="16"/>
    </row>
    <row r="830" spans="2:8">
      <c r="B830" s="5"/>
      <c r="H830" s="16"/>
    </row>
    <row r="831" spans="2:8">
      <c r="B831" s="5"/>
      <c r="H831" s="16"/>
    </row>
    <row r="832" spans="2:8">
      <c r="B832" s="5"/>
      <c r="H832" s="16"/>
    </row>
    <row r="833" spans="2:8">
      <c r="B833" s="5"/>
      <c r="H833" s="16"/>
    </row>
    <row r="834" spans="2:8">
      <c r="B834" s="5"/>
      <c r="H834" s="16"/>
    </row>
    <row r="835" spans="2:8">
      <c r="B835" s="5"/>
      <c r="H835" s="16"/>
    </row>
    <row r="836" spans="2:8">
      <c r="B836" s="5"/>
      <c r="H836" s="16"/>
    </row>
    <row r="837" spans="2:8">
      <c r="B837" s="5"/>
      <c r="H837" s="16"/>
    </row>
    <row r="838" spans="2:8">
      <c r="B838" s="5"/>
      <c r="H838" s="16"/>
    </row>
    <row r="839" spans="2:8">
      <c r="B839" s="5"/>
      <c r="H839" s="16"/>
    </row>
    <row r="840" spans="2:8">
      <c r="B840" s="5"/>
      <c r="H840" s="16"/>
    </row>
    <row r="841" spans="2:8">
      <c r="B841" s="5"/>
      <c r="H841" s="16"/>
    </row>
    <row r="842" spans="2:8">
      <c r="B842" s="5"/>
      <c r="H842" s="16"/>
    </row>
    <row r="843" spans="2:8">
      <c r="B843" s="5"/>
      <c r="H843" s="16"/>
    </row>
    <row r="844" spans="2:8">
      <c r="B844" s="5"/>
      <c r="H844" s="16"/>
    </row>
    <row r="845" spans="2:8">
      <c r="B845" s="5"/>
      <c r="H845" s="16"/>
    </row>
    <row r="846" spans="2:8">
      <c r="B846" s="5"/>
      <c r="H846" s="16"/>
    </row>
    <row r="847" spans="2:8">
      <c r="B847" s="5"/>
      <c r="H847" s="16"/>
    </row>
    <row r="848" spans="2:8">
      <c r="B848" s="5"/>
      <c r="H848" s="16"/>
    </row>
    <row r="849" spans="2:8">
      <c r="B849" s="5"/>
      <c r="H849" s="16"/>
    </row>
    <row r="850" spans="2:8">
      <c r="B850" s="5"/>
      <c r="H850" s="16"/>
    </row>
    <row r="851" spans="2:8">
      <c r="B851" s="5"/>
      <c r="H851" s="16"/>
    </row>
    <row r="852" spans="2:8">
      <c r="B852" s="5"/>
      <c r="H852" s="16"/>
    </row>
    <row r="853" spans="2:8">
      <c r="B853" s="5"/>
      <c r="H853" s="16"/>
    </row>
    <row r="854" spans="2:8">
      <c r="B854" s="5"/>
      <c r="H854" s="16"/>
    </row>
    <row r="855" spans="2:8">
      <c r="B855" s="5"/>
      <c r="H855" s="16"/>
    </row>
    <row r="856" spans="2:8">
      <c r="B856" s="5"/>
      <c r="H856" s="16"/>
    </row>
    <row r="857" spans="2:8">
      <c r="B857" s="5"/>
      <c r="H857" s="16"/>
    </row>
    <row r="858" spans="2:8">
      <c r="B858" s="5"/>
      <c r="H858" s="16"/>
    </row>
    <row r="859" spans="2:8">
      <c r="B859" s="5"/>
      <c r="H859" s="16"/>
    </row>
    <row r="860" spans="2:8">
      <c r="B860" s="5"/>
      <c r="H860" s="16"/>
    </row>
    <row r="861" spans="2:8">
      <c r="B861" s="5"/>
      <c r="H861" s="16"/>
    </row>
    <row r="862" spans="2:8">
      <c r="B862" s="5"/>
      <c r="H862" s="16"/>
    </row>
    <row r="863" spans="2:8">
      <c r="B863" s="5"/>
      <c r="H863" s="16"/>
    </row>
    <row r="864" spans="2:8">
      <c r="B864" s="5"/>
      <c r="H864" s="16"/>
    </row>
    <row r="865" spans="2:8">
      <c r="B865" s="5"/>
      <c r="H865" s="16"/>
    </row>
    <row r="866" spans="2:8">
      <c r="B866" s="5"/>
      <c r="H866" s="16"/>
    </row>
    <row r="867" spans="2:8">
      <c r="B867" s="5"/>
      <c r="H867" s="16"/>
    </row>
    <row r="868" spans="2:8">
      <c r="B868" s="5"/>
      <c r="H868" s="16"/>
    </row>
    <row r="869" spans="2:8">
      <c r="B869" s="5"/>
      <c r="H869" s="16"/>
    </row>
    <row r="870" spans="2:8">
      <c r="B870" s="5"/>
      <c r="H870" s="16"/>
    </row>
    <row r="871" spans="2:8">
      <c r="B871" s="5"/>
      <c r="H871" s="16"/>
    </row>
    <row r="872" spans="2:8">
      <c r="B872" s="5"/>
      <c r="H872" s="16"/>
    </row>
    <row r="873" spans="2:8">
      <c r="B873" s="5"/>
      <c r="H873" s="16"/>
    </row>
    <row r="874" spans="2:8">
      <c r="B874" s="5"/>
      <c r="H874" s="16"/>
    </row>
    <row r="875" spans="2:8">
      <c r="B875" s="5"/>
      <c r="H875" s="16"/>
    </row>
    <row r="876" spans="2:8">
      <c r="B876" s="5"/>
      <c r="H876" s="16"/>
    </row>
    <row r="877" spans="2:8">
      <c r="B877" s="5"/>
      <c r="H877" s="16"/>
    </row>
    <row r="878" spans="2:8">
      <c r="B878" s="5"/>
      <c r="H878" s="16"/>
    </row>
    <row r="879" spans="2:8">
      <c r="B879" s="5"/>
      <c r="H879" s="16"/>
    </row>
    <row r="880" spans="2:8">
      <c r="B880" s="5"/>
      <c r="H880" s="16"/>
    </row>
    <row r="881" spans="2:8">
      <c r="B881" s="5"/>
      <c r="H881" s="16"/>
    </row>
    <row r="882" spans="2:8">
      <c r="B882" s="5"/>
      <c r="H882" s="16"/>
    </row>
    <row r="883" spans="2:8">
      <c r="B883" s="5"/>
      <c r="H883" s="16"/>
    </row>
    <row r="884" spans="2:8">
      <c r="B884" s="5"/>
      <c r="H884" s="16"/>
    </row>
    <row r="885" spans="2:8">
      <c r="B885" s="5"/>
      <c r="H885" s="16"/>
    </row>
    <row r="886" spans="2:8">
      <c r="B886" s="5"/>
      <c r="H886" s="16"/>
    </row>
    <row r="887" spans="2:8">
      <c r="B887" s="5"/>
      <c r="H887" s="16"/>
    </row>
    <row r="888" spans="2:8">
      <c r="B888" s="5"/>
      <c r="H888" s="16"/>
    </row>
    <row r="889" spans="2:8">
      <c r="B889" s="5"/>
      <c r="H889" s="16"/>
    </row>
    <row r="890" spans="2:8">
      <c r="B890" s="5"/>
      <c r="H890" s="16"/>
    </row>
    <row r="891" spans="2:8">
      <c r="B891" s="5"/>
      <c r="H891" s="16"/>
    </row>
  </sheetData>
  <mergeCells count="25">
    <mergeCell ref="C49:F49"/>
    <mergeCell ref="C44:F44"/>
    <mergeCell ref="C45:F45"/>
    <mergeCell ref="C46:F46"/>
    <mergeCell ref="C47:F47"/>
    <mergeCell ref="C48:F48"/>
    <mergeCell ref="A4:H4"/>
    <mergeCell ref="A38:F38"/>
    <mergeCell ref="C41:F41"/>
    <mergeCell ref="C42:F42"/>
    <mergeCell ref="C43:F43"/>
    <mergeCell ref="A10:F10"/>
    <mergeCell ref="A17:F17"/>
    <mergeCell ref="A23:F23"/>
    <mergeCell ref="A29:F29"/>
    <mergeCell ref="A35:F35"/>
    <mergeCell ref="G41:H41"/>
    <mergeCell ref="G42:H42"/>
    <mergeCell ref="G43:H43"/>
    <mergeCell ref="G49:H49"/>
    <mergeCell ref="G44:H44"/>
    <mergeCell ref="G45:H45"/>
    <mergeCell ref="G46:H46"/>
    <mergeCell ref="G47:H47"/>
    <mergeCell ref="G48:H48"/>
  </mergeCells>
  <phoneticPr fontId="24" type="noConversion"/>
  <dataValidations count="1">
    <dataValidation type="list" allowBlank="1" showInputMessage="1" showErrorMessage="1" sqref="B42:B48" xr:uid="{00000000-0002-0000-0E00-000000000000}">
      <formula1>$L$41:$L$45</formula1>
    </dataValidation>
  </dataValidations>
  <printOptions horizontalCentered="1"/>
  <pageMargins left="0.45" right="0.45" top="0.5" bottom="0.5" header="0.3" footer="0.3"/>
  <pageSetup scale="58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892"/>
  <sheetViews>
    <sheetView view="pageBreakPreview" zoomScale="60" zoomScaleNormal="75" workbookViewId="0">
      <selection activeCell="A10" sqref="A10:F10"/>
    </sheetView>
  </sheetViews>
  <sheetFormatPr defaultColWidth="10.875" defaultRowHeight="18.95"/>
  <cols>
    <col min="1" max="1" width="35.625" customWidth="1"/>
    <col min="2" max="2" width="14.625" style="16" customWidth="1"/>
    <col min="3" max="7" width="15.875" style="5" customWidth="1"/>
    <col min="8" max="8" width="15.875" style="17" customWidth="1"/>
    <col min="9" max="9" width="10.875" style="5"/>
    <col min="10" max="12" width="0" style="5" hidden="1" customWidth="1"/>
    <col min="13" max="16384" width="10.875" style="5"/>
  </cols>
  <sheetData>
    <row r="1" spans="1:10" customFormat="1" ht="15.95">
      <c r="A1" s="41"/>
      <c r="B1" s="42"/>
      <c r="C1" s="43"/>
      <c r="D1" s="43"/>
      <c r="E1" s="45" t="s">
        <v>25</v>
      </c>
      <c r="F1" s="43"/>
      <c r="G1" s="45" t="s">
        <v>26</v>
      </c>
      <c r="H1" s="44"/>
    </row>
    <row r="2" spans="1:10">
      <c r="A2" s="30"/>
      <c r="B2" s="18" t="s">
        <v>27</v>
      </c>
      <c r="C2" s="18" t="s">
        <v>28</v>
      </c>
      <c r="D2" s="18" t="s">
        <v>65</v>
      </c>
      <c r="E2" s="18" t="s">
        <v>30</v>
      </c>
      <c r="F2" s="18" t="s">
        <v>66</v>
      </c>
      <c r="G2" s="18" t="s">
        <v>32</v>
      </c>
      <c r="H2" s="18" t="s">
        <v>33</v>
      </c>
    </row>
    <row r="3" spans="1:10" ht="21" customHeight="1">
      <c r="A3" s="31" t="s">
        <v>7</v>
      </c>
      <c r="B3" s="6"/>
      <c r="C3" s="6"/>
      <c r="D3" s="6"/>
      <c r="E3" s="6"/>
      <c r="F3" s="6"/>
      <c r="G3" s="6"/>
      <c r="H3" s="6"/>
    </row>
    <row r="4" spans="1:10" s="7" customFormat="1">
      <c r="A4" s="181" t="s">
        <v>92</v>
      </c>
      <c r="B4" s="181"/>
      <c r="C4" s="181"/>
      <c r="D4" s="181"/>
      <c r="E4" s="181"/>
      <c r="F4" s="181"/>
      <c r="G4" s="181"/>
      <c r="H4" s="181"/>
    </row>
    <row r="5" spans="1:10" s="7" customFormat="1" ht="26.1" customHeight="1">
      <c r="A5" s="32" t="s">
        <v>8</v>
      </c>
      <c r="B5" s="27"/>
      <c r="C5" s="27"/>
      <c r="D5" s="27"/>
      <c r="E5" s="27"/>
      <c r="F5" s="27"/>
      <c r="G5" s="27"/>
      <c r="H5" s="27"/>
    </row>
    <row r="6" spans="1:10" s="7" customFormat="1" ht="26.1" customHeight="1">
      <c r="A6" s="4" t="s">
        <v>23</v>
      </c>
      <c r="B6" s="62"/>
      <c r="C6" s="62"/>
      <c r="D6" s="62"/>
      <c r="E6" s="62"/>
      <c r="F6" s="62"/>
      <c r="G6" s="62"/>
      <c r="H6" s="62"/>
    </row>
    <row r="7" spans="1:10" s="7" customFormat="1" ht="21.95" customHeight="1">
      <c r="A7" s="32" t="s">
        <v>35</v>
      </c>
      <c r="B7" s="27"/>
      <c r="C7" s="28"/>
      <c r="D7" s="28"/>
      <c r="E7" s="28"/>
      <c r="F7" s="28"/>
      <c r="G7" s="28"/>
      <c r="H7" s="27"/>
    </row>
    <row r="8" spans="1:10" s="7" customFormat="1" ht="24.95" customHeight="1" thickBot="1">
      <c r="A8" s="83" t="s">
        <v>36</v>
      </c>
      <c r="B8" s="84">
        <f t="shared" ref="B8:H8" si="0">B5+B6+B7</f>
        <v>0</v>
      </c>
      <c r="C8" s="84">
        <f t="shared" si="0"/>
        <v>0</v>
      </c>
      <c r="D8" s="84">
        <f t="shared" si="0"/>
        <v>0</v>
      </c>
      <c r="E8" s="84">
        <f t="shared" si="0"/>
        <v>0</v>
      </c>
      <c r="F8" s="84">
        <f t="shared" si="0"/>
        <v>0</v>
      </c>
      <c r="G8" s="84">
        <f t="shared" si="0"/>
        <v>0</v>
      </c>
      <c r="H8" s="84">
        <f t="shared" si="0"/>
        <v>0</v>
      </c>
    </row>
    <row r="9" spans="1:10" s="7" customFormat="1" ht="24.95" customHeight="1" thickBot="1">
      <c r="A9" s="33"/>
      <c r="B9" s="29"/>
      <c r="C9" s="29"/>
      <c r="D9" s="29"/>
      <c r="E9" s="29"/>
      <c r="F9" s="29"/>
      <c r="G9" s="63" t="s">
        <v>37</v>
      </c>
      <c r="H9" s="64">
        <f>SUM(B8:H8)</f>
        <v>0</v>
      </c>
    </row>
    <row r="10" spans="1:10" s="7" customFormat="1" ht="21" thickTop="1" thickBot="1">
      <c r="A10" s="182" t="s">
        <v>93</v>
      </c>
      <c r="B10" s="183"/>
      <c r="C10" s="183"/>
      <c r="D10" s="183"/>
      <c r="E10" s="183"/>
      <c r="F10" s="183"/>
      <c r="G10" s="65" t="s">
        <v>39</v>
      </c>
      <c r="H10" s="66">
        <v>-0.12</v>
      </c>
      <c r="I10" s="5"/>
      <c r="J10" s="26"/>
    </row>
    <row r="11" spans="1:10" s="7" customFormat="1" ht="30" customHeight="1">
      <c r="A11" s="39" t="s">
        <v>8</v>
      </c>
      <c r="B11" s="8">
        <f>('Week 10'!B11+'Week 11'!B11+'Week 12'!B11+'Week 13'!B11)/4</f>
        <v>0</v>
      </c>
      <c r="C11" s="9">
        <f>('Week 10'!C11+'Week 11'!C11+'Week 12'!C11+'Week 13'!C11)/4</f>
        <v>0</v>
      </c>
      <c r="D11" s="67">
        <f>('Week 10'!D11+'Week 11'!D11+'Week 12'!D11+'Week 13'!D11)/4</f>
        <v>0</v>
      </c>
      <c r="E11" s="67">
        <f>('Week 10'!E11+'Week 11'!E11+'Week 12'!E11+'Week 13'!E11)/4</f>
        <v>0</v>
      </c>
      <c r="F11" s="9">
        <f>('Week 10'!F11+'Week 11'!F11+'Week 12'!F11+'Week 13'!F11)/4</f>
        <v>0</v>
      </c>
      <c r="G11" s="68">
        <f>('Week 10'!G11+'Week 11'!G11+'Week 12'!G11+'Week 13'!G11)/4</f>
        <v>0</v>
      </c>
      <c r="H11" s="69">
        <f>('Week 10'!H11+'Week 11'!H11+'Week 12'!H11+'Week 13'!H11)/4</f>
        <v>0</v>
      </c>
    </row>
    <row r="12" spans="1:10" s="7" customFormat="1" ht="30" customHeight="1">
      <c r="A12" s="70" t="s">
        <v>23</v>
      </c>
      <c r="B12" s="59">
        <f>('Week 10'!B12+'Week 11'!B12+'Week 12'!B12+'Week 13'!B12)/4</f>
        <v>0</v>
      </c>
      <c r="C12" s="58">
        <f>('Week 10'!C12+'Week 11'!C12+'Week 12'!C12+'Week 13'!C12)/4</f>
        <v>0</v>
      </c>
      <c r="D12" s="58">
        <f>('Week 10'!D12+'Week 11'!D12+'Week 12'!D12+'Week 13'!D12)/4</f>
        <v>0</v>
      </c>
      <c r="E12" s="58">
        <f>('Week 10'!E12+'Week 11'!E12+'Week 12'!E12+'Week 13'!E12)/4</f>
        <v>0</v>
      </c>
      <c r="F12" s="58">
        <f>('Week 10'!F12+'Week 11'!F12+'Week 12'!F12+'Week 13'!F12)/4</f>
        <v>0</v>
      </c>
      <c r="G12" s="58">
        <f>('Week 10'!G12+'Week 11'!G12+'Week 12'!G12+'Week 13'!G12)/4</f>
        <v>0</v>
      </c>
      <c r="H12" s="59">
        <f>('Week 10'!H12+'Week 11'!H12+'Week 12'!H12+'Week 13'!H12)/4</f>
        <v>0</v>
      </c>
    </row>
    <row r="13" spans="1:10" s="7" customFormat="1" ht="30" customHeight="1">
      <c r="A13" s="3" t="s">
        <v>35</v>
      </c>
      <c r="B13" s="8">
        <f>('Week 10'!B13+'Week 11'!B13+'Week 12'!B13+'Week 13'!B13)/4</f>
        <v>0</v>
      </c>
      <c r="C13" s="9">
        <f>('Week 10'!C13+'Week 11'!C13+'Week 12'!C13+'Week 13'!C13)/4</f>
        <v>0</v>
      </c>
      <c r="D13" s="9">
        <f>('Week 10'!D13+'Week 11'!D13+'Week 12'!D13+'Week 13'!D13)/4</f>
        <v>0</v>
      </c>
      <c r="E13" s="9">
        <f>('Week 10'!E13+'Week 11'!E13+'Week 12'!E13+'Week 13'!E13)/4</f>
        <v>0</v>
      </c>
      <c r="F13" s="9">
        <f>('Week 10'!F13+'Week 11'!F13+'Week 12'!F13+'Week 13'!F13)/4</f>
        <v>0</v>
      </c>
      <c r="G13" s="9">
        <f>('Week 10'!G13+'Week 11'!G13+'Week 12'!G13+'Week 13'!G13)/4</f>
        <v>0</v>
      </c>
      <c r="H13" s="8">
        <f>('Week 10'!H13+'Week 11'!H13+'Week 12'!H13+'Week 13'!H13)/4</f>
        <v>0</v>
      </c>
    </row>
    <row r="14" spans="1:10" s="7" customFormat="1" ht="27" customHeight="1" thickBot="1">
      <c r="A14" s="85" t="s">
        <v>36</v>
      </c>
      <c r="B14" s="87">
        <f t="shared" ref="B14:H14" si="1">B11+B12+B13</f>
        <v>0</v>
      </c>
      <c r="C14" s="87">
        <f t="shared" si="1"/>
        <v>0</v>
      </c>
      <c r="D14" s="87">
        <f t="shared" si="1"/>
        <v>0</v>
      </c>
      <c r="E14" s="87">
        <f t="shared" si="1"/>
        <v>0</v>
      </c>
      <c r="F14" s="87">
        <f t="shared" si="1"/>
        <v>0</v>
      </c>
      <c r="G14" s="87">
        <f t="shared" si="1"/>
        <v>0</v>
      </c>
      <c r="H14" s="87">
        <f t="shared" si="1"/>
        <v>0</v>
      </c>
    </row>
    <row r="15" spans="1:10" s="7" customFormat="1" ht="24.95" customHeight="1" thickBot="1">
      <c r="A15" s="86" t="s">
        <v>40</v>
      </c>
      <c r="B15" s="92" t="e">
        <f t="shared" ref="B15:H15" si="2">(B14-B8)/B8</f>
        <v>#DIV/0!</v>
      </c>
      <c r="C15" s="93" t="e">
        <f t="shared" si="2"/>
        <v>#DIV/0!</v>
      </c>
      <c r="D15" s="93" t="e">
        <f t="shared" si="2"/>
        <v>#DIV/0!</v>
      </c>
      <c r="E15" s="93" t="e">
        <f t="shared" si="2"/>
        <v>#DIV/0!</v>
      </c>
      <c r="F15" s="93" t="e">
        <f t="shared" si="2"/>
        <v>#DIV/0!</v>
      </c>
      <c r="G15" s="93" t="e">
        <f t="shared" si="2"/>
        <v>#DIV/0!</v>
      </c>
      <c r="H15" s="94" t="e">
        <f t="shared" si="2"/>
        <v>#DIV/0!</v>
      </c>
      <c r="I15" s="71"/>
    </row>
    <row r="16" spans="1:10" ht="30" customHeight="1" thickBot="1">
      <c r="B16" s="88"/>
      <c r="C16" s="88"/>
      <c r="D16" s="88"/>
      <c r="E16" s="88"/>
      <c r="F16" s="89"/>
      <c r="G16" s="90" t="s">
        <v>37</v>
      </c>
      <c r="H16" s="91">
        <f>SUM(B14:H14)</f>
        <v>0</v>
      </c>
    </row>
    <row r="17" spans="1:8" s="7" customFormat="1" ht="21.95" thickTop="1" thickBot="1">
      <c r="A17" s="184" t="s">
        <v>41</v>
      </c>
      <c r="B17" s="185"/>
      <c r="C17" s="185"/>
      <c r="D17" s="185"/>
      <c r="E17" s="185"/>
      <c r="F17" s="185"/>
      <c r="G17" s="72" t="s">
        <v>42</v>
      </c>
      <c r="H17" s="66" t="e">
        <f>(H16-H9)/H9</f>
        <v>#DIV/0!</v>
      </c>
    </row>
    <row r="18" spans="1:8" s="7" customFormat="1" ht="30" customHeight="1">
      <c r="A18" s="35" t="s">
        <v>43</v>
      </c>
      <c r="B18" s="11"/>
      <c r="C18" s="12"/>
      <c r="D18" s="73"/>
      <c r="E18" s="73"/>
      <c r="F18" s="12"/>
      <c r="G18" s="24"/>
      <c r="H18" s="74"/>
    </row>
    <row r="19" spans="1:8" s="7" customFormat="1" ht="30" customHeight="1">
      <c r="A19" s="35" t="str">
        <f>'Week 13'!A31</f>
        <v>Non Meal Plan Meals</v>
      </c>
      <c r="B19" s="11"/>
      <c r="C19" s="12"/>
      <c r="D19" s="73"/>
      <c r="E19" s="73"/>
      <c r="F19" s="12"/>
      <c r="G19" s="24"/>
      <c r="H19" s="74"/>
    </row>
    <row r="20" spans="1:8" s="7" customFormat="1" ht="30" customHeight="1">
      <c r="A20" s="35" t="str">
        <f>'Week 13'!A32</f>
        <v xml:space="preserve">Meal numbers </v>
      </c>
      <c r="B20" s="75"/>
      <c r="C20" s="95"/>
      <c r="D20" s="67"/>
      <c r="E20" s="67"/>
      <c r="F20" s="95"/>
      <c r="G20" s="95"/>
      <c r="H20" s="75"/>
    </row>
    <row r="21" spans="1:8" s="7" customFormat="1" ht="24.95" customHeight="1" thickBot="1">
      <c r="A21" s="36" t="s">
        <v>45</v>
      </c>
      <c r="B21" s="77">
        <f>('Week 10'!B21+'Week 11'!B21+'Week 12'!B21+'Week 13'!B21)/4</f>
        <v>0</v>
      </c>
      <c r="C21" s="77">
        <f>('Week 10'!C21+'Week 11'!C21+'Week 12'!C21+'Week 13'!C21)/4</f>
        <v>0</v>
      </c>
      <c r="D21" s="96">
        <f>('Week 10'!D21+'Week 11'!D21+'Week 12'!D21+'Week 13'!D21)/4</f>
        <v>0</v>
      </c>
      <c r="E21" s="96">
        <f>('Week 10'!E21+'Week 11'!E21+'Week 12'!E21+'Week 13'!E21)/4</f>
        <v>0</v>
      </c>
      <c r="F21" s="77">
        <f>('Week 10'!F21+'Week 11'!F21+'Week 12'!F21+'Week 13'!F21)/4</f>
        <v>0</v>
      </c>
      <c r="G21" s="77">
        <f>('Week 10'!G21+'Week 11'!G21+'Week 12'!G21+'Week 13'!G21)/4</f>
        <v>0</v>
      </c>
      <c r="H21" s="77">
        <f>('Week 10'!H21+'Week 11'!H21+'Week 12'!H21+'Week 13'!H21)/4</f>
        <v>0</v>
      </c>
    </row>
    <row r="22" spans="1:8" s="7" customFormat="1" ht="24.95" customHeight="1" thickBot="1">
      <c r="A22" s="34" t="s">
        <v>40</v>
      </c>
      <c r="B22" s="92" t="e">
        <f>(B21-B5)/B5</f>
        <v>#DIV/0!</v>
      </c>
      <c r="C22" s="93" t="e">
        <f>(C21-C5)/C5</f>
        <v>#DIV/0!</v>
      </c>
      <c r="D22" s="99"/>
      <c r="E22" s="99"/>
      <c r="F22" s="93" t="e">
        <f>(F21-F5)/F5</f>
        <v>#DIV/0!</v>
      </c>
      <c r="G22" s="93" t="e">
        <f>(G21-G5)/G5</f>
        <v>#DIV/0!</v>
      </c>
      <c r="H22" s="94" t="e">
        <f>(H21-H5)/H5</f>
        <v>#DIV/0!</v>
      </c>
    </row>
    <row r="23" spans="1:8" s="7" customFormat="1">
      <c r="A23" s="186" t="s">
        <v>46</v>
      </c>
      <c r="B23" s="187"/>
      <c r="C23" s="187"/>
      <c r="D23" s="187"/>
      <c r="E23" s="187"/>
      <c r="F23" s="188" t="s">
        <v>47</v>
      </c>
      <c r="G23" s="97"/>
      <c r="H23" s="98"/>
    </row>
    <row r="24" spans="1:8" s="7" customFormat="1" ht="30" customHeight="1">
      <c r="A24" s="35" t="s">
        <v>43</v>
      </c>
      <c r="B24" s="13"/>
      <c r="C24" s="12"/>
      <c r="D24" s="12"/>
      <c r="E24" s="12"/>
      <c r="F24" s="12"/>
      <c r="G24" s="12"/>
      <c r="H24" s="10"/>
    </row>
    <row r="25" spans="1:8" s="7" customFormat="1" ht="30" customHeight="1">
      <c r="A25" s="35" t="str">
        <f>A19</f>
        <v>Non Meal Plan Meals</v>
      </c>
      <c r="B25" s="76"/>
      <c r="C25" s="76"/>
      <c r="D25" s="76"/>
      <c r="E25" s="76"/>
      <c r="F25" s="76"/>
      <c r="G25" s="76"/>
      <c r="H25" s="76"/>
    </row>
    <row r="26" spans="1:8" s="7" customFormat="1" ht="30" customHeight="1">
      <c r="A26" s="35" t="str">
        <f>A20</f>
        <v xml:space="preserve">Meal numbers </v>
      </c>
      <c r="B26" s="10"/>
      <c r="C26" s="10"/>
      <c r="D26" s="10"/>
      <c r="E26" s="10"/>
      <c r="F26" s="10"/>
      <c r="G26" s="10"/>
      <c r="H26" s="10"/>
    </row>
    <row r="27" spans="1:8" s="7" customFormat="1" ht="27.95" customHeight="1" thickBot="1">
      <c r="A27" s="36" t="s">
        <v>50</v>
      </c>
      <c r="B27" s="100">
        <f>('Week 10'!B27+'Week 11'!B27+'Week 12'!B27+'Week 13'!B27)/4</f>
        <v>0</v>
      </c>
      <c r="C27" s="100">
        <f>('Week 10'!C27+'Week 11'!C27+'Week 12'!C27+'Week 13'!C27)/4</f>
        <v>0</v>
      </c>
      <c r="D27" s="100">
        <f>('Week 10'!D27+'Week 11'!D27+'Week 12'!D27+'Week 13'!D27)/4</f>
        <v>0</v>
      </c>
      <c r="E27" s="100">
        <f>('Week 10'!E27+'Week 11'!E27+'Week 12'!E27+'Week 13'!E27)/4</f>
        <v>0</v>
      </c>
      <c r="F27" s="100">
        <f>('Week 10'!F27+'Week 11'!F27+'Week 12'!F27+'Week 13'!F27)/4</f>
        <v>0</v>
      </c>
      <c r="G27" s="100">
        <f>('Week 10'!G27+'Week 11'!G27+'Week 12'!G27+'Week 13'!G27)/4</f>
        <v>0</v>
      </c>
      <c r="H27" s="100">
        <f>('Week 10'!H27+'Week 11'!H27+'Week 12'!H27+'Week 13'!H27)/4</f>
        <v>0</v>
      </c>
    </row>
    <row r="28" spans="1:8" s="7" customFormat="1" ht="24.95" customHeight="1" thickBot="1">
      <c r="A28" s="34" t="s">
        <v>40</v>
      </c>
      <c r="B28" s="92" t="e">
        <f t="shared" ref="B28:H28" si="3">(B27-B6)/B6</f>
        <v>#DIV/0!</v>
      </c>
      <c r="C28" s="93" t="e">
        <f t="shared" si="3"/>
        <v>#DIV/0!</v>
      </c>
      <c r="D28" s="93" t="e">
        <f t="shared" si="3"/>
        <v>#DIV/0!</v>
      </c>
      <c r="E28" s="93" t="e">
        <f t="shared" si="3"/>
        <v>#DIV/0!</v>
      </c>
      <c r="F28" s="93" t="e">
        <f t="shared" si="3"/>
        <v>#DIV/0!</v>
      </c>
      <c r="G28" s="93" t="e">
        <f t="shared" si="3"/>
        <v>#DIV/0!</v>
      </c>
      <c r="H28" s="94" t="e">
        <f t="shared" si="3"/>
        <v>#DIV/0!</v>
      </c>
    </row>
    <row r="29" spans="1:8" s="7" customFormat="1">
      <c r="A29" s="189" t="s">
        <v>51</v>
      </c>
      <c r="B29" s="190"/>
      <c r="C29" s="190"/>
      <c r="D29" s="190"/>
      <c r="E29" s="190"/>
      <c r="F29" s="191" t="s">
        <v>35</v>
      </c>
      <c r="G29" s="101"/>
      <c r="H29" s="102"/>
    </row>
    <row r="30" spans="1:8" s="7" customFormat="1" ht="30" customHeight="1">
      <c r="A30" s="35" t="s">
        <v>43</v>
      </c>
      <c r="B30" s="10"/>
      <c r="C30" s="9"/>
      <c r="D30" s="9"/>
      <c r="E30" s="9"/>
      <c r="F30" s="9"/>
      <c r="G30" s="9"/>
      <c r="H30" s="10"/>
    </row>
    <row r="31" spans="1:8" s="7" customFormat="1" ht="30" customHeight="1">
      <c r="A31" s="35" t="str">
        <f>A25</f>
        <v>Non Meal Plan Meals</v>
      </c>
      <c r="B31" s="60"/>
      <c r="C31" s="60"/>
      <c r="D31" s="60"/>
      <c r="E31" s="60"/>
      <c r="F31" s="60"/>
      <c r="G31" s="60"/>
      <c r="H31" s="60"/>
    </row>
    <row r="32" spans="1:8" s="7" customFormat="1" ht="30" customHeight="1">
      <c r="A32" s="35" t="str">
        <f>A26</f>
        <v xml:space="preserve">Meal numbers </v>
      </c>
      <c r="B32" s="10"/>
      <c r="C32" s="10"/>
      <c r="D32" s="10"/>
      <c r="E32" s="10"/>
      <c r="F32" s="10"/>
      <c r="G32" s="10"/>
      <c r="H32" s="10"/>
    </row>
    <row r="33" spans="1:12" s="7" customFormat="1" ht="30.95" customHeight="1" thickBot="1">
      <c r="A33" s="36" t="s">
        <v>53</v>
      </c>
      <c r="B33" s="103">
        <f>('Week 10'!B33+'Week 11'!B33+'Week 12'!B33+'Week 13'!B33)/4</f>
        <v>0</v>
      </c>
      <c r="C33" s="103">
        <f>('Week 10'!C33+'Week 11'!C33+'Week 12'!C33+'Week 13'!C33)/4</f>
        <v>0</v>
      </c>
      <c r="D33" s="103">
        <f>('Week 10'!D33+'Week 11'!D33+'Week 12'!D33+'Week 13'!D33)/4</f>
        <v>0</v>
      </c>
      <c r="E33" s="103">
        <f>('Week 10'!E33+'Week 11'!E33+'Week 12'!E33+'Week 13'!E33)/4</f>
        <v>0</v>
      </c>
      <c r="F33" s="103">
        <f>('Week 10'!F33+'Week 11'!F33+'Week 12'!F33+'Week 13'!F33)/4</f>
        <v>0</v>
      </c>
      <c r="G33" s="103">
        <f>('Week 10'!G33+'Week 11'!G33+'Week 12'!G33+'Week 13'!G33)/4</f>
        <v>0</v>
      </c>
      <c r="H33" s="103">
        <f>('Week 10'!H33+'Week 11'!H33+'Week 12'!H33+'Week 13'!H33)/4</f>
        <v>131.75</v>
      </c>
    </row>
    <row r="34" spans="1:12" s="7" customFormat="1" ht="24.95" customHeight="1" thickBot="1">
      <c r="A34" s="34" t="s">
        <v>40</v>
      </c>
      <c r="B34" s="92" t="e">
        <f t="shared" ref="B34:H34" si="4">(B33-B7)/B7</f>
        <v>#DIV/0!</v>
      </c>
      <c r="C34" s="93" t="e">
        <f t="shared" si="4"/>
        <v>#DIV/0!</v>
      </c>
      <c r="D34" s="93" t="e">
        <f t="shared" si="4"/>
        <v>#DIV/0!</v>
      </c>
      <c r="E34" s="93" t="e">
        <f t="shared" si="4"/>
        <v>#DIV/0!</v>
      </c>
      <c r="F34" s="93" t="e">
        <f t="shared" si="4"/>
        <v>#DIV/0!</v>
      </c>
      <c r="G34" s="93" t="e">
        <f t="shared" si="4"/>
        <v>#DIV/0!</v>
      </c>
      <c r="H34" s="94" t="e">
        <f t="shared" si="4"/>
        <v>#DIV/0!</v>
      </c>
    </row>
    <row r="35" spans="1:12" s="7" customFormat="1">
      <c r="A35" s="192" t="s">
        <v>54</v>
      </c>
      <c r="B35" s="193"/>
      <c r="C35" s="193"/>
      <c r="D35" s="193"/>
      <c r="E35" s="193"/>
      <c r="F35" s="194" t="s">
        <v>35</v>
      </c>
      <c r="G35" s="104"/>
      <c r="H35" s="105"/>
    </row>
    <row r="36" spans="1:12" s="7" customFormat="1" ht="30.95" customHeight="1" thickBot="1">
      <c r="A36" s="78" t="s">
        <v>55</v>
      </c>
      <c r="B36" s="77">
        <f>('Week 10'!B36+'Week 11'!B36+'Week 12'!B36+'Week 13'!B36)/4</f>
        <v>0</v>
      </c>
      <c r="C36" s="77">
        <f>('Week 10'!C36+'Week 11'!C36+'Week 12'!C36+'Week 13'!C36)/4</f>
        <v>0</v>
      </c>
      <c r="D36" s="77">
        <f>('Week 10'!D36+'Week 11'!D36+'Week 12'!D36+'Week 13'!D36)/4</f>
        <v>0</v>
      </c>
      <c r="E36" s="77">
        <f>('Week 10'!E36+'Week 11'!E36+'Week 12'!E36+'Week 13'!E36)/4</f>
        <v>0</v>
      </c>
      <c r="F36" s="77">
        <f>('Week 10'!F36+'Week 11'!F36+'Week 12'!F36+'Week 13'!F36)/4</f>
        <v>0</v>
      </c>
      <c r="G36" s="77">
        <f>('Week 10'!G36+'Week 11'!G36+'Week 12'!G36+'Week 13'!G36)/4</f>
        <v>0</v>
      </c>
      <c r="H36" s="77">
        <f>('Week 10'!H36+'Week 11'!H36+'Week 12'!H36+'Week 13'!H36)/4</f>
        <v>131.75</v>
      </c>
    </row>
    <row r="37" spans="1:12" s="7" customFormat="1" ht="24.95" customHeight="1" thickBot="1">
      <c r="A37" s="34" t="s">
        <v>40</v>
      </c>
      <c r="B37" s="92" t="e">
        <f t="shared" ref="B37:H37" si="5">(B36-B8)/B8</f>
        <v>#DIV/0!</v>
      </c>
      <c r="C37" s="93" t="e">
        <f t="shared" si="5"/>
        <v>#DIV/0!</v>
      </c>
      <c r="D37" s="93" t="e">
        <f t="shared" si="5"/>
        <v>#DIV/0!</v>
      </c>
      <c r="E37" s="93" t="e">
        <f t="shared" si="5"/>
        <v>#DIV/0!</v>
      </c>
      <c r="F37" s="93" t="e">
        <f t="shared" si="5"/>
        <v>#DIV/0!</v>
      </c>
      <c r="G37" s="93" t="e">
        <f t="shared" si="5"/>
        <v>#DIV/0!</v>
      </c>
      <c r="H37" s="94" t="e">
        <f t="shared" si="5"/>
        <v>#DIV/0!</v>
      </c>
    </row>
    <row r="38" spans="1:12" ht="30" customHeight="1" thickBot="1">
      <c r="A38" s="195"/>
      <c r="B38" s="196"/>
      <c r="C38" s="196"/>
      <c r="D38" s="196"/>
      <c r="E38" s="196"/>
      <c r="F38" s="196"/>
      <c r="G38" s="106" t="s">
        <v>37</v>
      </c>
      <c r="H38" s="107">
        <f>SUM(B36:H36)</f>
        <v>131.75</v>
      </c>
    </row>
    <row r="39" spans="1:12" s="7" customFormat="1" ht="24.95" customHeight="1" thickTop="1">
      <c r="A39" s="37"/>
      <c r="B39" s="25"/>
      <c r="C39" s="25"/>
      <c r="D39" s="25"/>
      <c r="E39" s="25"/>
      <c r="F39" s="25"/>
      <c r="G39" s="79" t="s">
        <v>40</v>
      </c>
      <c r="H39" s="80" t="e">
        <f>(H38-H9)/H9</f>
        <v>#DIV/0!</v>
      </c>
    </row>
    <row r="40" spans="1:12" s="7" customFormat="1" ht="24.95" customHeight="1" thickBot="1">
      <c r="A40" s="37"/>
      <c r="B40" s="25"/>
      <c r="C40" s="25"/>
      <c r="D40" s="25"/>
      <c r="E40" s="25"/>
      <c r="F40" s="25"/>
      <c r="G40" s="81" t="s">
        <v>56</v>
      </c>
      <c r="H40" s="82" t="e">
        <f>(H38-H16)/H16</f>
        <v>#DIV/0!</v>
      </c>
    </row>
    <row r="41" spans="1:12" s="46" customFormat="1" ht="23.1" customHeight="1">
      <c r="A41" s="40"/>
      <c r="B41" s="47" t="s">
        <v>57</v>
      </c>
      <c r="C41" s="197" t="s">
        <v>58</v>
      </c>
      <c r="D41" s="197"/>
      <c r="E41" s="197"/>
      <c r="F41" s="197"/>
      <c r="G41" s="198" t="s">
        <v>109</v>
      </c>
      <c r="H41" s="199"/>
    </row>
    <row r="42" spans="1:12" ht="30" customHeight="1">
      <c r="A42" s="1" t="s">
        <v>60</v>
      </c>
      <c r="B42" s="57"/>
      <c r="C42" s="180"/>
      <c r="D42" s="180"/>
      <c r="E42" s="180"/>
      <c r="F42" s="180"/>
      <c r="G42" s="178"/>
      <c r="H42" s="179"/>
      <c r="L42" s="7" t="s">
        <v>61</v>
      </c>
    </row>
    <row r="43" spans="1:12" ht="42.95" customHeight="1">
      <c r="A43" s="1" t="s">
        <v>1</v>
      </c>
      <c r="B43" s="57" t="s">
        <v>59</v>
      </c>
      <c r="C43" s="175"/>
      <c r="D43" s="175"/>
      <c r="E43" s="175"/>
      <c r="F43" s="175"/>
      <c r="G43" s="178"/>
      <c r="H43" s="179"/>
      <c r="L43" s="5" t="s">
        <v>62</v>
      </c>
    </row>
    <row r="44" spans="1:12" ht="30" customHeight="1">
      <c r="A44" s="1" t="s">
        <v>2</v>
      </c>
      <c r="B44" s="57" t="s">
        <v>59</v>
      </c>
      <c r="C44" s="175"/>
      <c r="D44" s="175"/>
      <c r="E44" s="175"/>
      <c r="F44" s="175"/>
      <c r="G44" s="176"/>
      <c r="H44" s="177"/>
      <c r="L44" s="5" t="s">
        <v>63</v>
      </c>
    </row>
    <row r="45" spans="1:12" ht="30" customHeight="1">
      <c r="A45" s="1" t="s">
        <v>3</v>
      </c>
      <c r="B45" s="57" t="s">
        <v>59</v>
      </c>
      <c r="C45" s="175"/>
      <c r="D45" s="175"/>
      <c r="E45" s="175"/>
      <c r="F45" s="175"/>
      <c r="G45" s="176"/>
      <c r="H45" s="177"/>
      <c r="L45" s="5" t="s">
        <v>64</v>
      </c>
    </row>
    <row r="46" spans="1:12" ht="30.95" customHeight="1">
      <c r="A46" s="1" t="s">
        <v>4</v>
      </c>
      <c r="B46" s="57" t="s">
        <v>59</v>
      </c>
      <c r="C46" s="175"/>
      <c r="D46" s="175"/>
      <c r="E46" s="175"/>
      <c r="F46" s="175"/>
      <c r="G46" s="176"/>
      <c r="H46" s="177"/>
    </row>
    <row r="47" spans="1:12" ht="30" customHeight="1">
      <c r="A47" s="1" t="s">
        <v>5</v>
      </c>
      <c r="B47" s="57" t="s">
        <v>59</v>
      </c>
      <c r="C47" s="175"/>
      <c r="D47" s="175"/>
      <c r="E47" s="175"/>
      <c r="F47" s="175"/>
      <c r="G47" s="176"/>
      <c r="H47" s="177"/>
    </row>
    <row r="48" spans="1:12" ht="30" customHeight="1">
      <c r="A48" s="1" t="s">
        <v>6</v>
      </c>
      <c r="B48" s="57" t="s">
        <v>59</v>
      </c>
      <c r="C48" s="175"/>
      <c r="D48" s="175"/>
      <c r="E48" s="175"/>
      <c r="F48" s="175"/>
      <c r="G48" s="176"/>
      <c r="H48" s="177"/>
    </row>
    <row r="49" spans="1:8" ht="30" customHeight="1">
      <c r="A49" s="1"/>
      <c r="B49" s="14"/>
      <c r="C49" s="175"/>
      <c r="D49" s="175"/>
      <c r="E49" s="175"/>
      <c r="F49" s="175"/>
      <c r="G49" s="176"/>
      <c r="H49" s="177"/>
    </row>
    <row r="50" spans="1:8" ht="30" customHeight="1">
      <c r="A50" s="2"/>
      <c r="B50" s="14"/>
      <c r="C50" s="175"/>
      <c r="D50" s="175"/>
      <c r="E50" s="175"/>
      <c r="F50" s="175"/>
      <c r="G50" s="176"/>
      <c r="H50" s="177"/>
    </row>
    <row r="51" spans="1:8">
      <c r="A51" s="30"/>
      <c r="B51" s="18" t="s">
        <v>27</v>
      </c>
      <c r="C51" s="18" t="s">
        <v>28</v>
      </c>
      <c r="D51" s="18" t="s">
        <v>65</v>
      </c>
      <c r="E51" s="18" t="s">
        <v>30</v>
      </c>
      <c r="F51" s="18" t="s">
        <v>66</v>
      </c>
      <c r="G51" s="18" t="s">
        <v>32</v>
      </c>
      <c r="H51" s="18" t="s">
        <v>33</v>
      </c>
    </row>
    <row r="52" spans="1:8">
      <c r="A52" s="38" t="s">
        <v>67</v>
      </c>
      <c r="B52" s="15"/>
      <c r="C52" s="20"/>
      <c r="D52" s="20"/>
      <c r="E52" s="20"/>
      <c r="F52" s="20"/>
      <c r="G52" s="20"/>
      <c r="H52" s="15"/>
    </row>
    <row r="53" spans="1:8" customFormat="1" ht="15.95">
      <c r="A53" s="48" t="s">
        <v>68</v>
      </c>
      <c r="B53" s="22"/>
      <c r="C53" s="21"/>
      <c r="D53" s="21"/>
      <c r="E53" s="21"/>
      <c r="F53" s="21"/>
      <c r="G53" s="23" t="s">
        <v>37</v>
      </c>
      <c r="H53" s="23">
        <f>SUM(B52:H52)</f>
        <v>0</v>
      </c>
    </row>
    <row r="54" spans="1:8">
      <c r="A54" s="30"/>
      <c r="B54" s="18" t="s">
        <v>27</v>
      </c>
      <c r="C54" s="18" t="s">
        <v>28</v>
      </c>
      <c r="D54" s="18" t="s">
        <v>65</v>
      </c>
      <c r="E54" s="18" t="s">
        <v>30</v>
      </c>
      <c r="F54" s="18" t="s">
        <v>66</v>
      </c>
      <c r="G54" s="18" t="s">
        <v>32</v>
      </c>
      <c r="H54" s="18" t="s">
        <v>33</v>
      </c>
    </row>
    <row r="55" spans="1:8">
      <c r="A55" s="38" t="s">
        <v>69</v>
      </c>
      <c r="B55" s="51"/>
      <c r="C55" s="52"/>
      <c r="D55" s="52"/>
      <c r="E55" s="52"/>
      <c r="F55" s="52"/>
      <c r="G55" s="20"/>
      <c r="H55" s="15"/>
    </row>
    <row r="56" spans="1:8" customFormat="1" ht="15.95">
      <c r="A56" s="49" t="s">
        <v>70</v>
      </c>
      <c r="B56" s="53"/>
      <c r="C56" s="53" t="s">
        <v>71</v>
      </c>
      <c r="D56" s="54"/>
      <c r="E56" s="54"/>
      <c r="F56" s="55"/>
      <c r="G56" s="50" t="s">
        <v>37</v>
      </c>
      <c r="H56" s="23"/>
    </row>
    <row r="57" spans="1:8">
      <c r="H57" s="16"/>
    </row>
    <row r="58" spans="1:8">
      <c r="H58" s="16"/>
    </row>
    <row r="59" spans="1:8">
      <c r="H59" s="16"/>
    </row>
    <row r="60" spans="1:8">
      <c r="H60" s="16"/>
    </row>
    <row r="61" spans="1:8">
      <c r="H61" s="16"/>
    </row>
    <row r="62" spans="1:8">
      <c r="H62" s="16"/>
    </row>
    <row r="63" spans="1:8">
      <c r="H63" s="16"/>
    </row>
    <row r="64" spans="1:8">
      <c r="B64" s="5"/>
      <c r="H64" s="16"/>
    </row>
    <row r="65" spans="2:8">
      <c r="B65" s="5"/>
      <c r="H65" s="16"/>
    </row>
    <row r="66" spans="2:8">
      <c r="B66" s="5"/>
      <c r="H66" s="16"/>
    </row>
    <row r="67" spans="2:8">
      <c r="B67" s="5"/>
      <c r="H67" s="16"/>
    </row>
    <row r="68" spans="2:8">
      <c r="B68" s="5"/>
      <c r="H68" s="16"/>
    </row>
    <row r="69" spans="2:8">
      <c r="B69" s="5"/>
      <c r="H69" s="16"/>
    </row>
    <row r="70" spans="2:8">
      <c r="B70" s="5"/>
      <c r="H70" s="16"/>
    </row>
    <row r="71" spans="2:8">
      <c r="B71" s="5"/>
      <c r="H71" s="16"/>
    </row>
    <row r="72" spans="2:8">
      <c r="B72" s="5"/>
      <c r="H72" s="16"/>
    </row>
    <row r="73" spans="2:8">
      <c r="B73" s="5"/>
      <c r="H73" s="16"/>
    </row>
    <row r="74" spans="2:8">
      <c r="B74" s="5"/>
      <c r="H74" s="16"/>
    </row>
    <row r="75" spans="2:8">
      <c r="B75" s="5"/>
      <c r="H75" s="16"/>
    </row>
    <row r="76" spans="2:8">
      <c r="B76" s="5"/>
      <c r="H76" s="16"/>
    </row>
    <row r="77" spans="2:8">
      <c r="B77" s="5"/>
      <c r="H77" s="16"/>
    </row>
    <row r="78" spans="2:8">
      <c r="B78" s="5"/>
      <c r="H78" s="16"/>
    </row>
    <row r="79" spans="2:8">
      <c r="B79" s="5"/>
      <c r="H79" s="16"/>
    </row>
    <row r="80" spans="2:8">
      <c r="B80" s="5"/>
      <c r="H80" s="16"/>
    </row>
    <row r="81" spans="2:8">
      <c r="B81" s="5"/>
      <c r="H81" s="16"/>
    </row>
    <row r="82" spans="2:8">
      <c r="B82" s="5"/>
      <c r="H82" s="16"/>
    </row>
    <row r="83" spans="2:8">
      <c r="B83" s="5"/>
      <c r="H83" s="16"/>
    </row>
    <row r="84" spans="2:8">
      <c r="B84" s="5"/>
      <c r="H84" s="16"/>
    </row>
    <row r="85" spans="2:8">
      <c r="B85" s="5"/>
      <c r="H85" s="16"/>
    </row>
    <row r="86" spans="2:8">
      <c r="B86" s="5"/>
      <c r="H86" s="16"/>
    </row>
    <row r="87" spans="2:8">
      <c r="B87" s="5"/>
      <c r="H87" s="16"/>
    </row>
    <row r="88" spans="2:8">
      <c r="B88" s="5"/>
      <c r="H88" s="16"/>
    </row>
    <row r="89" spans="2:8">
      <c r="B89" s="5"/>
      <c r="H89" s="16"/>
    </row>
    <row r="90" spans="2:8">
      <c r="B90" s="5"/>
      <c r="H90" s="16"/>
    </row>
    <row r="91" spans="2:8">
      <c r="B91" s="5"/>
      <c r="H91" s="16"/>
    </row>
    <row r="92" spans="2:8">
      <c r="B92" s="5"/>
      <c r="H92" s="16"/>
    </row>
    <row r="93" spans="2:8">
      <c r="B93" s="5"/>
      <c r="H93" s="16"/>
    </row>
    <row r="94" spans="2:8">
      <c r="B94" s="5"/>
      <c r="H94" s="16"/>
    </row>
    <row r="95" spans="2:8">
      <c r="B95" s="5"/>
      <c r="H95" s="16"/>
    </row>
    <row r="96" spans="2:8">
      <c r="B96" s="5"/>
      <c r="H96" s="16"/>
    </row>
    <row r="97" spans="2:8">
      <c r="B97" s="5"/>
      <c r="H97" s="16"/>
    </row>
    <row r="98" spans="2:8">
      <c r="B98" s="5"/>
      <c r="H98" s="16"/>
    </row>
    <row r="99" spans="2:8">
      <c r="B99" s="5"/>
      <c r="H99" s="16"/>
    </row>
    <row r="100" spans="2:8">
      <c r="B100" s="5"/>
      <c r="H100" s="16"/>
    </row>
    <row r="101" spans="2:8">
      <c r="B101" s="5"/>
      <c r="H101" s="16"/>
    </row>
    <row r="102" spans="2:8">
      <c r="B102" s="5"/>
      <c r="H102" s="16"/>
    </row>
    <row r="103" spans="2:8">
      <c r="B103" s="5"/>
      <c r="H103" s="16"/>
    </row>
    <row r="104" spans="2:8">
      <c r="B104" s="5"/>
      <c r="H104" s="16"/>
    </row>
    <row r="105" spans="2:8">
      <c r="B105" s="5"/>
      <c r="H105" s="16"/>
    </row>
    <row r="106" spans="2:8">
      <c r="B106" s="5"/>
      <c r="H106" s="16"/>
    </row>
    <row r="107" spans="2:8">
      <c r="B107" s="5"/>
      <c r="H107" s="16"/>
    </row>
    <row r="108" spans="2:8">
      <c r="B108" s="5"/>
      <c r="H108" s="16"/>
    </row>
    <row r="109" spans="2:8">
      <c r="B109" s="5"/>
      <c r="H109" s="16"/>
    </row>
    <row r="110" spans="2:8">
      <c r="B110" s="5"/>
      <c r="H110" s="16"/>
    </row>
    <row r="111" spans="2:8">
      <c r="B111" s="5"/>
      <c r="H111" s="16"/>
    </row>
    <row r="112" spans="2:8">
      <c r="B112" s="5"/>
      <c r="H112" s="16"/>
    </row>
    <row r="113" spans="2:8">
      <c r="B113" s="5"/>
      <c r="H113" s="16"/>
    </row>
    <row r="114" spans="2:8">
      <c r="B114" s="5"/>
      <c r="H114" s="16"/>
    </row>
    <row r="115" spans="2:8">
      <c r="B115" s="5"/>
      <c r="H115" s="16"/>
    </row>
    <row r="116" spans="2:8">
      <c r="B116" s="5"/>
      <c r="H116" s="16"/>
    </row>
    <row r="117" spans="2:8">
      <c r="B117" s="5"/>
      <c r="H117" s="16"/>
    </row>
    <row r="118" spans="2:8">
      <c r="B118" s="5"/>
      <c r="H118" s="16"/>
    </row>
    <row r="119" spans="2:8">
      <c r="B119" s="5"/>
      <c r="H119" s="16"/>
    </row>
    <row r="120" spans="2:8">
      <c r="B120" s="5"/>
      <c r="H120" s="16"/>
    </row>
    <row r="121" spans="2:8">
      <c r="B121" s="5"/>
      <c r="H121" s="16"/>
    </row>
    <row r="122" spans="2:8">
      <c r="B122" s="5"/>
      <c r="H122" s="16"/>
    </row>
    <row r="123" spans="2:8">
      <c r="B123" s="5"/>
      <c r="H123" s="16"/>
    </row>
    <row r="124" spans="2:8">
      <c r="B124" s="5"/>
      <c r="H124" s="16"/>
    </row>
    <row r="125" spans="2:8">
      <c r="B125" s="5"/>
      <c r="H125" s="16"/>
    </row>
    <row r="126" spans="2:8">
      <c r="B126" s="5"/>
      <c r="H126" s="16"/>
    </row>
    <row r="127" spans="2:8">
      <c r="B127" s="5"/>
      <c r="H127" s="16"/>
    </row>
    <row r="128" spans="2:8">
      <c r="B128" s="5"/>
      <c r="H128" s="16"/>
    </row>
    <row r="129" spans="2:8">
      <c r="B129" s="5"/>
      <c r="H129" s="16"/>
    </row>
    <row r="130" spans="2:8">
      <c r="B130" s="5"/>
      <c r="H130" s="16"/>
    </row>
    <row r="131" spans="2:8">
      <c r="B131" s="5"/>
      <c r="H131" s="16"/>
    </row>
    <row r="132" spans="2:8">
      <c r="B132" s="5"/>
      <c r="H132" s="16"/>
    </row>
    <row r="133" spans="2:8">
      <c r="B133" s="5"/>
      <c r="H133" s="16"/>
    </row>
    <row r="134" spans="2:8">
      <c r="B134" s="5"/>
      <c r="H134" s="16"/>
    </row>
    <row r="135" spans="2:8">
      <c r="B135" s="5"/>
      <c r="H135" s="16"/>
    </row>
    <row r="136" spans="2:8">
      <c r="B136" s="5"/>
      <c r="H136" s="16"/>
    </row>
    <row r="137" spans="2:8">
      <c r="B137" s="5"/>
      <c r="H137" s="16"/>
    </row>
    <row r="138" spans="2:8">
      <c r="B138" s="5"/>
      <c r="H138" s="16"/>
    </row>
    <row r="139" spans="2:8">
      <c r="B139" s="5"/>
      <c r="H139" s="16"/>
    </row>
    <row r="140" spans="2:8">
      <c r="B140" s="5"/>
      <c r="H140" s="16"/>
    </row>
    <row r="141" spans="2:8">
      <c r="B141" s="5"/>
      <c r="H141" s="16"/>
    </row>
    <row r="142" spans="2:8">
      <c r="B142" s="5"/>
      <c r="H142" s="16"/>
    </row>
    <row r="143" spans="2:8">
      <c r="B143" s="5"/>
      <c r="H143" s="16"/>
    </row>
    <row r="144" spans="2:8">
      <c r="B144" s="5"/>
      <c r="H144" s="16"/>
    </row>
    <row r="145" spans="2:8">
      <c r="B145" s="5"/>
      <c r="H145" s="16"/>
    </row>
    <row r="146" spans="2:8">
      <c r="B146" s="5"/>
      <c r="H146" s="16"/>
    </row>
    <row r="147" spans="2:8">
      <c r="B147" s="5"/>
      <c r="H147" s="16"/>
    </row>
    <row r="148" spans="2:8">
      <c r="B148" s="5"/>
      <c r="H148" s="16"/>
    </row>
    <row r="149" spans="2:8">
      <c r="B149" s="5"/>
      <c r="H149" s="16"/>
    </row>
    <row r="150" spans="2:8">
      <c r="B150" s="5"/>
      <c r="H150" s="16"/>
    </row>
    <row r="151" spans="2:8">
      <c r="B151" s="5"/>
      <c r="H151" s="16"/>
    </row>
    <row r="152" spans="2:8">
      <c r="B152" s="5"/>
      <c r="H152" s="16"/>
    </row>
    <row r="153" spans="2:8">
      <c r="B153" s="5"/>
      <c r="H153" s="16"/>
    </row>
    <row r="154" spans="2:8">
      <c r="B154" s="5"/>
      <c r="H154" s="16"/>
    </row>
    <row r="155" spans="2:8">
      <c r="B155" s="5"/>
      <c r="H155" s="16"/>
    </row>
    <row r="156" spans="2:8">
      <c r="B156" s="5"/>
      <c r="H156" s="16"/>
    </row>
    <row r="157" spans="2:8">
      <c r="B157" s="5"/>
      <c r="H157" s="16"/>
    </row>
    <row r="158" spans="2:8">
      <c r="B158" s="5"/>
      <c r="H158" s="16"/>
    </row>
    <row r="159" spans="2:8">
      <c r="B159" s="5"/>
      <c r="H159" s="16"/>
    </row>
    <row r="160" spans="2:8">
      <c r="B160" s="5"/>
      <c r="H160" s="16"/>
    </row>
    <row r="161" spans="2:8">
      <c r="B161" s="5"/>
      <c r="H161" s="16"/>
    </row>
    <row r="162" spans="2:8">
      <c r="B162" s="5"/>
      <c r="H162" s="16"/>
    </row>
    <row r="163" spans="2:8">
      <c r="B163" s="5"/>
      <c r="H163" s="16"/>
    </row>
    <row r="164" spans="2:8">
      <c r="B164" s="5"/>
      <c r="H164" s="16"/>
    </row>
    <row r="165" spans="2:8">
      <c r="B165" s="5"/>
      <c r="H165" s="16"/>
    </row>
    <row r="166" spans="2:8">
      <c r="B166" s="5"/>
      <c r="H166" s="16"/>
    </row>
    <row r="167" spans="2:8">
      <c r="B167" s="5"/>
      <c r="H167" s="16"/>
    </row>
    <row r="168" spans="2:8">
      <c r="B168" s="5"/>
      <c r="H168" s="16"/>
    </row>
    <row r="169" spans="2:8">
      <c r="B169" s="5"/>
      <c r="H169" s="16"/>
    </row>
    <row r="170" spans="2:8">
      <c r="B170" s="5"/>
      <c r="H170" s="16"/>
    </row>
    <row r="171" spans="2:8">
      <c r="B171" s="5"/>
      <c r="H171" s="16"/>
    </row>
    <row r="172" spans="2:8">
      <c r="B172" s="5"/>
      <c r="H172" s="16"/>
    </row>
    <row r="173" spans="2:8">
      <c r="B173" s="5"/>
      <c r="H173" s="16"/>
    </row>
    <row r="174" spans="2:8">
      <c r="B174" s="5"/>
      <c r="H174" s="16"/>
    </row>
    <row r="175" spans="2:8">
      <c r="B175" s="5"/>
      <c r="H175" s="16"/>
    </row>
    <row r="176" spans="2:8">
      <c r="B176" s="5"/>
      <c r="H176" s="16"/>
    </row>
    <row r="177" spans="2:8">
      <c r="B177" s="5"/>
      <c r="H177" s="16"/>
    </row>
    <row r="178" spans="2:8">
      <c r="B178" s="5"/>
      <c r="H178" s="16"/>
    </row>
    <row r="179" spans="2:8">
      <c r="B179" s="5"/>
      <c r="H179" s="16"/>
    </row>
    <row r="180" spans="2:8">
      <c r="B180" s="5"/>
      <c r="H180" s="16"/>
    </row>
    <row r="181" spans="2:8">
      <c r="B181" s="5"/>
      <c r="H181" s="16"/>
    </row>
    <row r="182" spans="2:8">
      <c r="B182" s="5"/>
      <c r="H182" s="16"/>
    </row>
    <row r="183" spans="2:8">
      <c r="B183" s="5"/>
      <c r="H183" s="16"/>
    </row>
    <row r="184" spans="2:8">
      <c r="B184" s="5"/>
      <c r="H184" s="16"/>
    </row>
    <row r="185" spans="2:8">
      <c r="B185" s="5"/>
      <c r="H185" s="16"/>
    </row>
    <row r="186" spans="2:8">
      <c r="B186" s="5"/>
      <c r="H186" s="16"/>
    </row>
    <row r="187" spans="2:8">
      <c r="B187" s="5"/>
      <c r="H187" s="16"/>
    </row>
    <row r="188" spans="2:8">
      <c r="B188" s="5"/>
      <c r="H188" s="16"/>
    </row>
    <row r="189" spans="2:8">
      <c r="B189" s="5"/>
      <c r="H189" s="16"/>
    </row>
    <row r="190" spans="2:8">
      <c r="B190" s="5"/>
      <c r="H190" s="16"/>
    </row>
    <row r="191" spans="2:8">
      <c r="B191" s="5"/>
      <c r="H191" s="16"/>
    </row>
    <row r="192" spans="2:8">
      <c r="B192" s="5"/>
      <c r="H192" s="16"/>
    </row>
    <row r="193" spans="2:8">
      <c r="B193" s="5"/>
      <c r="H193" s="16"/>
    </row>
    <row r="194" spans="2:8">
      <c r="B194" s="5"/>
      <c r="H194" s="16"/>
    </row>
    <row r="195" spans="2:8">
      <c r="B195" s="5"/>
      <c r="H195" s="16"/>
    </row>
    <row r="196" spans="2:8">
      <c r="B196" s="5"/>
      <c r="H196" s="16"/>
    </row>
    <row r="197" spans="2:8">
      <c r="B197" s="5"/>
      <c r="H197" s="16"/>
    </row>
    <row r="198" spans="2:8">
      <c r="B198" s="5"/>
      <c r="H198" s="16"/>
    </row>
    <row r="199" spans="2:8">
      <c r="B199" s="5"/>
      <c r="H199" s="16"/>
    </row>
    <row r="200" spans="2:8">
      <c r="B200" s="5"/>
      <c r="H200" s="16"/>
    </row>
    <row r="201" spans="2:8">
      <c r="B201" s="5"/>
      <c r="H201" s="16"/>
    </row>
    <row r="202" spans="2:8">
      <c r="B202" s="5"/>
      <c r="H202" s="16"/>
    </row>
    <row r="203" spans="2:8">
      <c r="B203" s="5"/>
      <c r="H203" s="16"/>
    </row>
    <row r="204" spans="2:8">
      <c r="B204" s="5"/>
      <c r="H204" s="16"/>
    </row>
    <row r="205" spans="2:8">
      <c r="B205" s="5"/>
      <c r="H205" s="16"/>
    </row>
    <row r="206" spans="2:8">
      <c r="B206" s="5"/>
      <c r="H206" s="16"/>
    </row>
    <row r="207" spans="2:8">
      <c r="B207" s="5"/>
      <c r="H207" s="16"/>
    </row>
    <row r="208" spans="2:8">
      <c r="B208" s="5"/>
      <c r="H208" s="16"/>
    </row>
    <row r="209" spans="2:8">
      <c r="B209" s="5"/>
      <c r="H209" s="16"/>
    </row>
    <row r="210" spans="2:8">
      <c r="B210" s="5"/>
      <c r="H210" s="16"/>
    </row>
    <row r="211" spans="2:8">
      <c r="B211" s="5"/>
      <c r="H211" s="16"/>
    </row>
    <row r="212" spans="2:8">
      <c r="B212" s="5"/>
      <c r="H212" s="16"/>
    </row>
    <row r="213" spans="2:8">
      <c r="B213" s="5"/>
      <c r="H213" s="16"/>
    </row>
    <row r="214" spans="2:8">
      <c r="B214" s="5"/>
      <c r="H214" s="16"/>
    </row>
    <row r="215" spans="2:8">
      <c r="B215" s="5"/>
      <c r="H215" s="16"/>
    </row>
    <row r="216" spans="2:8">
      <c r="B216" s="5"/>
      <c r="H216" s="16"/>
    </row>
    <row r="217" spans="2:8">
      <c r="B217" s="5"/>
      <c r="H217" s="16"/>
    </row>
    <row r="218" spans="2:8">
      <c r="B218" s="5"/>
      <c r="H218" s="16"/>
    </row>
    <row r="219" spans="2:8">
      <c r="B219" s="5"/>
      <c r="H219" s="16"/>
    </row>
    <row r="220" spans="2:8">
      <c r="B220" s="5"/>
      <c r="H220" s="16"/>
    </row>
    <row r="221" spans="2:8">
      <c r="B221" s="5"/>
      <c r="H221" s="16"/>
    </row>
    <row r="222" spans="2:8">
      <c r="B222" s="5"/>
      <c r="H222" s="16"/>
    </row>
    <row r="223" spans="2:8">
      <c r="B223" s="5"/>
      <c r="H223" s="16"/>
    </row>
    <row r="224" spans="2:8">
      <c r="B224" s="5"/>
      <c r="H224" s="16"/>
    </row>
    <row r="225" spans="2:8">
      <c r="B225" s="5"/>
      <c r="H225" s="16"/>
    </row>
    <row r="226" spans="2:8">
      <c r="B226" s="5"/>
      <c r="H226" s="16"/>
    </row>
    <row r="227" spans="2:8">
      <c r="B227" s="5"/>
      <c r="H227" s="16"/>
    </row>
    <row r="228" spans="2:8">
      <c r="B228" s="5"/>
      <c r="H228" s="16"/>
    </row>
    <row r="229" spans="2:8">
      <c r="B229" s="5"/>
      <c r="H229" s="16"/>
    </row>
    <row r="230" spans="2:8">
      <c r="B230" s="5"/>
      <c r="H230" s="16"/>
    </row>
    <row r="231" spans="2:8">
      <c r="B231" s="5"/>
      <c r="H231" s="16"/>
    </row>
    <row r="232" spans="2:8">
      <c r="B232" s="5"/>
      <c r="H232" s="16"/>
    </row>
    <row r="233" spans="2:8">
      <c r="B233" s="5"/>
      <c r="H233" s="16"/>
    </row>
    <row r="234" spans="2:8">
      <c r="B234" s="5"/>
      <c r="H234" s="16"/>
    </row>
    <row r="235" spans="2:8">
      <c r="B235" s="5"/>
      <c r="H235" s="16"/>
    </row>
    <row r="236" spans="2:8">
      <c r="B236" s="5"/>
      <c r="H236" s="16"/>
    </row>
    <row r="237" spans="2:8">
      <c r="B237" s="5"/>
      <c r="H237" s="16"/>
    </row>
    <row r="238" spans="2:8">
      <c r="B238" s="5"/>
      <c r="H238" s="16"/>
    </row>
    <row r="239" spans="2:8">
      <c r="B239" s="5"/>
      <c r="H239" s="16"/>
    </row>
    <row r="240" spans="2:8">
      <c r="B240" s="5"/>
      <c r="H240" s="16"/>
    </row>
    <row r="241" spans="2:8">
      <c r="B241" s="5"/>
      <c r="H241" s="16"/>
    </row>
    <row r="242" spans="2:8">
      <c r="B242" s="5"/>
      <c r="H242" s="16"/>
    </row>
    <row r="243" spans="2:8">
      <c r="B243" s="5"/>
      <c r="H243" s="16"/>
    </row>
    <row r="244" spans="2:8">
      <c r="B244" s="5"/>
      <c r="H244" s="16"/>
    </row>
    <row r="245" spans="2:8">
      <c r="B245" s="5"/>
      <c r="H245" s="16"/>
    </row>
    <row r="246" spans="2:8">
      <c r="B246" s="5"/>
      <c r="H246" s="16"/>
    </row>
    <row r="247" spans="2:8">
      <c r="B247" s="5"/>
      <c r="H247" s="16"/>
    </row>
    <row r="248" spans="2:8">
      <c r="B248" s="5"/>
      <c r="H248" s="16"/>
    </row>
    <row r="249" spans="2:8">
      <c r="B249" s="5"/>
      <c r="H249" s="16"/>
    </row>
    <row r="250" spans="2:8">
      <c r="B250" s="5"/>
      <c r="H250" s="16"/>
    </row>
    <row r="251" spans="2:8">
      <c r="B251" s="5"/>
      <c r="H251" s="16"/>
    </row>
    <row r="252" spans="2:8">
      <c r="B252" s="5"/>
      <c r="H252" s="16"/>
    </row>
    <row r="253" spans="2:8">
      <c r="B253" s="5"/>
      <c r="H253" s="16"/>
    </row>
    <row r="254" spans="2:8">
      <c r="B254" s="5"/>
      <c r="H254" s="16"/>
    </row>
    <row r="255" spans="2:8">
      <c r="B255" s="5"/>
      <c r="H255" s="16"/>
    </row>
    <row r="256" spans="2:8">
      <c r="B256" s="5"/>
      <c r="H256" s="16"/>
    </row>
    <row r="257" spans="2:8">
      <c r="B257" s="5"/>
      <c r="H257" s="16"/>
    </row>
    <row r="258" spans="2:8">
      <c r="B258" s="5"/>
      <c r="H258" s="16"/>
    </row>
    <row r="259" spans="2:8">
      <c r="B259" s="5"/>
      <c r="H259" s="16"/>
    </row>
    <row r="260" spans="2:8">
      <c r="B260" s="5"/>
      <c r="H260" s="16"/>
    </row>
    <row r="261" spans="2:8">
      <c r="B261" s="5"/>
      <c r="H261" s="16"/>
    </row>
    <row r="262" spans="2:8">
      <c r="B262" s="5"/>
      <c r="H262" s="16"/>
    </row>
    <row r="263" spans="2:8">
      <c r="B263" s="5"/>
      <c r="H263" s="16"/>
    </row>
    <row r="264" spans="2:8">
      <c r="B264" s="5"/>
      <c r="H264" s="16"/>
    </row>
    <row r="265" spans="2:8">
      <c r="B265" s="5"/>
      <c r="H265" s="16"/>
    </row>
    <row r="266" spans="2:8">
      <c r="B266" s="5"/>
      <c r="H266" s="16"/>
    </row>
    <row r="267" spans="2:8">
      <c r="B267" s="5"/>
      <c r="H267" s="16"/>
    </row>
    <row r="268" spans="2:8">
      <c r="B268" s="5"/>
      <c r="H268" s="16"/>
    </row>
    <row r="269" spans="2:8">
      <c r="B269" s="5"/>
      <c r="H269" s="16"/>
    </row>
    <row r="270" spans="2:8">
      <c r="B270" s="5"/>
      <c r="H270" s="16"/>
    </row>
    <row r="271" spans="2:8">
      <c r="B271" s="5"/>
      <c r="H271" s="16"/>
    </row>
    <row r="272" spans="2:8">
      <c r="B272" s="5"/>
      <c r="H272" s="16"/>
    </row>
    <row r="273" spans="2:8">
      <c r="B273" s="5"/>
      <c r="H273" s="16"/>
    </row>
    <row r="274" spans="2:8">
      <c r="B274" s="5"/>
      <c r="H274" s="16"/>
    </row>
    <row r="275" spans="2:8">
      <c r="B275" s="5"/>
      <c r="H275" s="16"/>
    </row>
    <row r="276" spans="2:8">
      <c r="B276" s="5"/>
      <c r="H276" s="16"/>
    </row>
    <row r="277" spans="2:8">
      <c r="B277" s="5"/>
      <c r="H277" s="16"/>
    </row>
    <row r="278" spans="2:8">
      <c r="B278" s="5"/>
      <c r="H278" s="16"/>
    </row>
    <row r="279" spans="2:8">
      <c r="B279" s="5"/>
      <c r="H279" s="16"/>
    </row>
    <row r="280" spans="2:8">
      <c r="B280" s="5"/>
      <c r="H280" s="16"/>
    </row>
    <row r="281" spans="2:8">
      <c r="B281" s="5"/>
      <c r="H281" s="16"/>
    </row>
    <row r="282" spans="2:8">
      <c r="B282" s="5"/>
      <c r="H282" s="16"/>
    </row>
    <row r="283" spans="2:8">
      <c r="B283" s="5"/>
      <c r="H283" s="16"/>
    </row>
    <row r="284" spans="2:8">
      <c r="B284" s="5"/>
      <c r="H284" s="16"/>
    </row>
    <row r="285" spans="2:8">
      <c r="B285" s="5"/>
      <c r="H285" s="16"/>
    </row>
    <row r="286" spans="2:8">
      <c r="B286" s="5"/>
      <c r="H286" s="16"/>
    </row>
    <row r="287" spans="2:8">
      <c r="B287" s="5"/>
      <c r="H287" s="16"/>
    </row>
    <row r="288" spans="2:8">
      <c r="B288" s="5"/>
      <c r="H288" s="16"/>
    </row>
    <row r="289" spans="2:8">
      <c r="B289" s="5"/>
      <c r="H289" s="16"/>
    </row>
    <row r="290" spans="2:8">
      <c r="B290" s="5"/>
      <c r="H290" s="16"/>
    </row>
    <row r="291" spans="2:8">
      <c r="B291" s="5"/>
      <c r="H291" s="16"/>
    </row>
    <row r="292" spans="2:8">
      <c r="B292" s="5"/>
      <c r="H292" s="16"/>
    </row>
    <row r="293" spans="2:8">
      <c r="B293" s="5"/>
      <c r="H293" s="16"/>
    </row>
    <row r="294" spans="2:8">
      <c r="B294" s="5"/>
      <c r="H294" s="16"/>
    </row>
    <row r="295" spans="2:8">
      <c r="B295" s="5"/>
      <c r="H295" s="16"/>
    </row>
    <row r="296" spans="2:8">
      <c r="B296" s="5"/>
      <c r="H296" s="16"/>
    </row>
    <row r="297" spans="2:8">
      <c r="B297" s="5"/>
      <c r="H297" s="16"/>
    </row>
    <row r="298" spans="2:8">
      <c r="B298" s="5"/>
      <c r="H298" s="16"/>
    </row>
    <row r="299" spans="2:8">
      <c r="B299" s="5"/>
      <c r="H299" s="16"/>
    </row>
    <row r="300" spans="2:8">
      <c r="B300" s="5"/>
      <c r="H300" s="16"/>
    </row>
    <row r="301" spans="2:8">
      <c r="B301" s="5"/>
      <c r="H301" s="16"/>
    </row>
    <row r="302" spans="2:8">
      <c r="B302" s="5"/>
      <c r="H302" s="16"/>
    </row>
    <row r="303" spans="2:8">
      <c r="B303" s="5"/>
      <c r="H303" s="16"/>
    </row>
    <row r="304" spans="2:8">
      <c r="B304" s="5"/>
      <c r="H304" s="16"/>
    </row>
    <row r="305" spans="2:8">
      <c r="B305" s="5"/>
      <c r="H305" s="16"/>
    </row>
    <row r="306" spans="2:8">
      <c r="B306" s="5"/>
      <c r="H306" s="16"/>
    </row>
    <row r="307" spans="2:8">
      <c r="B307" s="5"/>
      <c r="H307" s="16"/>
    </row>
    <row r="308" spans="2:8">
      <c r="B308" s="5"/>
      <c r="H308" s="16"/>
    </row>
    <row r="309" spans="2:8">
      <c r="B309" s="5"/>
      <c r="H309" s="16"/>
    </row>
    <row r="310" spans="2:8">
      <c r="B310" s="5"/>
      <c r="H310" s="16"/>
    </row>
    <row r="311" spans="2:8">
      <c r="B311" s="5"/>
      <c r="H311" s="16"/>
    </row>
    <row r="312" spans="2:8">
      <c r="B312" s="5"/>
      <c r="H312" s="16"/>
    </row>
    <row r="313" spans="2:8">
      <c r="B313" s="5"/>
      <c r="H313" s="16"/>
    </row>
    <row r="314" spans="2:8">
      <c r="B314" s="5"/>
      <c r="H314" s="16"/>
    </row>
    <row r="315" spans="2:8">
      <c r="B315" s="5"/>
      <c r="H315" s="16"/>
    </row>
    <row r="316" spans="2:8">
      <c r="B316" s="5"/>
      <c r="H316" s="16"/>
    </row>
    <row r="317" spans="2:8">
      <c r="B317" s="5"/>
      <c r="H317" s="16"/>
    </row>
    <row r="318" spans="2:8">
      <c r="B318" s="5"/>
      <c r="H318" s="16"/>
    </row>
    <row r="319" spans="2:8">
      <c r="B319" s="5"/>
      <c r="H319" s="16"/>
    </row>
    <row r="320" spans="2:8">
      <c r="B320" s="5"/>
      <c r="H320" s="16"/>
    </row>
    <row r="321" spans="2:8">
      <c r="B321" s="5"/>
      <c r="H321" s="16"/>
    </row>
    <row r="322" spans="2:8">
      <c r="B322" s="5"/>
      <c r="H322" s="16"/>
    </row>
    <row r="323" spans="2:8">
      <c r="B323" s="5"/>
      <c r="H323" s="16"/>
    </row>
    <row r="324" spans="2:8">
      <c r="B324" s="5"/>
      <c r="H324" s="16"/>
    </row>
    <row r="325" spans="2:8">
      <c r="B325" s="5"/>
      <c r="H325" s="16"/>
    </row>
    <row r="326" spans="2:8">
      <c r="B326" s="5"/>
      <c r="H326" s="16"/>
    </row>
    <row r="327" spans="2:8">
      <c r="B327" s="5"/>
      <c r="H327" s="16"/>
    </row>
    <row r="328" spans="2:8">
      <c r="B328" s="5"/>
      <c r="H328" s="16"/>
    </row>
    <row r="329" spans="2:8">
      <c r="B329" s="5"/>
      <c r="H329" s="16"/>
    </row>
    <row r="330" spans="2:8">
      <c r="B330" s="5"/>
      <c r="H330" s="16"/>
    </row>
    <row r="331" spans="2:8">
      <c r="B331" s="5"/>
      <c r="H331" s="16"/>
    </row>
    <row r="332" spans="2:8">
      <c r="B332" s="5"/>
      <c r="H332" s="16"/>
    </row>
    <row r="333" spans="2:8">
      <c r="B333" s="5"/>
      <c r="H333" s="16"/>
    </row>
    <row r="334" spans="2:8">
      <c r="B334" s="5"/>
      <c r="H334" s="16"/>
    </row>
    <row r="335" spans="2:8">
      <c r="B335" s="5"/>
      <c r="H335" s="16"/>
    </row>
    <row r="336" spans="2:8">
      <c r="B336" s="5"/>
      <c r="H336" s="16"/>
    </row>
    <row r="337" spans="2:8">
      <c r="B337" s="5"/>
      <c r="H337" s="16"/>
    </row>
    <row r="338" spans="2:8">
      <c r="B338" s="5"/>
      <c r="H338" s="16"/>
    </row>
    <row r="339" spans="2:8">
      <c r="B339" s="5"/>
      <c r="H339" s="16"/>
    </row>
    <row r="340" spans="2:8">
      <c r="B340" s="5"/>
      <c r="H340" s="16"/>
    </row>
    <row r="341" spans="2:8">
      <c r="B341" s="5"/>
      <c r="H341" s="16"/>
    </row>
    <row r="342" spans="2:8">
      <c r="B342" s="5"/>
      <c r="H342" s="16"/>
    </row>
    <row r="343" spans="2:8">
      <c r="B343" s="5"/>
      <c r="H343" s="16"/>
    </row>
    <row r="344" spans="2:8">
      <c r="B344" s="5"/>
      <c r="H344" s="16"/>
    </row>
    <row r="345" spans="2:8">
      <c r="B345" s="5"/>
      <c r="H345" s="16"/>
    </row>
    <row r="346" spans="2:8">
      <c r="B346" s="5"/>
      <c r="H346" s="16"/>
    </row>
    <row r="347" spans="2:8">
      <c r="B347" s="5"/>
      <c r="H347" s="16"/>
    </row>
    <row r="348" spans="2:8">
      <c r="B348" s="5"/>
      <c r="H348" s="16"/>
    </row>
    <row r="349" spans="2:8">
      <c r="B349" s="5"/>
      <c r="H349" s="16"/>
    </row>
    <row r="350" spans="2:8">
      <c r="B350" s="5"/>
      <c r="H350" s="16"/>
    </row>
    <row r="351" spans="2:8">
      <c r="B351" s="5"/>
      <c r="H351" s="16"/>
    </row>
    <row r="352" spans="2:8">
      <c r="B352" s="5"/>
      <c r="H352" s="16"/>
    </row>
    <row r="353" spans="2:8">
      <c r="B353" s="5"/>
      <c r="H353" s="16"/>
    </row>
    <row r="354" spans="2:8">
      <c r="B354" s="5"/>
      <c r="H354" s="16"/>
    </row>
    <row r="355" spans="2:8">
      <c r="B355" s="5"/>
      <c r="H355" s="16"/>
    </row>
    <row r="356" spans="2:8">
      <c r="B356" s="5"/>
      <c r="H356" s="16"/>
    </row>
    <row r="357" spans="2:8">
      <c r="B357" s="5"/>
      <c r="H357" s="16"/>
    </row>
    <row r="358" spans="2:8">
      <c r="B358" s="5"/>
      <c r="H358" s="16"/>
    </row>
    <row r="359" spans="2:8">
      <c r="B359" s="5"/>
      <c r="H359" s="16"/>
    </row>
    <row r="360" spans="2:8">
      <c r="B360" s="5"/>
      <c r="H360" s="16"/>
    </row>
    <row r="361" spans="2:8">
      <c r="B361" s="5"/>
      <c r="H361" s="16"/>
    </row>
    <row r="362" spans="2:8">
      <c r="B362" s="5"/>
      <c r="H362" s="16"/>
    </row>
    <row r="363" spans="2:8">
      <c r="B363" s="5"/>
      <c r="H363" s="16"/>
    </row>
    <row r="364" spans="2:8">
      <c r="B364" s="5"/>
      <c r="H364" s="16"/>
    </row>
    <row r="365" spans="2:8">
      <c r="B365" s="5"/>
      <c r="H365" s="16"/>
    </row>
    <row r="366" spans="2:8">
      <c r="B366" s="5"/>
      <c r="H366" s="16"/>
    </row>
    <row r="367" spans="2:8">
      <c r="B367" s="5"/>
      <c r="H367" s="16"/>
    </row>
    <row r="368" spans="2:8">
      <c r="B368" s="5"/>
      <c r="H368" s="16"/>
    </row>
    <row r="369" spans="2:8">
      <c r="B369" s="5"/>
      <c r="H369" s="16"/>
    </row>
    <row r="370" spans="2:8">
      <c r="B370" s="5"/>
      <c r="H370" s="16"/>
    </row>
    <row r="371" spans="2:8">
      <c r="B371" s="5"/>
      <c r="H371" s="16"/>
    </row>
    <row r="372" spans="2:8">
      <c r="B372" s="5"/>
      <c r="H372" s="16"/>
    </row>
    <row r="373" spans="2:8">
      <c r="B373" s="5"/>
      <c r="H373" s="16"/>
    </row>
    <row r="374" spans="2:8">
      <c r="B374" s="5"/>
      <c r="H374" s="16"/>
    </row>
    <row r="375" spans="2:8">
      <c r="B375" s="5"/>
      <c r="H375" s="16"/>
    </row>
    <row r="376" spans="2:8">
      <c r="B376" s="5"/>
      <c r="H376" s="16"/>
    </row>
    <row r="377" spans="2:8">
      <c r="B377" s="5"/>
      <c r="H377" s="16"/>
    </row>
    <row r="378" spans="2:8">
      <c r="B378" s="5"/>
      <c r="H378" s="16"/>
    </row>
    <row r="379" spans="2:8">
      <c r="B379" s="5"/>
      <c r="H379" s="16"/>
    </row>
    <row r="380" spans="2:8">
      <c r="B380" s="5"/>
      <c r="H380" s="16"/>
    </row>
    <row r="381" spans="2:8">
      <c r="B381" s="5"/>
      <c r="H381" s="16"/>
    </row>
    <row r="382" spans="2:8">
      <c r="B382" s="5"/>
      <c r="H382" s="16"/>
    </row>
    <row r="383" spans="2:8">
      <c r="B383" s="5"/>
      <c r="H383" s="16"/>
    </row>
    <row r="384" spans="2:8">
      <c r="B384" s="5"/>
      <c r="H384" s="16"/>
    </row>
    <row r="385" spans="2:8">
      <c r="B385" s="5"/>
      <c r="H385" s="16"/>
    </row>
    <row r="386" spans="2:8">
      <c r="B386" s="5"/>
      <c r="H386" s="16"/>
    </row>
    <row r="387" spans="2:8">
      <c r="B387" s="5"/>
      <c r="H387" s="16"/>
    </row>
    <row r="388" spans="2:8">
      <c r="B388" s="5"/>
      <c r="H388" s="16"/>
    </row>
    <row r="389" spans="2:8">
      <c r="B389" s="5"/>
      <c r="H389" s="16"/>
    </row>
    <row r="390" spans="2:8">
      <c r="B390" s="5"/>
      <c r="H390" s="16"/>
    </row>
    <row r="391" spans="2:8">
      <c r="B391" s="5"/>
      <c r="H391" s="16"/>
    </row>
    <row r="392" spans="2:8">
      <c r="B392" s="5"/>
      <c r="H392" s="16"/>
    </row>
    <row r="393" spans="2:8">
      <c r="B393" s="5"/>
      <c r="H393" s="16"/>
    </row>
    <row r="394" spans="2:8">
      <c r="B394" s="5"/>
      <c r="H394" s="16"/>
    </row>
    <row r="395" spans="2:8">
      <c r="B395" s="5"/>
      <c r="H395" s="16"/>
    </row>
    <row r="396" spans="2:8">
      <c r="B396" s="5"/>
      <c r="H396" s="16"/>
    </row>
    <row r="397" spans="2:8">
      <c r="B397" s="5"/>
      <c r="H397" s="16"/>
    </row>
    <row r="398" spans="2:8">
      <c r="B398" s="5"/>
      <c r="H398" s="16"/>
    </row>
    <row r="399" spans="2:8">
      <c r="B399" s="5"/>
      <c r="H399" s="16"/>
    </row>
    <row r="400" spans="2:8">
      <c r="B400" s="5"/>
      <c r="H400" s="16"/>
    </row>
    <row r="401" spans="2:8">
      <c r="B401" s="5"/>
      <c r="H401" s="16"/>
    </row>
    <row r="402" spans="2:8">
      <c r="B402" s="5"/>
      <c r="H402" s="16"/>
    </row>
    <row r="403" spans="2:8">
      <c r="B403" s="5"/>
      <c r="H403" s="16"/>
    </row>
    <row r="404" spans="2:8">
      <c r="B404" s="5"/>
      <c r="H404" s="16"/>
    </row>
    <row r="405" spans="2:8">
      <c r="B405" s="5"/>
      <c r="H405" s="16"/>
    </row>
    <row r="406" spans="2:8">
      <c r="B406" s="5"/>
      <c r="H406" s="16"/>
    </row>
    <row r="407" spans="2:8">
      <c r="B407" s="5"/>
      <c r="H407" s="16"/>
    </row>
    <row r="408" spans="2:8">
      <c r="B408" s="5"/>
      <c r="H408" s="16"/>
    </row>
    <row r="409" spans="2:8">
      <c r="B409" s="5"/>
      <c r="H409" s="16"/>
    </row>
    <row r="410" spans="2:8">
      <c r="B410" s="5"/>
      <c r="H410" s="16"/>
    </row>
    <row r="411" spans="2:8">
      <c r="B411" s="5"/>
      <c r="H411" s="16"/>
    </row>
    <row r="412" spans="2:8">
      <c r="B412" s="5"/>
      <c r="H412" s="16"/>
    </row>
    <row r="413" spans="2:8">
      <c r="B413" s="5"/>
      <c r="H413" s="16"/>
    </row>
    <row r="414" spans="2:8">
      <c r="B414" s="5"/>
      <c r="H414" s="16"/>
    </row>
    <row r="415" spans="2:8">
      <c r="B415" s="5"/>
      <c r="H415" s="16"/>
    </row>
    <row r="416" spans="2:8">
      <c r="B416" s="5"/>
      <c r="H416" s="16"/>
    </row>
    <row r="417" spans="2:8">
      <c r="B417" s="5"/>
      <c r="H417" s="16"/>
    </row>
    <row r="418" spans="2:8">
      <c r="B418" s="5"/>
      <c r="H418" s="16"/>
    </row>
    <row r="419" spans="2:8">
      <c r="B419" s="5"/>
      <c r="H419" s="16"/>
    </row>
    <row r="420" spans="2:8">
      <c r="B420" s="5"/>
      <c r="H420" s="16"/>
    </row>
    <row r="421" spans="2:8">
      <c r="B421" s="5"/>
      <c r="H421" s="16"/>
    </row>
    <row r="422" spans="2:8">
      <c r="B422" s="5"/>
      <c r="H422" s="16"/>
    </row>
    <row r="423" spans="2:8">
      <c r="B423" s="5"/>
      <c r="H423" s="16"/>
    </row>
    <row r="424" spans="2:8">
      <c r="B424" s="5"/>
      <c r="H424" s="16"/>
    </row>
    <row r="425" spans="2:8">
      <c r="B425" s="5"/>
      <c r="H425" s="16"/>
    </row>
    <row r="426" spans="2:8">
      <c r="B426" s="5"/>
      <c r="H426" s="16"/>
    </row>
    <row r="427" spans="2:8">
      <c r="B427" s="5"/>
      <c r="H427" s="16"/>
    </row>
    <row r="428" spans="2:8">
      <c r="B428" s="5"/>
      <c r="H428" s="16"/>
    </row>
    <row r="429" spans="2:8">
      <c r="B429" s="5"/>
      <c r="H429" s="16"/>
    </row>
    <row r="430" spans="2:8">
      <c r="B430" s="5"/>
      <c r="H430" s="16"/>
    </row>
    <row r="431" spans="2:8">
      <c r="B431" s="5"/>
      <c r="H431" s="16"/>
    </row>
    <row r="432" spans="2:8">
      <c r="B432" s="5"/>
      <c r="H432" s="16"/>
    </row>
    <row r="433" spans="2:8">
      <c r="B433" s="5"/>
      <c r="H433" s="16"/>
    </row>
    <row r="434" spans="2:8">
      <c r="B434" s="5"/>
      <c r="H434" s="16"/>
    </row>
    <row r="435" spans="2:8">
      <c r="B435" s="5"/>
      <c r="H435" s="16"/>
    </row>
    <row r="436" spans="2:8">
      <c r="B436" s="5"/>
      <c r="H436" s="16"/>
    </row>
    <row r="437" spans="2:8">
      <c r="B437" s="5"/>
      <c r="H437" s="16"/>
    </row>
    <row r="438" spans="2:8">
      <c r="B438" s="5"/>
      <c r="H438" s="16"/>
    </row>
    <row r="439" spans="2:8">
      <c r="B439" s="5"/>
      <c r="H439" s="16"/>
    </row>
    <row r="440" spans="2:8">
      <c r="B440" s="5"/>
      <c r="H440" s="16"/>
    </row>
    <row r="441" spans="2:8">
      <c r="B441" s="5"/>
      <c r="H441" s="16"/>
    </row>
    <row r="442" spans="2:8">
      <c r="B442" s="5"/>
      <c r="H442" s="16"/>
    </row>
    <row r="443" spans="2:8">
      <c r="B443" s="5"/>
      <c r="H443" s="16"/>
    </row>
    <row r="444" spans="2:8">
      <c r="B444" s="5"/>
      <c r="H444" s="16"/>
    </row>
    <row r="445" spans="2:8">
      <c r="B445" s="5"/>
      <c r="H445" s="16"/>
    </row>
    <row r="446" spans="2:8">
      <c r="B446" s="5"/>
      <c r="H446" s="16"/>
    </row>
    <row r="447" spans="2:8">
      <c r="B447" s="5"/>
      <c r="H447" s="16"/>
    </row>
    <row r="448" spans="2:8">
      <c r="B448" s="5"/>
      <c r="H448" s="16"/>
    </row>
    <row r="449" spans="2:8">
      <c r="B449" s="5"/>
      <c r="H449" s="16"/>
    </row>
    <row r="450" spans="2:8">
      <c r="B450" s="5"/>
      <c r="H450" s="16"/>
    </row>
    <row r="451" spans="2:8">
      <c r="B451" s="5"/>
      <c r="H451" s="16"/>
    </row>
    <row r="452" spans="2:8">
      <c r="B452" s="5"/>
      <c r="H452" s="16"/>
    </row>
    <row r="453" spans="2:8">
      <c r="B453" s="5"/>
      <c r="H453" s="16"/>
    </row>
    <row r="454" spans="2:8">
      <c r="B454" s="5"/>
      <c r="H454" s="16"/>
    </row>
    <row r="455" spans="2:8">
      <c r="B455" s="5"/>
      <c r="H455" s="16"/>
    </row>
    <row r="456" spans="2:8">
      <c r="B456" s="5"/>
      <c r="H456" s="16"/>
    </row>
    <row r="457" spans="2:8">
      <c r="B457" s="5"/>
      <c r="H457" s="16"/>
    </row>
    <row r="458" spans="2:8">
      <c r="B458" s="5"/>
      <c r="H458" s="16"/>
    </row>
    <row r="459" spans="2:8">
      <c r="B459" s="5"/>
      <c r="H459" s="16"/>
    </row>
    <row r="460" spans="2:8">
      <c r="B460" s="5"/>
      <c r="H460" s="16"/>
    </row>
    <row r="461" spans="2:8">
      <c r="B461" s="5"/>
      <c r="H461" s="16"/>
    </row>
    <row r="462" spans="2:8">
      <c r="B462" s="5"/>
      <c r="H462" s="16"/>
    </row>
    <row r="463" spans="2:8">
      <c r="B463" s="5"/>
      <c r="H463" s="16"/>
    </row>
    <row r="464" spans="2:8">
      <c r="B464" s="5"/>
      <c r="H464" s="16"/>
    </row>
    <row r="465" spans="2:8">
      <c r="B465" s="5"/>
      <c r="H465" s="16"/>
    </row>
    <row r="466" spans="2:8">
      <c r="B466" s="5"/>
      <c r="H466" s="16"/>
    </row>
    <row r="467" spans="2:8">
      <c r="B467" s="5"/>
      <c r="H467" s="16"/>
    </row>
    <row r="468" spans="2:8">
      <c r="B468" s="5"/>
      <c r="H468" s="16"/>
    </row>
    <row r="469" spans="2:8">
      <c r="B469" s="5"/>
      <c r="H469" s="16"/>
    </row>
    <row r="470" spans="2:8">
      <c r="B470" s="5"/>
      <c r="H470" s="16"/>
    </row>
    <row r="471" spans="2:8">
      <c r="B471" s="5"/>
      <c r="H471" s="16"/>
    </row>
    <row r="472" spans="2:8">
      <c r="B472" s="5"/>
      <c r="H472" s="16"/>
    </row>
    <row r="473" spans="2:8">
      <c r="B473" s="5"/>
      <c r="H473" s="16"/>
    </row>
    <row r="474" spans="2:8">
      <c r="B474" s="5"/>
      <c r="H474" s="16"/>
    </row>
    <row r="475" spans="2:8">
      <c r="B475" s="5"/>
      <c r="H475" s="16"/>
    </row>
    <row r="476" spans="2:8">
      <c r="B476" s="5"/>
      <c r="H476" s="16"/>
    </row>
    <row r="477" spans="2:8">
      <c r="B477" s="5"/>
      <c r="H477" s="16"/>
    </row>
    <row r="478" spans="2:8">
      <c r="B478" s="5"/>
      <c r="H478" s="16"/>
    </row>
    <row r="479" spans="2:8">
      <c r="B479" s="5"/>
      <c r="H479" s="16"/>
    </row>
    <row r="480" spans="2:8">
      <c r="B480" s="5"/>
      <c r="H480" s="16"/>
    </row>
    <row r="481" spans="2:8">
      <c r="B481" s="5"/>
      <c r="H481" s="16"/>
    </row>
    <row r="482" spans="2:8">
      <c r="B482" s="5"/>
      <c r="H482" s="16"/>
    </row>
    <row r="483" spans="2:8">
      <c r="B483" s="5"/>
      <c r="H483" s="16"/>
    </row>
    <row r="484" spans="2:8">
      <c r="B484" s="5"/>
      <c r="H484" s="16"/>
    </row>
    <row r="485" spans="2:8">
      <c r="B485" s="5"/>
      <c r="H485" s="16"/>
    </row>
    <row r="486" spans="2:8">
      <c r="B486" s="5"/>
      <c r="H486" s="16"/>
    </row>
    <row r="487" spans="2:8">
      <c r="B487" s="5"/>
      <c r="H487" s="16"/>
    </row>
    <row r="488" spans="2:8">
      <c r="B488" s="5"/>
      <c r="H488" s="16"/>
    </row>
    <row r="489" spans="2:8">
      <c r="B489" s="5"/>
      <c r="H489" s="16"/>
    </row>
    <row r="490" spans="2:8">
      <c r="B490" s="5"/>
      <c r="H490" s="16"/>
    </row>
    <row r="491" spans="2:8">
      <c r="B491" s="5"/>
      <c r="H491" s="16"/>
    </row>
    <row r="492" spans="2:8">
      <c r="B492" s="5"/>
      <c r="H492" s="16"/>
    </row>
    <row r="493" spans="2:8">
      <c r="B493" s="5"/>
      <c r="H493" s="16"/>
    </row>
    <row r="494" spans="2:8">
      <c r="B494" s="5"/>
      <c r="H494" s="16"/>
    </row>
    <row r="495" spans="2:8">
      <c r="B495" s="5"/>
      <c r="H495" s="16"/>
    </row>
    <row r="496" spans="2:8">
      <c r="B496" s="5"/>
      <c r="H496" s="16"/>
    </row>
    <row r="497" spans="2:8">
      <c r="B497" s="5"/>
      <c r="H497" s="16"/>
    </row>
    <row r="498" spans="2:8">
      <c r="B498" s="5"/>
      <c r="H498" s="16"/>
    </row>
    <row r="499" spans="2:8">
      <c r="B499" s="5"/>
      <c r="H499" s="16"/>
    </row>
    <row r="500" spans="2:8">
      <c r="B500" s="5"/>
      <c r="H500" s="16"/>
    </row>
    <row r="501" spans="2:8">
      <c r="B501" s="5"/>
      <c r="H501" s="16"/>
    </row>
    <row r="502" spans="2:8">
      <c r="B502" s="5"/>
      <c r="H502" s="16"/>
    </row>
    <row r="503" spans="2:8">
      <c r="B503" s="5"/>
      <c r="H503" s="16"/>
    </row>
    <row r="504" spans="2:8">
      <c r="B504" s="5"/>
      <c r="H504" s="16"/>
    </row>
    <row r="505" spans="2:8">
      <c r="B505" s="5"/>
      <c r="H505" s="16"/>
    </row>
    <row r="506" spans="2:8">
      <c r="B506" s="5"/>
      <c r="H506" s="16"/>
    </row>
    <row r="507" spans="2:8">
      <c r="B507" s="5"/>
      <c r="H507" s="16"/>
    </row>
    <row r="508" spans="2:8">
      <c r="B508" s="5"/>
      <c r="H508" s="16"/>
    </row>
    <row r="509" spans="2:8">
      <c r="B509" s="5"/>
      <c r="H509" s="16"/>
    </row>
    <row r="510" spans="2:8">
      <c r="B510" s="5"/>
      <c r="H510" s="16"/>
    </row>
    <row r="511" spans="2:8">
      <c r="B511" s="5"/>
      <c r="H511" s="16"/>
    </row>
    <row r="512" spans="2:8">
      <c r="B512" s="5"/>
      <c r="H512" s="16"/>
    </row>
    <row r="513" spans="2:8">
      <c r="B513" s="5"/>
      <c r="H513" s="16"/>
    </row>
    <row r="514" spans="2:8">
      <c r="B514" s="5"/>
      <c r="H514" s="16"/>
    </row>
    <row r="515" spans="2:8">
      <c r="B515" s="5"/>
      <c r="H515" s="16"/>
    </row>
    <row r="516" spans="2:8">
      <c r="B516" s="5"/>
      <c r="H516" s="16"/>
    </row>
    <row r="517" spans="2:8">
      <c r="B517" s="5"/>
      <c r="H517" s="16"/>
    </row>
    <row r="518" spans="2:8">
      <c r="B518" s="5"/>
      <c r="H518" s="16"/>
    </row>
    <row r="519" spans="2:8">
      <c r="B519" s="5"/>
      <c r="H519" s="16"/>
    </row>
    <row r="520" spans="2:8">
      <c r="B520" s="5"/>
      <c r="H520" s="16"/>
    </row>
    <row r="521" spans="2:8">
      <c r="B521" s="5"/>
      <c r="H521" s="16"/>
    </row>
    <row r="522" spans="2:8">
      <c r="B522" s="5"/>
      <c r="H522" s="16"/>
    </row>
    <row r="523" spans="2:8">
      <c r="B523" s="5"/>
      <c r="H523" s="16"/>
    </row>
    <row r="524" spans="2:8">
      <c r="B524" s="5"/>
      <c r="H524" s="16"/>
    </row>
    <row r="525" spans="2:8">
      <c r="B525" s="5"/>
      <c r="H525" s="16"/>
    </row>
    <row r="526" spans="2:8">
      <c r="B526" s="5"/>
      <c r="H526" s="16"/>
    </row>
    <row r="527" spans="2:8">
      <c r="B527" s="5"/>
      <c r="H527" s="16"/>
    </row>
    <row r="528" spans="2:8">
      <c r="B528" s="5"/>
      <c r="H528" s="16"/>
    </row>
    <row r="529" spans="2:8">
      <c r="B529" s="5"/>
      <c r="H529" s="16"/>
    </row>
    <row r="530" spans="2:8">
      <c r="B530" s="5"/>
      <c r="H530" s="16"/>
    </row>
    <row r="531" spans="2:8">
      <c r="B531" s="5"/>
      <c r="H531" s="16"/>
    </row>
    <row r="532" spans="2:8">
      <c r="B532" s="5"/>
      <c r="H532" s="16"/>
    </row>
    <row r="533" spans="2:8">
      <c r="B533" s="5"/>
      <c r="H533" s="16"/>
    </row>
    <row r="534" spans="2:8">
      <c r="B534" s="5"/>
      <c r="H534" s="16"/>
    </row>
    <row r="535" spans="2:8">
      <c r="B535" s="5"/>
      <c r="H535" s="16"/>
    </row>
    <row r="536" spans="2:8">
      <c r="B536" s="5"/>
      <c r="H536" s="16"/>
    </row>
    <row r="537" spans="2:8">
      <c r="B537" s="5"/>
      <c r="H537" s="16"/>
    </row>
    <row r="538" spans="2:8">
      <c r="B538" s="5"/>
      <c r="H538" s="16"/>
    </row>
    <row r="539" spans="2:8">
      <c r="B539" s="5"/>
      <c r="H539" s="16"/>
    </row>
    <row r="540" spans="2:8">
      <c r="B540" s="5"/>
      <c r="H540" s="16"/>
    </row>
    <row r="541" spans="2:8">
      <c r="B541" s="5"/>
      <c r="H541" s="16"/>
    </row>
    <row r="542" spans="2:8">
      <c r="B542" s="5"/>
      <c r="H542" s="16"/>
    </row>
    <row r="543" spans="2:8">
      <c r="B543" s="5"/>
      <c r="H543" s="16"/>
    </row>
    <row r="544" spans="2:8">
      <c r="B544" s="5"/>
      <c r="H544" s="16"/>
    </row>
    <row r="545" spans="2:8">
      <c r="B545" s="5"/>
      <c r="H545" s="16"/>
    </row>
    <row r="546" spans="2:8">
      <c r="B546" s="5"/>
      <c r="H546" s="16"/>
    </row>
    <row r="547" spans="2:8">
      <c r="B547" s="5"/>
      <c r="H547" s="16"/>
    </row>
    <row r="548" spans="2:8">
      <c r="B548" s="5"/>
      <c r="H548" s="16"/>
    </row>
    <row r="549" spans="2:8">
      <c r="B549" s="5"/>
      <c r="H549" s="16"/>
    </row>
    <row r="550" spans="2:8">
      <c r="B550" s="5"/>
      <c r="H550" s="16"/>
    </row>
    <row r="551" spans="2:8">
      <c r="B551" s="5"/>
      <c r="H551" s="16"/>
    </row>
    <row r="552" spans="2:8">
      <c r="B552" s="5"/>
      <c r="H552" s="16"/>
    </row>
    <row r="553" spans="2:8">
      <c r="B553" s="5"/>
      <c r="H553" s="16"/>
    </row>
    <row r="554" spans="2:8">
      <c r="B554" s="5"/>
      <c r="H554" s="16"/>
    </row>
    <row r="555" spans="2:8">
      <c r="B555" s="5"/>
      <c r="H555" s="16"/>
    </row>
    <row r="556" spans="2:8">
      <c r="B556" s="5"/>
      <c r="H556" s="16"/>
    </row>
    <row r="557" spans="2:8">
      <c r="B557" s="5"/>
      <c r="H557" s="16"/>
    </row>
    <row r="558" spans="2:8">
      <c r="B558" s="5"/>
      <c r="H558" s="16"/>
    </row>
    <row r="559" spans="2:8">
      <c r="B559" s="5"/>
      <c r="H559" s="16"/>
    </row>
    <row r="560" spans="2:8">
      <c r="B560" s="5"/>
      <c r="H560" s="16"/>
    </row>
    <row r="561" spans="2:8">
      <c r="B561" s="5"/>
      <c r="H561" s="16"/>
    </row>
    <row r="562" spans="2:8">
      <c r="B562" s="5"/>
      <c r="H562" s="16"/>
    </row>
    <row r="563" spans="2:8">
      <c r="B563" s="5"/>
      <c r="H563" s="16"/>
    </row>
    <row r="564" spans="2:8">
      <c r="B564" s="5"/>
      <c r="H564" s="16"/>
    </row>
    <row r="565" spans="2:8">
      <c r="B565" s="5"/>
      <c r="H565" s="16"/>
    </row>
    <row r="566" spans="2:8">
      <c r="B566" s="5"/>
      <c r="H566" s="16"/>
    </row>
    <row r="567" spans="2:8">
      <c r="B567" s="5"/>
      <c r="H567" s="16"/>
    </row>
    <row r="568" spans="2:8">
      <c r="B568" s="5"/>
      <c r="H568" s="16"/>
    </row>
    <row r="569" spans="2:8">
      <c r="B569" s="5"/>
      <c r="H569" s="16"/>
    </row>
    <row r="570" spans="2:8">
      <c r="B570" s="5"/>
      <c r="H570" s="16"/>
    </row>
    <row r="571" spans="2:8">
      <c r="B571" s="5"/>
      <c r="H571" s="16"/>
    </row>
    <row r="572" spans="2:8">
      <c r="B572" s="5"/>
      <c r="H572" s="16"/>
    </row>
    <row r="573" spans="2:8">
      <c r="B573" s="5"/>
      <c r="H573" s="16"/>
    </row>
    <row r="574" spans="2:8">
      <c r="B574" s="5"/>
      <c r="H574" s="16"/>
    </row>
    <row r="575" spans="2:8">
      <c r="B575" s="5"/>
      <c r="H575" s="16"/>
    </row>
    <row r="576" spans="2:8">
      <c r="B576" s="5"/>
      <c r="H576" s="16"/>
    </row>
    <row r="577" spans="2:8">
      <c r="B577" s="5"/>
      <c r="H577" s="16"/>
    </row>
    <row r="578" spans="2:8">
      <c r="B578" s="5"/>
      <c r="H578" s="16"/>
    </row>
    <row r="579" spans="2:8">
      <c r="B579" s="5"/>
      <c r="H579" s="16"/>
    </row>
    <row r="580" spans="2:8">
      <c r="B580" s="5"/>
      <c r="H580" s="16"/>
    </row>
    <row r="581" spans="2:8">
      <c r="B581" s="5"/>
      <c r="H581" s="16"/>
    </row>
    <row r="582" spans="2:8">
      <c r="B582" s="5"/>
      <c r="H582" s="16"/>
    </row>
    <row r="583" spans="2:8">
      <c r="B583" s="5"/>
      <c r="H583" s="16"/>
    </row>
    <row r="584" spans="2:8">
      <c r="B584" s="5"/>
      <c r="H584" s="16"/>
    </row>
    <row r="585" spans="2:8">
      <c r="B585" s="5"/>
      <c r="H585" s="16"/>
    </row>
    <row r="586" spans="2:8">
      <c r="B586" s="5"/>
      <c r="H586" s="16"/>
    </row>
    <row r="587" spans="2:8">
      <c r="B587" s="5"/>
      <c r="H587" s="16"/>
    </row>
    <row r="588" spans="2:8">
      <c r="B588" s="5"/>
      <c r="H588" s="16"/>
    </row>
    <row r="589" spans="2:8">
      <c r="B589" s="5"/>
      <c r="H589" s="16"/>
    </row>
    <row r="590" spans="2:8">
      <c r="B590" s="5"/>
      <c r="H590" s="16"/>
    </row>
    <row r="591" spans="2:8">
      <c r="B591" s="5"/>
      <c r="H591" s="16"/>
    </row>
    <row r="592" spans="2:8">
      <c r="B592" s="5"/>
      <c r="H592" s="16"/>
    </row>
    <row r="593" spans="2:8">
      <c r="B593" s="5"/>
      <c r="H593" s="16"/>
    </row>
    <row r="594" spans="2:8">
      <c r="B594" s="5"/>
      <c r="H594" s="16"/>
    </row>
    <row r="595" spans="2:8">
      <c r="B595" s="5"/>
      <c r="H595" s="16"/>
    </row>
    <row r="596" spans="2:8">
      <c r="B596" s="5"/>
      <c r="H596" s="16"/>
    </row>
    <row r="597" spans="2:8">
      <c r="B597" s="5"/>
      <c r="H597" s="16"/>
    </row>
    <row r="598" spans="2:8">
      <c r="B598" s="5"/>
      <c r="H598" s="16"/>
    </row>
    <row r="599" spans="2:8">
      <c r="B599" s="5"/>
      <c r="H599" s="16"/>
    </row>
    <row r="600" spans="2:8">
      <c r="B600" s="5"/>
      <c r="H600" s="16"/>
    </row>
    <row r="601" spans="2:8">
      <c r="B601" s="5"/>
      <c r="H601" s="16"/>
    </row>
    <row r="602" spans="2:8">
      <c r="B602" s="5"/>
      <c r="H602" s="16"/>
    </row>
    <row r="603" spans="2:8">
      <c r="B603" s="5"/>
      <c r="H603" s="16"/>
    </row>
    <row r="604" spans="2:8">
      <c r="B604" s="5"/>
      <c r="H604" s="16"/>
    </row>
    <row r="605" spans="2:8">
      <c r="B605" s="5"/>
      <c r="H605" s="16"/>
    </row>
    <row r="606" spans="2:8">
      <c r="B606" s="5"/>
      <c r="H606" s="16"/>
    </row>
    <row r="607" spans="2:8">
      <c r="B607" s="5"/>
      <c r="H607" s="16"/>
    </row>
    <row r="608" spans="2:8">
      <c r="B608" s="5"/>
      <c r="H608" s="16"/>
    </row>
    <row r="609" spans="2:8">
      <c r="B609" s="5"/>
      <c r="H609" s="16"/>
    </row>
    <row r="610" spans="2:8">
      <c r="B610" s="5"/>
      <c r="H610" s="16"/>
    </row>
    <row r="611" spans="2:8">
      <c r="B611" s="5"/>
      <c r="H611" s="16"/>
    </row>
    <row r="612" spans="2:8">
      <c r="B612" s="5"/>
      <c r="H612" s="16"/>
    </row>
    <row r="613" spans="2:8">
      <c r="B613" s="5"/>
      <c r="H613" s="16"/>
    </row>
    <row r="614" spans="2:8">
      <c r="B614" s="5"/>
      <c r="H614" s="16"/>
    </row>
    <row r="615" spans="2:8">
      <c r="B615" s="5"/>
      <c r="H615" s="16"/>
    </row>
    <row r="616" spans="2:8">
      <c r="B616" s="5"/>
      <c r="H616" s="16"/>
    </row>
    <row r="617" spans="2:8">
      <c r="B617" s="5"/>
      <c r="H617" s="16"/>
    </row>
    <row r="618" spans="2:8">
      <c r="B618" s="5"/>
      <c r="H618" s="16"/>
    </row>
    <row r="619" spans="2:8">
      <c r="B619" s="5"/>
      <c r="H619" s="16"/>
    </row>
    <row r="620" spans="2:8">
      <c r="B620" s="5"/>
      <c r="H620" s="16"/>
    </row>
    <row r="621" spans="2:8">
      <c r="B621" s="5"/>
      <c r="H621" s="16"/>
    </row>
    <row r="622" spans="2:8">
      <c r="B622" s="5"/>
      <c r="H622" s="16"/>
    </row>
    <row r="623" spans="2:8">
      <c r="B623" s="5"/>
      <c r="H623" s="16"/>
    </row>
    <row r="624" spans="2:8">
      <c r="B624" s="5"/>
      <c r="H624" s="16"/>
    </row>
    <row r="625" spans="2:8">
      <c r="B625" s="5"/>
      <c r="H625" s="16"/>
    </row>
    <row r="626" spans="2:8">
      <c r="B626" s="5"/>
      <c r="H626" s="16"/>
    </row>
    <row r="627" spans="2:8">
      <c r="B627" s="5"/>
      <c r="H627" s="16"/>
    </row>
    <row r="628" spans="2:8">
      <c r="B628" s="5"/>
      <c r="H628" s="16"/>
    </row>
    <row r="629" spans="2:8">
      <c r="B629" s="5"/>
      <c r="H629" s="16"/>
    </row>
    <row r="630" spans="2:8">
      <c r="B630" s="5"/>
      <c r="H630" s="16"/>
    </row>
    <row r="631" spans="2:8">
      <c r="B631" s="5"/>
      <c r="H631" s="16"/>
    </row>
    <row r="632" spans="2:8">
      <c r="B632" s="5"/>
      <c r="H632" s="16"/>
    </row>
    <row r="633" spans="2:8">
      <c r="B633" s="5"/>
      <c r="H633" s="16"/>
    </row>
    <row r="634" spans="2:8">
      <c r="B634" s="5"/>
      <c r="H634" s="16"/>
    </row>
    <row r="635" spans="2:8">
      <c r="B635" s="5"/>
      <c r="H635" s="16"/>
    </row>
    <row r="636" spans="2:8">
      <c r="B636" s="5"/>
      <c r="H636" s="16"/>
    </row>
    <row r="637" spans="2:8">
      <c r="B637" s="5"/>
      <c r="H637" s="16"/>
    </row>
    <row r="638" spans="2:8">
      <c r="B638" s="5"/>
      <c r="H638" s="16"/>
    </row>
    <row r="639" spans="2:8">
      <c r="B639" s="5"/>
      <c r="H639" s="16"/>
    </row>
    <row r="640" spans="2:8">
      <c r="B640" s="5"/>
      <c r="H640" s="16"/>
    </row>
    <row r="641" spans="2:8">
      <c r="B641" s="5"/>
      <c r="H641" s="16"/>
    </row>
    <row r="642" spans="2:8">
      <c r="B642" s="5"/>
      <c r="H642" s="16"/>
    </row>
    <row r="643" spans="2:8">
      <c r="B643" s="5"/>
      <c r="H643" s="16"/>
    </row>
    <row r="644" spans="2:8">
      <c r="B644" s="5"/>
      <c r="H644" s="16"/>
    </row>
    <row r="645" spans="2:8">
      <c r="B645" s="5"/>
      <c r="H645" s="16"/>
    </row>
    <row r="646" spans="2:8">
      <c r="B646" s="5"/>
      <c r="H646" s="16"/>
    </row>
    <row r="647" spans="2:8">
      <c r="B647" s="5"/>
      <c r="H647" s="16"/>
    </row>
    <row r="648" spans="2:8">
      <c r="B648" s="5"/>
      <c r="H648" s="16"/>
    </row>
    <row r="649" spans="2:8">
      <c r="B649" s="5"/>
      <c r="H649" s="16"/>
    </row>
    <row r="650" spans="2:8">
      <c r="B650" s="5"/>
      <c r="H650" s="16"/>
    </row>
    <row r="651" spans="2:8">
      <c r="B651" s="5"/>
      <c r="H651" s="16"/>
    </row>
    <row r="652" spans="2:8">
      <c r="B652" s="5"/>
      <c r="H652" s="16"/>
    </row>
    <row r="653" spans="2:8">
      <c r="B653" s="5"/>
      <c r="H653" s="16"/>
    </row>
    <row r="654" spans="2:8">
      <c r="B654" s="5"/>
      <c r="H654" s="16"/>
    </row>
    <row r="655" spans="2:8">
      <c r="B655" s="5"/>
      <c r="H655" s="16"/>
    </row>
    <row r="656" spans="2:8">
      <c r="B656" s="5"/>
      <c r="H656" s="16"/>
    </row>
    <row r="657" spans="2:8">
      <c r="B657" s="5"/>
      <c r="H657" s="16"/>
    </row>
    <row r="658" spans="2:8">
      <c r="B658" s="5"/>
      <c r="H658" s="16"/>
    </row>
    <row r="659" spans="2:8">
      <c r="B659" s="5"/>
      <c r="H659" s="16"/>
    </row>
    <row r="660" spans="2:8">
      <c r="B660" s="5"/>
      <c r="H660" s="16"/>
    </row>
    <row r="661" spans="2:8">
      <c r="B661" s="5"/>
      <c r="H661" s="16"/>
    </row>
    <row r="662" spans="2:8">
      <c r="B662" s="5"/>
      <c r="H662" s="16"/>
    </row>
    <row r="663" spans="2:8">
      <c r="B663" s="5"/>
      <c r="H663" s="16"/>
    </row>
    <row r="664" spans="2:8">
      <c r="B664" s="5"/>
      <c r="H664" s="16"/>
    </row>
    <row r="665" spans="2:8">
      <c r="B665" s="5"/>
      <c r="H665" s="16"/>
    </row>
    <row r="666" spans="2:8">
      <c r="B666" s="5"/>
      <c r="H666" s="16"/>
    </row>
    <row r="667" spans="2:8">
      <c r="B667" s="5"/>
      <c r="H667" s="16"/>
    </row>
    <row r="668" spans="2:8">
      <c r="B668" s="5"/>
      <c r="H668" s="16"/>
    </row>
    <row r="669" spans="2:8">
      <c r="B669" s="5"/>
      <c r="H669" s="16"/>
    </row>
    <row r="670" spans="2:8">
      <c r="B670" s="5"/>
      <c r="H670" s="16"/>
    </row>
    <row r="671" spans="2:8">
      <c r="B671" s="5"/>
      <c r="H671" s="16"/>
    </row>
    <row r="672" spans="2:8">
      <c r="B672" s="5"/>
      <c r="H672" s="16"/>
    </row>
    <row r="673" spans="2:8">
      <c r="B673" s="5"/>
      <c r="H673" s="16"/>
    </row>
    <row r="674" spans="2:8">
      <c r="B674" s="5"/>
      <c r="H674" s="16"/>
    </row>
    <row r="675" spans="2:8">
      <c r="B675" s="5"/>
      <c r="H675" s="16"/>
    </row>
    <row r="676" spans="2:8">
      <c r="B676" s="5"/>
      <c r="H676" s="16"/>
    </row>
    <row r="677" spans="2:8">
      <c r="B677" s="5"/>
      <c r="H677" s="16"/>
    </row>
    <row r="678" spans="2:8">
      <c r="B678" s="5"/>
      <c r="H678" s="16"/>
    </row>
    <row r="679" spans="2:8">
      <c r="B679" s="5"/>
      <c r="H679" s="16"/>
    </row>
    <row r="680" spans="2:8">
      <c r="B680" s="5"/>
      <c r="H680" s="16"/>
    </row>
    <row r="681" spans="2:8">
      <c r="B681" s="5"/>
      <c r="H681" s="16"/>
    </row>
    <row r="682" spans="2:8">
      <c r="B682" s="5"/>
      <c r="H682" s="16"/>
    </row>
    <row r="683" spans="2:8">
      <c r="B683" s="5"/>
      <c r="H683" s="16"/>
    </row>
    <row r="684" spans="2:8">
      <c r="B684" s="5"/>
      <c r="H684" s="16"/>
    </row>
    <row r="685" spans="2:8">
      <c r="B685" s="5"/>
      <c r="H685" s="16"/>
    </row>
    <row r="686" spans="2:8">
      <c r="B686" s="5"/>
      <c r="H686" s="16"/>
    </row>
    <row r="687" spans="2:8">
      <c r="B687" s="5"/>
      <c r="H687" s="16"/>
    </row>
    <row r="688" spans="2:8">
      <c r="B688" s="5"/>
      <c r="H688" s="16"/>
    </row>
    <row r="689" spans="2:8">
      <c r="B689" s="5"/>
      <c r="H689" s="16"/>
    </row>
    <row r="690" spans="2:8">
      <c r="B690" s="5"/>
      <c r="H690" s="16"/>
    </row>
    <row r="691" spans="2:8">
      <c r="B691" s="5"/>
      <c r="H691" s="16"/>
    </row>
    <row r="692" spans="2:8">
      <c r="B692" s="5"/>
      <c r="H692" s="16"/>
    </row>
    <row r="693" spans="2:8">
      <c r="B693" s="5"/>
      <c r="H693" s="16"/>
    </row>
    <row r="694" spans="2:8">
      <c r="B694" s="5"/>
      <c r="H694" s="16"/>
    </row>
    <row r="695" spans="2:8">
      <c r="B695" s="5"/>
      <c r="H695" s="16"/>
    </row>
    <row r="696" spans="2:8">
      <c r="B696" s="5"/>
      <c r="H696" s="16"/>
    </row>
    <row r="697" spans="2:8">
      <c r="B697" s="5"/>
      <c r="H697" s="16"/>
    </row>
    <row r="698" spans="2:8">
      <c r="B698" s="5"/>
      <c r="H698" s="16"/>
    </row>
    <row r="699" spans="2:8">
      <c r="B699" s="5"/>
      <c r="H699" s="16"/>
    </row>
    <row r="700" spans="2:8">
      <c r="B700" s="5"/>
      <c r="H700" s="16"/>
    </row>
    <row r="701" spans="2:8">
      <c r="B701" s="5"/>
      <c r="H701" s="16"/>
    </row>
    <row r="702" spans="2:8">
      <c r="B702" s="5"/>
      <c r="H702" s="16"/>
    </row>
    <row r="703" spans="2:8">
      <c r="B703" s="5"/>
      <c r="H703" s="16"/>
    </row>
    <row r="704" spans="2:8">
      <c r="B704" s="5"/>
      <c r="H704" s="16"/>
    </row>
    <row r="705" spans="2:8">
      <c r="B705" s="5"/>
      <c r="H705" s="16"/>
    </row>
    <row r="706" spans="2:8">
      <c r="B706" s="5"/>
      <c r="H706" s="16"/>
    </row>
    <row r="707" spans="2:8">
      <c r="B707" s="5"/>
      <c r="H707" s="16"/>
    </row>
    <row r="708" spans="2:8">
      <c r="B708" s="5"/>
      <c r="H708" s="16"/>
    </row>
    <row r="709" spans="2:8">
      <c r="B709" s="5"/>
      <c r="H709" s="16"/>
    </row>
    <row r="710" spans="2:8">
      <c r="B710" s="5"/>
      <c r="H710" s="16"/>
    </row>
    <row r="711" spans="2:8">
      <c r="B711" s="5"/>
      <c r="H711" s="16"/>
    </row>
    <row r="712" spans="2:8">
      <c r="B712" s="5"/>
      <c r="H712" s="16"/>
    </row>
    <row r="713" spans="2:8">
      <c r="B713" s="5"/>
      <c r="H713" s="16"/>
    </row>
    <row r="714" spans="2:8">
      <c r="B714" s="5"/>
      <c r="H714" s="16"/>
    </row>
    <row r="715" spans="2:8">
      <c r="B715" s="5"/>
      <c r="H715" s="16"/>
    </row>
    <row r="716" spans="2:8">
      <c r="B716" s="5"/>
      <c r="H716" s="16"/>
    </row>
    <row r="717" spans="2:8">
      <c r="B717" s="5"/>
      <c r="H717" s="16"/>
    </row>
    <row r="718" spans="2:8">
      <c r="B718" s="5"/>
      <c r="H718" s="16"/>
    </row>
    <row r="719" spans="2:8">
      <c r="B719" s="5"/>
      <c r="H719" s="16"/>
    </row>
    <row r="720" spans="2:8">
      <c r="B720" s="5"/>
      <c r="H720" s="16"/>
    </row>
    <row r="721" spans="2:8">
      <c r="B721" s="5"/>
      <c r="H721" s="16"/>
    </row>
    <row r="722" spans="2:8">
      <c r="B722" s="5"/>
      <c r="H722" s="16"/>
    </row>
    <row r="723" spans="2:8">
      <c r="B723" s="5"/>
      <c r="H723" s="16"/>
    </row>
    <row r="724" spans="2:8">
      <c r="B724" s="5"/>
      <c r="H724" s="16"/>
    </row>
    <row r="725" spans="2:8">
      <c r="B725" s="5"/>
      <c r="H725" s="16"/>
    </row>
    <row r="726" spans="2:8">
      <c r="B726" s="5"/>
      <c r="H726" s="16"/>
    </row>
    <row r="727" spans="2:8">
      <c r="B727" s="5"/>
      <c r="H727" s="16"/>
    </row>
    <row r="728" spans="2:8">
      <c r="B728" s="5"/>
      <c r="H728" s="16"/>
    </row>
    <row r="729" spans="2:8">
      <c r="B729" s="5"/>
      <c r="H729" s="16"/>
    </row>
    <row r="730" spans="2:8">
      <c r="B730" s="5"/>
      <c r="H730" s="16"/>
    </row>
    <row r="731" spans="2:8">
      <c r="B731" s="5"/>
      <c r="H731" s="16"/>
    </row>
    <row r="732" spans="2:8">
      <c r="B732" s="5"/>
      <c r="H732" s="16"/>
    </row>
    <row r="733" spans="2:8">
      <c r="B733" s="5"/>
      <c r="H733" s="16"/>
    </row>
    <row r="734" spans="2:8">
      <c r="B734" s="5"/>
      <c r="H734" s="16"/>
    </row>
    <row r="735" spans="2:8">
      <c r="B735" s="5"/>
      <c r="H735" s="16"/>
    </row>
    <row r="736" spans="2:8">
      <c r="B736" s="5"/>
      <c r="H736" s="16"/>
    </row>
    <row r="737" spans="2:8">
      <c r="B737" s="5"/>
      <c r="H737" s="16"/>
    </row>
    <row r="738" spans="2:8">
      <c r="B738" s="5"/>
      <c r="H738" s="16"/>
    </row>
    <row r="739" spans="2:8">
      <c r="B739" s="5"/>
      <c r="H739" s="16"/>
    </row>
    <row r="740" spans="2:8">
      <c r="B740" s="5"/>
      <c r="H740" s="16"/>
    </row>
    <row r="741" spans="2:8">
      <c r="B741" s="5"/>
      <c r="H741" s="16"/>
    </row>
    <row r="742" spans="2:8">
      <c r="B742" s="5"/>
      <c r="H742" s="16"/>
    </row>
    <row r="743" spans="2:8">
      <c r="B743" s="5"/>
      <c r="H743" s="16"/>
    </row>
    <row r="744" spans="2:8">
      <c r="B744" s="5"/>
      <c r="H744" s="16"/>
    </row>
    <row r="745" spans="2:8">
      <c r="B745" s="5"/>
      <c r="H745" s="16"/>
    </row>
    <row r="746" spans="2:8">
      <c r="B746" s="5"/>
      <c r="H746" s="16"/>
    </row>
    <row r="747" spans="2:8">
      <c r="B747" s="5"/>
      <c r="H747" s="16"/>
    </row>
    <row r="748" spans="2:8">
      <c r="B748" s="5"/>
      <c r="H748" s="16"/>
    </row>
    <row r="749" spans="2:8">
      <c r="B749" s="5"/>
      <c r="H749" s="16"/>
    </row>
    <row r="750" spans="2:8">
      <c r="B750" s="5"/>
      <c r="H750" s="16"/>
    </row>
    <row r="751" spans="2:8">
      <c r="B751" s="5"/>
      <c r="H751" s="16"/>
    </row>
    <row r="752" spans="2:8">
      <c r="B752" s="5"/>
      <c r="H752" s="16"/>
    </row>
    <row r="753" spans="2:8">
      <c r="B753" s="5"/>
      <c r="H753" s="16"/>
    </row>
    <row r="754" spans="2:8">
      <c r="B754" s="5"/>
      <c r="H754" s="16"/>
    </row>
    <row r="755" spans="2:8">
      <c r="B755" s="5"/>
      <c r="H755" s="16"/>
    </row>
    <row r="756" spans="2:8">
      <c r="B756" s="5"/>
      <c r="H756" s="16"/>
    </row>
    <row r="757" spans="2:8">
      <c r="B757" s="5"/>
      <c r="H757" s="16"/>
    </row>
    <row r="758" spans="2:8">
      <c r="B758" s="5"/>
      <c r="H758" s="16"/>
    </row>
    <row r="759" spans="2:8">
      <c r="B759" s="5"/>
      <c r="H759" s="16"/>
    </row>
    <row r="760" spans="2:8">
      <c r="B760" s="5"/>
      <c r="H760" s="16"/>
    </row>
    <row r="761" spans="2:8">
      <c r="B761" s="5"/>
      <c r="H761" s="16"/>
    </row>
    <row r="762" spans="2:8">
      <c r="B762" s="5"/>
      <c r="H762" s="16"/>
    </row>
    <row r="763" spans="2:8">
      <c r="B763" s="5"/>
      <c r="H763" s="16"/>
    </row>
    <row r="764" spans="2:8">
      <c r="B764" s="5"/>
      <c r="H764" s="16"/>
    </row>
    <row r="765" spans="2:8">
      <c r="B765" s="5"/>
      <c r="H765" s="16"/>
    </row>
    <row r="766" spans="2:8">
      <c r="B766" s="5"/>
      <c r="H766" s="16"/>
    </row>
    <row r="767" spans="2:8">
      <c r="B767" s="5"/>
      <c r="H767" s="16"/>
    </row>
    <row r="768" spans="2:8">
      <c r="B768" s="5"/>
      <c r="H768" s="16"/>
    </row>
    <row r="769" spans="2:8">
      <c r="B769" s="5"/>
      <c r="H769" s="16"/>
    </row>
    <row r="770" spans="2:8">
      <c r="B770" s="5"/>
      <c r="H770" s="16"/>
    </row>
    <row r="771" spans="2:8">
      <c r="B771" s="5"/>
      <c r="H771" s="16"/>
    </row>
    <row r="772" spans="2:8">
      <c r="B772" s="5"/>
      <c r="H772" s="16"/>
    </row>
    <row r="773" spans="2:8">
      <c r="B773" s="5"/>
      <c r="H773" s="16"/>
    </row>
    <row r="774" spans="2:8">
      <c r="B774" s="5"/>
      <c r="H774" s="16"/>
    </row>
    <row r="775" spans="2:8">
      <c r="B775" s="5"/>
      <c r="H775" s="16"/>
    </row>
    <row r="776" spans="2:8">
      <c r="B776" s="5"/>
      <c r="H776" s="16"/>
    </row>
    <row r="777" spans="2:8">
      <c r="B777" s="5"/>
      <c r="H777" s="16"/>
    </row>
    <row r="778" spans="2:8">
      <c r="B778" s="5"/>
      <c r="H778" s="16"/>
    </row>
    <row r="779" spans="2:8">
      <c r="B779" s="5"/>
      <c r="H779" s="16"/>
    </row>
    <row r="780" spans="2:8">
      <c r="B780" s="5"/>
      <c r="H780" s="16"/>
    </row>
    <row r="781" spans="2:8">
      <c r="B781" s="5"/>
      <c r="H781" s="16"/>
    </row>
    <row r="782" spans="2:8">
      <c r="B782" s="5"/>
      <c r="H782" s="16"/>
    </row>
    <row r="783" spans="2:8">
      <c r="B783" s="5"/>
      <c r="H783" s="16"/>
    </row>
    <row r="784" spans="2:8">
      <c r="B784" s="5"/>
      <c r="H784" s="16"/>
    </row>
    <row r="785" spans="2:8">
      <c r="B785" s="5"/>
      <c r="H785" s="16"/>
    </row>
    <row r="786" spans="2:8">
      <c r="B786" s="5"/>
      <c r="H786" s="16"/>
    </row>
    <row r="787" spans="2:8">
      <c r="B787" s="5"/>
      <c r="H787" s="16"/>
    </row>
    <row r="788" spans="2:8">
      <c r="B788" s="5"/>
      <c r="H788" s="16"/>
    </row>
    <row r="789" spans="2:8">
      <c r="B789" s="5"/>
      <c r="H789" s="16"/>
    </row>
    <row r="790" spans="2:8">
      <c r="B790" s="5"/>
      <c r="H790" s="16"/>
    </row>
    <row r="791" spans="2:8">
      <c r="B791" s="5"/>
      <c r="H791" s="16"/>
    </row>
    <row r="792" spans="2:8">
      <c r="B792" s="5"/>
      <c r="H792" s="16"/>
    </row>
    <row r="793" spans="2:8">
      <c r="B793" s="5"/>
      <c r="H793" s="16"/>
    </row>
    <row r="794" spans="2:8">
      <c r="B794" s="5"/>
      <c r="H794" s="16"/>
    </row>
    <row r="795" spans="2:8">
      <c r="B795" s="5"/>
      <c r="H795" s="16"/>
    </row>
    <row r="796" spans="2:8">
      <c r="B796" s="5"/>
      <c r="H796" s="16"/>
    </row>
    <row r="797" spans="2:8">
      <c r="B797" s="5"/>
      <c r="H797" s="16"/>
    </row>
    <row r="798" spans="2:8">
      <c r="B798" s="5"/>
      <c r="H798" s="16"/>
    </row>
    <row r="799" spans="2:8">
      <c r="B799" s="5"/>
      <c r="H799" s="16"/>
    </row>
    <row r="800" spans="2:8">
      <c r="B800" s="5"/>
      <c r="H800" s="16"/>
    </row>
    <row r="801" spans="2:8">
      <c r="B801" s="5"/>
      <c r="H801" s="16"/>
    </row>
    <row r="802" spans="2:8">
      <c r="B802" s="5"/>
      <c r="H802" s="16"/>
    </row>
    <row r="803" spans="2:8">
      <c r="B803" s="5"/>
      <c r="H803" s="16"/>
    </row>
    <row r="804" spans="2:8">
      <c r="B804" s="5"/>
      <c r="H804" s="16"/>
    </row>
    <row r="805" spans="2:8">
      <c r="B805" s="5"/>
      <c r="H805" s="16"/>
    </row>
    <row r="806" spans="2:8">
      <c r="B806" s="5"/>
      <c r="H806" s="16"/>
    </row>
    <row r="807" spans="2:8">
      <c r="B807" s="5"/>
      <c r="H807" s="16"/>
    </row>
    <row r="808" spans="2:8">
      <c r="B808" s="5"/>
      <c r="H808" s="16"/>
    </row>
    <row r="809" spans="2:8">
      <c r="B809" s="5"/>
      <c r="H809" s="16"/>
    </row>
    <row r="810" spans="2:8">
      <c r="B810" s="5"/>
      <c r="H810" s="16"/>
    </row>
    <row r="811" spans="2:8">
      <c r="B811" s="5"/>
      <c r="H811" s="16"/>
    </row>
    <row r="812" spans="2:8">
      <c r="B812" s="5"/>
      <c r="H812" s="16"/>
    </row>
    <row r="813" spans="2:8">
      <c r="B813" s="5"/>
      <c r="H813" s="16"/>
    </row>
    <row r="814" spans="2:8">
      <c r="B814" s="5"/>
      <c r="H814" s="16"/>
    </row>
    <row r="815" spans="2:8">
      <c r="B815" s="5"/>
      <c r="H815" s="16"/>
    </row>
    <row r="816" spans="2:8">
      <c r="B816" s="5"/>
      <c r="H816" s="16"/>
    </row>
    <row r="817" spans="2:8">
      <c r="B817" s="5"/>
      <c r="H817" s="16"/>
    </row>
    <row r="818" spans="2:8">
      <c r="B818" s="5"/>
      <c r="H818" s="16"/>
    </row>
    <row r="819" spans="2:8">
      <c r="B819" s="5"/>
      <c r="H819" s="16"/>
    </row>
    <row r="820" spans="2:8">
      <c r="B820" s="5"/>
      <c r="H820" s="16"/>
    </row>
    <row r="821" spans="2:8">
      <c r="B821" s="5"/>
      <c r="H821" s="16"/>
    </row>
    <row r="822" spans="2:8">
      <c r="B822" s="5"/>
      <c r="H822" s="16"/>
    </row>
    <row r="823" spans="2:8">
      <c r="B823" s="5"/>
      <c r="H823" s="16"/>
    </row>
    <row r="824" spans="2:8">
      <c r="B824" s="5"/>
      <c r="H824" s="16"/>
    </row>
    <row r="825" spans="2:8">
      <c r="B825" s="5"/>
      <c r="H825" s="16"/>
    </row>
    <row r="826" spans="2:8">
      <c r="B826" s="5"/>
      <c r="H826" s="16"/>
    </row>
    <row r="827" spans="2:8">
      <c r="B827" s="5"/>
      <c r="H827" s="16"/>
    </row>
    <row r="828" spans="2:8">
      <c r="B828" s="5"/>
      <c r="H828" s="16"/>
    </row>
    <row r="829" spans="2:8">
      <c r="B829" s="5"/>
      <c r="H829" s="16"/>
    </row>
    <row r="830" spans="2:8">
      <c r="B830" s="5"/>
      <c r="H830" s="16"/>
    </row>
    <row r="831" spans="2:8">
      <c r="B831" s="5"/>
      <c r="H831" s="16"/>
    </row>
    <row r="832" spans="2:8">
      <c r="B832" s="5"/>
      <c r="H832" s="16"/>
    </row>
    <row r="833" spans="2:8">
      <c r="B833" s="5"/>
      <c r="H833" s="16"/>
    </row>
    <row r="834" spans="2:8">
      <c r="B834" s="5"/>
      <c r="H834" s="16"/>
    </row>
    <row r="835" spans="2:8">
      <c r="B835" s="5"/>
      <c r="H835" s="16"/>
    </row>
    <row r="836" spans="2:8">
      <c r="B836" s="5"/>
      <c r="H836" s="16"/>
    </row>
    <row r="837" spans="2:8">
      <c r="B837" s="5"/>
      <c r="H837" s="16"/>
    </row>
    <row r="838" spans="2:8">
      <c r="B838" s="5"/>
      <c r="H838" s="16"/>
    </row>
    <row r="839" spans="2:8">
      <c r="B839" s="5"/>
      <c r="H839" s="16"/>
    </row>
    <row r="840" spans="2:8">
      <c r="B840" s="5"/>
      <c r="H840" s="16"/>
    </row>
    <row r="841" spans="2:8">
      <c r="B841" s="5"/>
      <c r="H841" s="16"/>
    </row>
    <row r="842" spans="2:8">
      <c r="B842" s="5"/>
      <c r="H842" s="16"/>
    </row>
    <row r="843" spans="2:8">
      <c r="B843" s="5"/>
      <c r="H843" s="16"/>
    </row>
    <row r="844" spans="2:8">
      <c r="B844" s="5"/>
      <c r="H844" s="16"/>
    </row>
    <row r="845" spans="2:8">
      <c r="B845" s="5"/>
      <c r="H845" s="16"/>
    </row>
    <row r="846" spans="2:8">
      <c r="B846" s="5"/>
      <c r="H846" s="16"/>
    </row>
    <row r="847" spans="2:8">
      <c r="B847" s="5"/>
      <c r="H847" s="16"/>
    </row>
    <row r="848" spans="2:8">
      <c r="B848" s="5"/>
      <c r="H848" s="16"/>
    </row>
    <row r="849" spans="2:8">
      <c r="B849" s="5"/>
      <c r="H849" s="16"/>
    </row>
    <row r="850" spans="2:8">
      <c r="B850" s="5"/>
      <c r="H850" s="16"/>
    </row>
    <row r="851" spans="2:8">
      <c r="B851" s="5"/>
      <c r="H851" s="16"/>
    </row>
    <row r="852" spans="2:8">
      <c r="B852" s="5"/>
      <c r="H852" s="16"/>
    </row>
    <row r="853" spans="2:8">
      <c r="B853" s="5"/>
      <c r="H853" s="16"/>
    </row>
    <row r="854" spans="2:8">
      <c r="B854" s="5"/>
      <c r="H854" s="16"/>
    </row>
    <row r="855" spans="2:8">
      <c r="B855" s="5"/>
      <c r="H855" s="16"/>
    </row>
    <row r="856" spans="2:8">
      <c r="B856" s="5"/>
      <c r="H856" s="16"/>
    </row>
    <row r="857" spans="2:8">
      <c r="B857" s="5"/>
      <c r="H857" s="16"/>
    </row>
    <row r="858" spans="2:8">
      <c r="B858" s="5"/>
      <c r="H858" s="16"/>
    </row>
    <row r="859" spans="2:8">
      <c r="B859" s="5"/>
      <c r="H859" s="16"/>
    </row>
    <row r="860" spans="2:8">
      <c r="B860" s="5"/>
      <c r="H860" s="16"/>
    </row>
    <row r="861" spans="2:8">
      <c r="B861" s="5"/>
      <c r="H861" s="16"/>
    </row>
    <row r="862" spans="2:8">
      <c r="B862" s="5"/>
      <c r="H862" s="16"/>
    </row>
    <row r="863" spans="2:8">
      <c r="B863" s="5"/>
      <c r="H863" s="16"/>
    </row>
    <row r="864" spans="2:8">
      <c r="B864" s="5"/>
      <c r="H864" s="16"/>
    </row>
    <row r="865" spans="2:8">
      <c r="B865" s="5"/>
      <c r="H865" s="16"/>
    </row>
    <row r="866" spans="2:8">
      <c r="B866" s="5"/>
      <c r="H866" s="16"/>
    </row>
    <row r="867" spans="2:8">
      <c r="B867" s="5"/>
      <c r="H867" s="16"/>
    </row>
    <row r="868" spans="2:8">
      <c r="B868" s="5"/>
      <c r="H868" s="16"/>
    </row>
    <row r="869" spans="2:8">
      <c r="B869" s="5"/>
      <c r="H869" s="16"/>
    </row>
    <row r="870" spans="2:8">
      <c r="B870" s="5"/>
      <c r="H870" s="16"/>
    </row>
    <row r="871" spans="2:8">
      <c r="B871" s="5"/>
      <c r="H871" s="16"/>
    </row>
    <row r="872" spans="2:8">
      <c r="B872" s="5"/>
      <c r="H872" s="16"/>
    </row>
    <row r="873" spans="2:8">
      <c r="B873" s="5"/>
      <c r="H873" s="16"/>
    </row>
    <row r="874" spans="2:8">
      <c r="B874" s="5"/>
      <c r="H874" s="16"/>
    </row>
    <row r="875" spans="2:8">
      <c r="B875" s="5"/>
      <c r="H875" s="16"/>
    </row>
    <row r="876" spans="2:8">
      <c r="B876" s="5"/>
      <c r="H876" s="16"/>
    </row>
    <row r="877" spans="2:8">
      <c r="B877" s="5"/>
      <c r="H877" s="16"/>
    </row>
    <row r="878" spans="2:8">
      <c r="B878" s="5"/>
      <c r="H878" s="16"/>
    </row>
    <row r="879" spans="2:8">
      <c r="B879" s="5"/>
      <c r="H879" s="16"/>
    </row>
    <row r="880" spans="2:8">
      <c r="B880" s="5"/>
      <c r="H880" s="16"/>
    </row>
    <row r="881" spans="2:8">
      <c r="B881" s="5"/>
      <c r="H881" s="16"/>
    </row>
    <row r="882" spans="2:8">
      <c r="B882" s="5"/>
      <c r="H882" s="16"/>
    </row>
    <row r="883" spans="2:8">
      <c r="B883" s="5"/>
      <c r="H883" s="16"/>
    </row>
    <row r="884" spans="2:8">
      <c r="B884" s="5"/>
      <c r="H884" s="16"/>
    </row>
    <row r="885" spans="2:8">
      <c r="B885" s="5"/>
      <c r="H885" s="16"/>
    </row>
    <row r="886" spans="2:8">
      <c r="B886" s="5"/>
      <c r="H886" s="16"/>
    </row>
    <row r="887" spans="2:8">
      <c r="B887" s="5"/>
      <c r="H887" s="16"/>
    </row>
    <row r="888" spans="2:8">
      <c r="B888" s="5"/>
      <c r="H888" s="16"/>
    </row>
    <row r="889" spans="2:8">
      <c r="B889" s="5"/>
      <c r="H889" s="16"/>
    </row>
    <row r="890" spans="2:8">
      <c r="B890" s="5"/>
      <c r="H890" s="16"/>
    </row>
    <row r="891" spans="2:8">
      <c r="B891" s="5"/>
      <c r="H891" s="16"/>
    </row>
    <row r="892" spans="2:8">
      <c r="B892" s="5"/>
      <c r="H892" s="16"/>
    </row>
  </sheetData>
  <mergeCells count="27">
    <mergeCell ref="C43:F43"/>
    <mergeCell ref="G43:H43"/>
    <mergeCell ref="A4:H4"/>
    <mergeCell ref="A10:F10"/>
    <mergeCell ref="A17:F17"/>
    <mergeCell ref="A23:F23"/>
    <mergeCell ref="A29:F29"/>
    <mergeCell ref="A35:F35"/>
    <mergeCell ref="A38:F38"/>
    <mergeCell ref="C41:F41"/>
    <mergeCell ref="G41:H41"/>
    <mergeCell ref="C42:F42"/>
    <mergeCell ref="G42:H42"/>
    <mergeCell ref="C44:F44"/>
    <mergeCell ref="G44:H44"/>
    <mergeCell ref="C45:F45"/>
    <mergeCell ref="G45:H45"/>
    <mergeCell ref="C46:F46"/>
    <mergeCell ref="G46:H46"/>
    <mergeCell ref="C50:F50"/>
    <mergeCell ref="G50:H50"/>
    <mergeCell ref="C47:F47"/>
    <mergeCell ref="G47:H47"/>
    <mergeCell ref="C48:F48"/>
    <mergeCell ref="G48:H48"/>
    <mergeCell ref="C49:F49"/>
    <mergeCell ref="G49:H49"/>
  </mergeCells>
  <phoneticPr fontId="24" type="noConversion"/>
  <dataValidations count="1">
    <dataValidation type="list" allowBlank="1" showInputMessage="1" showErrorMessage="1" sqref="B42:B48" xr:uid="{00000000-0002-0000-0F00-000000000000}">
      <formula1>$L$41:$L$45</formula1>
    </dataValidation>
  </dataValidation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L891"/>
  <sheetViews>
    <sheetView showZeros="0" zoomScale="65" zoomScaleNormal="65" workbookViewId="0">
      <selection activeCell="A4" sqref="A4:H4"/>
    </sheetView>
  </sheetViews>
  <sheetFormatPr defaultColWidth="10.875" defaultRowHeight="18.95"/>
  <cols>
    <col min="1" max="1" width="35.625" customWidth="1"/>
    <col min="2" max="2" width="14.625" style="16" customWidth="1"/>
    <col min="3" max="7" width="15.875" style="5" customWidth="1"/>
    <col min="8" max="8" width="15.875" style="17" customWidth="1"/>
    <col min="9" max="9" width="10.875" style="5"/>
    <col min="10" max="12" width="0" style="5" hidden="1" customWidth="1"/>
    <col min="13" max="16384" width="10.875" style="5"/>
  </cols>
  <sheetData>
    <row r="1" spans="1:10" customFormat="1" ht="15.95">
      <c r="A1" s="41"/>
      <c r="B1" s="42"/>
      <c r="C1" s="43"/>
      <c r="D1" s="43"/>
      <c r="E1" s="45" t="s">
        <v>25</v>
      </c>
      <c r="F1" s="43"/>
      <c r="G1" s="45" t="s">
        <v>26</v>
      </c>
      <c r="H1" s="44"/>
    </row>
    <row r="2" spans="1:10">
      <c r="A2" s="30"/>
      <c r="B2" s="18" t="s">
        <v>27</v>
      </c>
      <c r="C2" s="18" t="s">
        <v>28</v>
      </c>
      <c r="D2" s="18" t="s">
        <v>65</v>
      </c>
      <c r="E2" s="18" t="s">
        <v>30</v>
      </c>
      <c r="F2" s="18" t="s">
        <v>66</v>
      </c>
      <c r="G2" s="18" t="s">
        <v>32</v>
      </c>
      <c r="H2" s="18" t="s">
        <v>33</v>
      </c>
    </row>
    <row r="3" spans="1:10" ht="21" customHeight="1">
      <c r="A3" s="31" t="s">
        <v>7</v>
      </c>
      <c r="B3" s="6">
        <f>'Week 13'!H3+1</f>
        <v>45984</v>
      </c>
      <c r="C3" s="6">
        <f t="shared" ref="C3:H3" si="0">B3+1</f>
        <v>45985</v>
      </c>
      <c r="D3" s="6">
        <f t="shared" si="0"/>
        <v>45986</v>
      </c>
      <c r="E3" s="6">
        <f t="shared" si="0"/>
        <v>45987</v>
      </c>
      <c r="F3" s="6">
        <f t="shared" si="0"/>
        <v>45988</v>
      </c>
      <c r="G3" s="6">
        <f t="shared" si="0"/>
        <v>45989</v>
      </c>
      <c r="H3" s="6">
        <f t="shared" si="0"/>
        <v>45990</v>
      </c>
    </row>
    <row r="4" spans="1:10" s="7" customFormat="1">
      <c r="A4" s="181" t="s">
        <v>34</v>
      </c>
      <c r="B4" s="181"/>
      <c r="C4" s="181"/>
      <c r="D4" s="181"/>
      <c r="E4" s="181"/>
      <c r="F4" s="181"/>
      <c r="G4" s="181"/>
      <c r="H4" s="181"/>
    </row>
    <row r="5" spans="1:10" s="7" customFormat="1" ht="26.1" customHeight="1">
      <c r="A5" s="32" t="s">
        <v>8</v>
      </c>
      <c r="B5" s="27"/>
      <c r="C5" s="27"/>
      <c r="D5" s="27"/>
      <c r="E5" s="27"/>
      <c r="F5" s="27"/>
      <c r="G5" s="27">
        <v>0</v>
      </c>
      <c r="H5" s="27"/>
    </row>
    <row r="6" spans="1:10" s="7" customFormat="1" ht="26.1" customHeight="1">
      <c r="A6" s="4" t="s">
        <v>23</v>
      </c>
      <c r="B6" s="27"/>
      <c r="C6" s="27"/>
      <c r="D6" s="27"/>
      <c r="E6" s="27"/>
      <c r="F6" s="27"/>
      <c r="G6" s="27">
        <v>0</v>
      </c>
      <c r="H6" s="27"/>
    </row>
    <row r="7" spans="1:10" s="7" customFormat="1" ht="21.95" customHeight="1">
      <c r="A7" s="32" t="s">
        <v>35</v>
      </c>
      <c r="B7" s="27"/>
      <c r="C7" s="27"/>
      <c r="D7" s="27"/>
      <c r="E7" s="27"/>
      <c r="F7" s="27"/>
      <c r="G7" s="27">
        <v>0</v>
      </c>
      <c r="H7" s="27"/>
    </row>
    <row r="8" spans="1:10" s="7" customFormat="1" ht="24.95" customHeight="1" thickBot="1">
      <c r="A8" s="83" t="s">
        <v>36</v>
      </c>
      <c r="B8" s="84">
        <f t="shared" ref="B8:H8" si="1">B5+B6+B7</f>
        <v>0</v>
      </c>
      <c r="C8" s="84">
        <f t="shared" si="1"/>
        <v>0</v>
      </c>
      <c r="D8" s="84">
        <f t="shared" si="1"/>
        <v>0</v>
      </c>
      <c r="E8" s="84">
        <f t="shared" si="1"/>
        <v>0</v>
      </c>
      <c r="F8" s="84">
        <f t="shared" si="1"/>
        <v>0</v>
      </c>
      <c r="G8" s="84">
        <f t="shared" si="1"/>
        <v>0</v>
      </c>
      <c r="H8" s="84">
        <f t="shared" si="1"/>
        <v>0</v>
      </c>
    </row>
    <row r="9" spans="1:10" s="7" customFormat="1" ht="24.95" customHeight="1" thickBot="1">
      <c r="A9" s="33"/>
      <c r="B9" s="29"/>
      <c r="C9" s="29"/>
      <c r="D9" s="29"/>
      <c r="E9" s="29"/>
      <c r="F9" s="29"/>
      <c r="G9" s="63" t="s">
        <v>37</v>
      </c>
      <c r="H9" s="64">
        <f>SUM(B8:H8)</f>
        <v>0</v>
      </c>
    </row>
    <row r="10" spans="1:10" s="7" customFormat="1" ht="21" thickTop="1" thickBot="1">
      <c r="A10" s="182" t="s">
        <v>38</v>
      </c>
      <c r="B10" s="183"/>
      <c r="C10" s="183"/>
      <c r="D10" s="183"/>
      <c r="E10" s="183"/>
      <c r="F10" s="183"/>
      <c r="G10" s="65" t="s">
        <v>39</v>
      </c>
      <c r="H10" s="66">
        <v>-0.08</v>
      </c>
      <c r="I10" s="5"/>
      <c r="J10" s="26"/>
    </row>
    <row r="11" spans="1:10" s="7" customFormat="1" ht="30" customHeight="1">
      <c r="A11" s="39" t="s">
        <v>8</v>
      </c>
      <c r="B11" s="9"/>
      <c r="C11" s="9"/>
      <c r="D11" s="67"/>
      <c r="E11" s="67"/>
      <c r="F11" s="9"/>
      <c r="G11" s="68"/>
      <c r="H11" s="69"/>
    </row>
    <row r="12" spans="1:10" s="7" customFormat="1" ht="30" customHeight="1">
      <c r="A12" s="70" t="s">
        <v>23</v>
      </c>
      <c r="B12" s="59"/>
      <c r="C12" s="58"/>
      <c r="D12" s="58"/>
      <c r="E12" s="58"/>
      <c r="F12" s="58"/>
      <c r="G12" s="58"/>
      <c r="H12" s="58"/>
    </row>
    <row r="13" spans="1:10" s="7" customFormat="1" ht="30" customHeight="1">
      <c r="A13" s="3" t="s">
        <v>35</v>
      </c>
      <c r="B13" s="8"/>
      <c r="C13" s="8"/>
      <c r="D13" s="8"/>
      <c r="E13" s="8"/>
      <c r="F13" s="8"/>
      <c r="G13" s="8"/>
      <c r="H13" s="8"/>
    </row>
    <row r="14" spans="1:10" s="7" customFormat="1" ht="27" customHeight="1" thickBot="1">
      <c r="A14" s="85" t="s">
        <v>36</v>
      </c>
      <c r="B14" s="87">
        <f t="shared" ref="B14:H14" si="2">B11+B12+B13</f>
        <v>0</v>
      </c>
      <c r="C14" s="87">
        <f t="shared" si="2"/>
        <v>0</v>
      </c>
      <c r="D14" s="87">
        <f t="shared" si="2"/>
        <v>0</v>
      </c>
      <c r="E14" s="87">
        <f t="shared" si="2"/>
        <v>0</v>
      </c>
      <c r="F14" s="87">
        <f t="shared" si="2"/>
        <v>0</v>
      </c>
      <c r="G14" s="87">
        <f t="shared" si="2"/>
        <v>0</v>
      </c>
      <c r="H14" s="87">
        <f t="shared" si="2"/>
        <v>0</v>
      </c>
    </row>
    <row r="15" spans="1:10" s="7" customFormat="1" ht="24.95" customHeight="1" thickBot="1">
      <c r="A15" s="86" t="s">
        <v>40</v>
      </c>
      <c r="B15" s="92" t="e">
        <f t="shared" ref="B15:H15" si="3">(B14-B8)/B8</f>
        <v>#DIV/0!</v>
      </c>
      <c r="C15" s="93" t="e">
        <f t="shared" si="3"/>
        <v>#DIV/0!</v>
      </c>
      <c r="D15" s="93" t="e">
        <f t="shared" si="3"/>
        <v>#DIV/0!</v>
      </c>
      <c r="E15" s="93" t="e">
        <f t="shared" si="3"/>
        <v>#DIV/0!</v>
      </c>
      <c r="F15" s="93" t="e">
        <f t="shared" si="3"/>
        <v>#DIV/0!</v>
      </c>
      <c r="G15" s="93" t="e">
        <f t="shared" si="3"/>
        <v>#DIV/0!</v>
      </c>
      <c r="H15" s="94" t="e">
        <f t="shared" si="3"/>
        <v>#DIV/0!</v>
      </c>
      <c r="I15" s="71"/>
    </row>
    <row r="16" spans="1:10" ht="30" customHeight="1">
      <c r="B16" s="88"/>
      <c r="C16" s="88"/>
      <c r="D16" s="88"/>
      <c r="E16" s="88"/>
      <c r="F16" s="89"/>
      <c r="G16" s="90" t="s">
        <v>37</v>
      </c>
      <c r="H16" s="91">
        <f>SUM(B14:H14)</f>
        <v>0</v>
      </c>
    </row>
    <row r="17" spans="1:8" s="7" customFormat="1" ht="18.75">
      <c r="A17" s="184" t="s">
        <v>41</v>
      </c>
      <c r="B17" s="185"/>
      <c r="C17" s="185"/>
      <c r="D17" s="185"/>
      <c r="E17" s="185"/>
      <c r="F17" s="185"/>
      <c r="G17" s="72" t="s">
        <v>42</v>
      </c>
      <c r="H17" s="166" t="e">
        <f>(H16-H9)/H9</f>
        <v>#DIV/0!</v>
      </c>
    </row>
    <row r="18" spans="1:8" s="7" customFormat="1" ht="30" customHeight="1">
      <c r="A18" s="35" t="s">
        <v>43</v>
      </c>
      <c r="B18" s="12"/>
      <c r="C18" s="12"/>
      <c r="D18" s="73"/>
      <c r="E18" s="12"/>
      <c r="F18" s="24"/>
      <c r="G18" s="165"/>
      <c r="H18" s="164"/>
    </row>
    <row r="19" spans="1:8" s="7" customFormat="1" ht="30" customHeight="1">
      <c r="A19" s="35" t="str">
        <f>'Average w10-13'!A25</f>
        <v>Non Meal Plan Meals</v>
      </c>
      <c r="B19" s="12"/>
      <c r="C19" s="12"/>
      <c r="D19" s="73"/>
      <c r="E19" s="73"/>
      <c r="F19" s="12"/>
      <c r="G19" s="24"/>
      <c r="H19" s="74"/>
    </row>
    <row r="20" spans="1:8" s="7" customFormat="1" ht="30" customHeight="1">
      <c r="A20" s="35" t="str">
        <f>'Average w10-13'!A26</f>
        <v xml:space="preserve">Meal numbers </v>
      </c>
      <c r="B20" s="143"/>
      <c r="C20" s="143"/>
      <c r="D20" s="113"/>
      <c r="E20" s="67"/>
      <c r="F20" s="95"/>
      <c r="G20" s="95"/>
      <c r="H20" s="75"/>
    </row>
    <row r="21" spans="1:8" s="7" customFormat="1" ht="24.95" customHeight="1" thickBot="1">
      <c r="A21" s="36" t="s">
        <v>45</v>
      </c>
      <c r="B21" s="144">
        <f>SUM(B18:B20)</f>
        <v>0</v>
      </c>
      <c r="C21" s="144">
        <f>SUM(C18:C20)</f>
        <v>0</v>
      </c>
      <c r="D21" s="114"/>
      <c r="E21" s="96"/>
      <c r="F21" s="77">
        <f>SUM(F18:F20)</f>
        <v>0</v>
      </c>
      <c r="G21" s="77">
        <f>SUM(G18:G20)</f>
        <v>0</v>
      </c>
      <c r="H21" s="77">
        <f>SUM(H18:H20)</f>
        <v>0</v>
      </c>
    </row>
    <row r="22" spans="1:8" s="7" customFormat="1" ht="24.95" customHeight="1" thickBot="1">
      <c r="A22" s="34" t="s">
        <v>40</v>
      </c>
      <c r="B22" s="92" t="e">
        <f>(B21-B5)/B5</f>
        <v>#DIV/0!</v>
      </c>
      <c r="C22" s="115" t="e">
        <f>(C21-C5)/C5</f>
        <v>#DIV/0!</v>
      </c>
      <c r="D22" s="116"/>
      <c r="E22" s="99"/>
      <c r="F22" s="93" t="e">
        <f>(F21-F5)/F5</f>
        <v>#DIV/0!</v>
      </c>
      <c r="G22" s="93" t="e">
        <f>(G21-G5)/G5</f>
        <v>#DIV/0!</v>
      </c>
      <c r="H22" s="94" t="e">
        <f>(H21-H5)/H5</f>
        <v>#DIV/0!</v>
      </c>
    </row>
    <row r="23" spans="1:8" s="7" customFormat="1" ht="18.75">
      <c r="A23" s="186" t="s">
        <v>46</v>
      </c>
      <c r="B23" s="187"/>
      <c r="C23" s="187"/>
      <c r="D23" s="187"/>
      <c r="E23" s="187"/>
      <c r="F23" s="188" t="s">
        <v>47</v>
      </c>
      <c r="G23" s="97"/>
      <c r="H23" s="168"/>
    </row>
    <row r="24" spans="1:8" s="7" customFormat="1" ht="30" customHeight="1">
      <c r="A24" s="35" t="s">
        <v>43</v>
      </c>
      <c r="B24" s="11"/>
      <c r="C24" s="12"/>
      <c r="D24" s="12"/>
      <c r="E24" s="12"/>
      <c r="F24" s="12"/>
      <c r="G24" s="167"/>
      <c r="H24" s="164"/>
    </row>
    <row r="25" spans="1:8" s="7" customFormat="1" ht="30" customHeight="1">
      <c r="A25" s="35" t="str">
        <f>A19</f>
        <v>Non Meal Plan Meals</v>
      </c>
      <c r="B25" s="117"/>
      <c r="C25" s="117"/>
      <c r="D25" s="117"/>
      <c r="E25" s="117"/>
      <c r="F25" s="117"/>
      <c r="G25" s="117"/>
      <c r="H25" s="169"/>
    </row>
    <row r="26" spans="1:8" s="7" customFormat="1" ht="30" customHeight="1">
      <c r="A26" s="35" t="str">
        <f>A20</f>
        <v xml:space="preserve">Meal numbers </v>
      </c>
      <c r="B26" s="11"/>
      <c r="C26" s="11"/>
      <c r="D26" s="11"/>
      <c r="E26" s="11"/>
      <c r="F26" s="11"/>
      <c r="G26" s="11"/>
      <c r="H26" s="11"/>
    </row>
    <row r="27" spans="1:8" s="7" customFormat="1" ht="27.95" customHeight="1" thickBot="1">
      <c r="A27" s="36" t="s">
        <v>50</v>
      </c>
      <c r="B27" s="100">
        <f t="shared" ref="B27:H27" si="4">SUM(B24:B26)</f>
        <v>0</v>
      </c>
      <c r="C27" s="100">
        <f t="shared" si="4"/>
        <v>0</v>
      </c>
      <c r="D27" s="100">
        <f t="shared" si="4"/>
        <v>0</v>
      </c>
      <c r="E27" s="100">
        <f>SUM(E24:E26)</f>
        <v>0</v>
      </c>
      <c r="F27" s="100">
        <f t="shared" si="4"/>
        <v>0</v>
      </c>
      <c r="G27" s="100">
        <f t="shared" si="4"/>
        <v>0</v>
      </c>
      <c r="H27" s="100">
        <f t="shared" si="4"/>
        <v>0</v>
      </c>
    </row>
    <row r="28" spans="1:8" s="7" customFormat="1" ht="24.95" customHeight="1" thickBot="1">
      <c r="A28" s="34" t="s">
        <v>40</v>
      </c>
      <c r="B28" s="92" t="e">
        <f t="shared" ref="B28:H28" si="5">(B27-B6)/B6</f>
        <v>#DIV/0!</v>
      </c>
      <c r="C28" s="93" t="e">
        <f t="shared" si="5"/>
        <v>#DIV/0!</v>
      </c>
      <c r="D28" s="93" t="e">
        <f t="shared" si="5"/>
        <v>#DIV/0!</v>
      </c>
      <c r="E28" s="93" t="e">
        <f t="shared" si="5"/>
        <v>#DIV/0!</v>
      </c>
      <c r="F28" s="93" t="e">
        <f t="shared" si="5"/>
        <v>#DIV/0!</v>
      </c>
      <c r="G28" s="93" t="e">
        <f t="shared" si="5"/>
        <v>#DIV/0!</v>
      </c>
      <c r="H28" s="94" t="e">
        <f t="shared" si="5"/>
        <v>#DIV/0!</v>
      </c>
    </row>
    <row r="29" spans="1:8" s="7" customFormat="1" ht="18.75">
      <c r="A29" s="189" t="s">
        <v>51</v>
      </c>
      <c r="B29" s="190"/>
      <c r="C29" s="190"/>
      <c r="D29" s="190"/>
      <c r="E29" s="190"/>
      <c r="F29" s="191" t="s">
        <v>35</v>
      </c>
      <c r="G29" s="101"/>
      <c r="H29" s="171"/>
    </row>
    <row r="30" spans="1:8" s="7" customFormat="1" ht="30" customHeight="1">
      <c r="A30" s="35" t="s">
        <v>43</v>
      </c>
      <c r="B30" s="10"/>
      <c r="C30" s="9"/>
      <c r="D30" s="9"/>
      <c r="E30" s="9"/>
      <c r="F30" s="9"/>
      <c r="G30" s="170"/>
      <c r="H30" s="164"/>
    </row>
    <row r="31" spans="1:8" s="7" customFormat="1" ht="30" customHeight="1">
      <c r="A31" s="35" t="str">
        <f>A25</f>
        <v>Non Meal Plan Meals</v>
      </c>
      <c r="B31" s="60"/>
      <c r="C31" s="60"/>
      <c r="D31" s="60"/>
      <c r="E31" s="60"/>
      <c r="F31" s="60"/>
      <c r="G31" s="60"/>
      <c r="H31" s="172"/>
    </row>
    <row r="32" spans="1:8" s="7" customFormat="1" ht="30" customHeight="1">
      <c r="A32" s="35" t="str">
        <f>A26</f>
        <v xml:space="preserve">Meal numbers </v>
      </c>
      <c r="B32" s="10"/>
      <c r="C32" s="10"/>
      <c r="D32" s="10"/>
      <c r="E32" s="10"/>
      <c r="F32" s="10"/>
      <c r="G32" s="10"/>
      <c r="H32" s="10"/>
    </row>
    <row r="33" spans="1:12" s="7" customFormat="1" ht="30.95" customHeight="1" thickBot="1">
      <c r="A33" s="36" t="s">
        <v>53</v>
      </c>
      <c r="B33" s="103">
        <f>SUM(B30:B32)</f>
        <v>0</v>
      </c>
      <c r="C33" s="103">
        <f>SUM(C30:C32)</f>
        <v>0</v>
      </c>
      <c r="D33" s="103">
        <f>SUM(D30:D32)</f>
        <v>0</v>
      </c>
      <c r="E33" s="103">
        <f>SUM(E30:E32)</f>
        <v>0</v>
      </c>
      <c r="F33" s="103">
        <f>SUM(F30:F32)</f>
        <v>0</v>
      </c>
      <c r="G33" s="103">
        <v>546</v>
      </c>
      <c r="H33" s="103">
        <f>SUM(H30:H32)</f>
        <v>0</v>
      </c>
    </row>
    <row r="34" spans="1:12" s="7" customFormat="1" ht="24.95" customHeight="1" thickBot="1">
      <c r="A34" s="34" t="s">
        <v>40</v>
      </c>
      <c r="B34" s="92" t="e">
        <f t="shared" ref="B34:H34" si="6">(B33-B7)/B7</f>
        <v>#DIV/0!</v>
      </c>
      <c r="C34" s="93" t="e">
        <f t="shared" si="6"/>
        <v>#DIV/0!</v>
      </c>
      <c r="D34" s="93" t="e">
        <f t="shared" si="6"/>
        <v>#DIV/0!</v>
      </c>
      <c r="E34" s="93" t="e">
        <f t="shared" si="6"/>
        <v>#DIV/0!</v>
      </c>
      <c r="F34" s="93" t="e">
        <f t="shared" si="6"/>
        <v>#DIV/0!</v>
      </c>
      <c r="G34" s="93" t="e">
        <f t="shared" si="6"/>
        <v>#DIV/0!</v>
      </c>
      <c r="H34" s="94" t="e">
        <f t="shared" si="6"/>
        <v>#DIV/0!</v>
      </c>
    </row>
    <row r="35" spans="1:12" s="7" customFormat="1">
      <c r="A35" s="192" t="s">
        <v>54</v>
      </c>
      <c r="B35" s="193"/>
      <c r="C35" s="193"/>
      <c r="D35" s="193"/>
      <c r="E35" s="193"/>
      <c r="F35" s="194" t="s">
        <v>35</v>
      </c>
      <c r="G35" s="104"/>
      <c r="H35" s="105"/>
    </row>
    <row r="36" spans="1:12" s="7" customFormat="1" ht="30.95" customHeight="1" thickBot="1">
      <c r="A36" s="78" t="s">
        <v>55</v>
      </c>
      <c r="B36" s="77">
        <f t="shared" ref="B36:H36" si="7">B33+B27+B21</f>
        <v>0</v>
      </c>
      <c r="C36" s="77">
        <f t="shared" si="7"/>
        <v>0</v>
      </c>
      <c r="D36" s="77">
        <f t="shared" si="7"/>
        <v>0</v>
      </c>
      <c r="E36" s="77">
        <f t="shared" si="7"/>
        <v>0</v>
      </c>
      <c r="F36" s="77">
        <f t="shared" si="7"/>
        <v>0</v>
      </c>
      <c r="G36" s="77">
        <f t="shared" si="7"/>
        <v>546</v>
      </c>
      <c r="H36" s="77">
        <f t="shared" si="7"/>
        <v>0</v>
      </c>
    </row>
    <row r="37" spans="1:12" s="7" customFormat="1" ht="24.95" customHeight="1" thickBot="1">
      <c r="A37" s="34" t="s">
        <v>40</v>
      </c>
      <c r="B37" s="92" t="e">
        <f t="shared" ref="B37:H37" si="8">(B36-B8)/B8</f>
        <v>#DIV/0!</v>
      </c>
      <c r="C37" s="93" t="e">
        <f t="shared" si="8"/>
        <v>#DIV/0!</v>
      </c>
      <c r="D37" s="93" t="e">
        <f t="shared" si="8"/>
        <v>#DIV/0!</v>
      </c>
      <c r="E37" s="93" t="e">
        <f t="shared" si="8"/>
        <v>#DIV/0!</v>
      </c>
      <c r="F37" s="93" t="e">
        <f t="shared" si="8"/>
        <v>#DIV/0!</v>
      </c>
      <c r="G37" s="93" t="e">
        <f t="shared" si="8"/>
        <v>#DIV/0!</v>
      </c>
      <c r="H37" s="94" t="e">
        <f t="shared" si="8"/>
        <v>#DIV/0!</v>
      </c>
    </row>
    <row r="38" spans="1:12" ht="30" customHeight="1" thickBot="1">
      <c r="A38" s="195"/>
      <c r="B38" s="196"/>
      <c r="C38" s="196"/>
      <c r="D38" s="196"/>
      <c r="E38" s="196"/>
      <c r="F38" s="196"/>
      <c r="G38" s="106" t="s">
        <v>37</v>
      </c>
      <c r="H38" s="107">
        <f>SUM(B36:H36)</f>
        <v>546</v>
      </c>
    </row>
    <row r="39" spans="1:12" s="7" customFormat="1" ht="24.95" customHeight="1" thickTop="1">
      <c r="A39" s="37"/>
      <c r="B39" s="25"/>
      <c r="C39" s="25"/>
      <c r="D39" s="25"/>
      <c r="E39" s="25"/>
      <c r="F39" s="25"/>
      <c r="G39" s="79" t="s">
        <v>40</v>
      </c>
      <c r="H39" s="80" t="e">
        <f>(H38-H9)/H9</f>
        <v>#DIV/0!</v>
      </c>
    </row>
    <row r="40" spans="1:12" s="7" customFormat="1" ht="24.95" customHeight="1" thickBot="1">
      <c r="A40" s="37"/>
      <c r="B40" s="25"/>
      <c r="C40" s="25"/>
      <c r="D40" s="25"/>
      <c r="E40" s="25"/>
      <c r="F40" s="25"/>
      <c r="G40" s="81" t="s">
        <v>56</v>
      </c>
      <c r="H40" s="82" t="e">
        <f>(H38-H16)/H16</f>
        <v>#DIV/0!</v>
      </c>
    </row>
    <row r="41" spans="1:12" s="46" customFormat="1" ht="23.1" customHeight="1">
      <c r="A41" s="40"/>
      <c r="B41" s="47" t="s">
        <v>57</v>
      </c>
      <c r="C41" s="197" t="s">
        <v>58</v>
      </c>
      <c r="D41" s="197"/>
      <c r="E41" s="197"/>
      <c r="F41" s="197"/>
      <c r="G41" s="198">
        <v>2020</v>
      </c>
      <c r="H41" s="199"/>
    </row>
    <row r="42" spans="1:12" ht="30.75" customHeight="1">
      <c r="A42" s="1" t="s">
        <v>0</v>
      </c>
      <c r="B42" s="57" t="s">
        <v>59</v>
      </c>
      <c r="C42" s="206"/>
      <c r="D42" s="207"/>
      <c r="E42" s="207"/>
      <c r="F42" s="210"/>
      <c r="G42" s="178" t="s">
        <v>110</v>
      </c>
      <c r="H42" s="179"/>
      <c r="L42" s="7" t="s">
        <v>61</v>
      </c>
    </row>
    <row r="43" spans="1:12" ht="30" customHeight="1">
      <c r="A43" s="1" t="s">
        <v>1</v>
      </c>
      <c r="B43" s="57" t="s">
        <v>59</v>
      </c>
      <c r="C43" s="175"/>
      <c r="D43" s="175"/>
      <c r="E43" s="175"/>
      <c r="F43" s="175"/>
      <c r="G43" s="178"/>
      <c r="H43" s="179"/>
      <c r="L43" s="5" t="s">
        <v>62</v>
      </c>
    </row>
    <row r="44" spans="1:12" ht="30" customHeight="1">
      <c r="A44" s="1" t="s">
        <v>2</v>
      </c>
      <c r="B44" s="57" t="s">
        <v>59</v>
      </c>
      <c r="C44" s="175"/>
      <c r="D44" s="175"/>
      <c r="E44" s="175"/>
      <c r="F44" s="175"/>
      <c r="G44" s="176"/>
      <c r="H44" s="177"/>
      <c r="L44" s="5" t="s">
        <v>63</v>
      </c>
    </row>
    <row r="45" spans="1:12" ht="30" customHeight="1">
      <c r="A45" s="1" t="s">
        <v>3</v>
      </c>
      <c r="B45" s="57" t="s">
        <v>59</v>
      </c>
      <c r="C45" s="175"/>
      <c r="D45" s="175"/>
      <c r="E45" s="175"/>
      <c r="F45" s="175"/>
      <c r="G45" s="151" t="s">
        <v>110</v>
      </c>
      <c r="H45" s="61"/>
      <c r="L45" s="5" t="s">
        <v>64</v>
      </c>
    </row>
    <row r="46" spans="1:12" ht="30.95" customHeight="1">
      <c r="A46" s="1" t="s">
        <v>4</v>
      </c>
      <c r="B46" s="57" t="s">
        <v>59</v>
      </c>
      <c r="C46" s="175"/>
      <c r="D46" s="175"/>
      <c r="E46" s="175"/>
      <c r="F46" s="175"/>
      <c r="G46" s="178" t="s">
        <v>110</v>
      </c>
      <c r="H46" s="179"/>
    </row>
    <row r="47" spans="1:12" ht="38.25" customHeight="1">
      <c r="A47" s="1" t="s">
        <v>5</v>
      </c>
      <c r="B47" s="57" t="s">
        <v>59</v>
      </c>
      <c r="C47" s="216" t="s">
        <v>111</v>
      </c>
      <c r="D47" s="216"/>
      <c r="E47" s="216"/>
      <c r="F47" s="216"/>
      <c r="G47" s="178" t="s">
        <v>112</v>
      </c>
      <c r="H47" s="179"/>
    </row>
    <row r="48" spans="1:12" ht="30" customHeight="1">
      <c r="A48" s="1" t="s">
        <v>6</v>
      </c>
      <c r="B48" s="57" t="s">
        <v>59</v>
      </c>
      <c r="C48" s="216" t="s">
        <v>113</v>
      </c>
      <c r="D48" s="216"/>
      <c r="E48" s="216"/>
      <c r="F48" s="216"/>
    </row>
    <row r="49" spans="1:8" ht="18.75" customHeight="1">
      <c r="A49" s="2"/>
      <c r="B49" s="14"/>
      <c r="C49" s="175"/>
      <c r="D49" s="175"/>
      <c r="E49" s="175"/>
      <c r="F49" s="175"/>
      <c r="G49" s="176"/>
      <c r="H49" s="177"/>
    </row>
    <row r="50" spans="1:8">
      <c r="A50" s="30"/>
      <c r="B50" s="18" t="s">
        <v>27</v>
      </c>
      <c r="C50" s="18" t="s">
        <v>28</v>
      </c>
      <c r="D50" s="18" t="s">
        <v>65</v>
      </c>
      <c r="E50" s="18" t="s">
        <v>30</v>
      </c>
      <c r="F50" s="18" t="s">
        <v>66</v>
      </c>
      <c r="G50" s="18" t="s">
        <v>32</v>
      </c>
      <c r="H50" s="18" t="s">
        <v>33</v>
      </c>
    </row>
    <row r="51" spans="1:8">
      <c r="A51" s="38" t="s">
        <v>114</v>
      </c>
      <c r="B51" s="108"/>
      <c r="C51" s="109"/>
      <c r="D51" s="109"/>
      <c r="E51" s="109"/>
      <c r="F51" s="109"/>
      <c r="G51" s="109"/>
      <c r="H51" s="15"/>
    </row>
    <row r="52" spans="1:8" customFormat="1" ht="15.95">
      <c r="A52" s="48"/>
      <c r="B52" s="22"/>
      <c r="C52" s="21"/>
      <c r="D52" s="21"/>
      <c r="E52" s="21"/>
      <c r="F52" s="21"/>
      <c r="G52" s="23" t="s">
        <v>37</v>
      </c>
      <c r="H52" s="23">
        <f>SUM(B51:H51)</f>
        <v>0</v>
      </c>
    </row>
    <row r="53" spans="1:8">
      <c r="A53" s="30"/>
      <c r="B53" s="18" t="s">
        <v>27</v>
      </c>
      <c r="C53" s="18" t="s">
        <v>28</v>
      </c>
      <c r="D53" s="18" t="s">
        <v>65</v>
      </c>
      <c r="E53" s="18" t="s">
        <v>30</v>
      </c>
      <c r="F53" s="18" t="s">
        <v>66</v>
      </c>
      <c r="G53" s="18" t="s">
        <v>32</v>
      </c>
      <c r="H53" s="18" t="s">
        <v>33</v>
      </c>
    </row>
    <row r="54" spans="1:8">
      <c r="A54" s="38" t="s">
        <v>69</v>
      </c>
      <c r="B54" s="51"/>
      <c r="C54" s="52"/>
      <c r="D54" s="52"/>
      <c r="E54" s="52"/>
      <c r="F54" s="52"/>
      <c r="G54" s="20"/>
      <c r="H54" s="15"/>
    </row>
    <row r="55" spans="1:8" customFormat="1" ht="15.95">
      <c r="A55" s="49" t="s">
        <v>70</v>
      </c>
      <c r="B55" s="53"/>
      <c r="C55" s="53" t="s">
        <v>71</v>
      </c>
      <c r="D55" s="54"/>
      <c r="E55" s="54"/>
      <c r="F55" s="55"/>
      <c r="G55" s="50" t="s">
        <v>37</v>
      </c>
      <c r="H55" s="23"/>
    </row>
    <row r="56" spans="1:8">
      <c r="H56" s="16"/>
    </row>
    <row r="57" spans="1:8">
      <c r="H57" s="16"/>
    </row>
    <row r="58" spans="1:8">
      <c r="H58" s="16"/>
    </row>
    <row r="59" spans="1:8">
      <c r="H59" s="16"/>
    </row>
    <row r="60" spans="1:8">
      <c r="H60" s="16"/>
    </row>
    <row r="61" spans="1:8">
      <c r="H61" s="16"/>
    </row>
    <row r="62" spans="1:8">
      <c r="H62" s="16"/>
    </row>
    <row r="63" spans="1:8">
      <c r="B63" s="5"/>
      <c r="H63" s="16"/>
    </row>
    <row r="64" spans="1:8">
      <c r="B64" s="5"/>
      <c r="H64" s="16"/>
    </row>
    <row r="65" spans="2:8">
      <c r="B65" s="5"/>
      <c r="H65" s="16"/>
    </row>
    <row r="66" spans="2:8">
      <c r="B66" s="5"/>
      <c r="H66" s="16"/>
    </row>
    <row r="67" spans="2:8">
      <c r="B67" s="5"/>
      <c r="H67" s="16"/>
    </row>
    <row r="68" spans="2:8">
      <c r="B68" s="5"/>
      <c r="H68" s="16"/>
    </row>
    <row r="69" spans="2:8">
      <c r="B69" s="5"/>
      <c r="H69" s="16"/>
    </row>
    <row r="70" spans="2:8">
      <c r="B70" s="5"/>
      <c r="H70" s="16"/>
    </row>
    <row r="71" spans="2:8">
      <c r="B71" s="5"/>
      <c r="H71" s="16"/>
    </row>
    <row r="72" spans="2:8">
      <c r="B72" s="5"/>
      <c r="H72" s="16"/>
    </row>
    <row r="73" spans="2:8">
      <c r="B73" s="5"/>
      <c r="H73" s="16"/>
    </row>
    <row r="74" spans="2:8">
      <c r="B74" s="5"/>
      <c r="H74" s="16"/>
    </row>
    <row r="75" spans="2:8">
      <c r="B75" s="5"/>
      <c r="H75" s="16"/>
    </row>
    <row r="76" spans="2:8">
      <c r="B76" s="5"/>
      <c r="H76" s="16"/>
    </row>
    <row r="77" spans="2:8">
      <c r="B77" s="5"/>
      <c r="H77" s="16"/>
    </row>
    <row r="78" spans="2:8">
      <c r="B78" s="5"/>
      <c r="H78" s="16"/>
    </row>
    <row r="79" spans="2:8">
      <c r="B79" s="5"/>
      <c r="H79" s="16"/>
    </row>
    <row r="80" spans="2:8">
      <c r="B80" s="5"/>
      <c r="H80" s="16"/>
    </row>
    <row r="81" spans="2:8">
      <c r="B81" s="5"/>
      <c r="H81" s="16"/>
    </row>
    <row r="82" spans="2:8">
      <c r="B82" s="5"/>
      <c r="H82" s="16"/>
    </row>
    <row r="83" spans="2:8">
      <c r="B83" s="5"/>
      <c r="H83" s="16"/>
    </row>
    <row r="84" spans="2:8">
      <c r="B84" s="5"/>
      <c r="H84" s="16"/>
    </row>
    <row r="85" spans="2:8">
      <c r="B85" s="5"/>
      <c r="H85" s="16"/>
    </row>
    <row r="86" spans="2:8">
      <c r="B86" s="5"/>
      <c r="H86" s="16"/>
    </row>
    <row r="87" spans="2:8">
      <c r="B87" s="5"/>
      <c r="H87" s="16"/>
    </row>
    <row r="88" spans="2:8">
      <c r="B88" s="5"/>
      <c r="H88" s="16"/>
    </row>
    <row r="89" spans="2:8">
      <c r="B89" s="5"/>
      <c r="H89" s="16"/>
    </row>
    <row r="90" spans="2:8">
      <c r="B90" s="5"/>
      <c r="H90" s="16"/>
    </row>
    <row r="91" spans="2:8">
      <c r="B91" s="5"/>
      <c r="H91" s="16"/>
    </row>
    <row r="92" spans="2:8">
      <c r="B92" s="5"/>
      <c r="H92" s="16"/>
    </row>
    <row r="93" spans="2:8">
      <c r="B93" s="5"/>
      <c r="H93" s="16"/>
    </row>
    <row r="94" spans="2:8">
      <c r="B94" s="5"/>
      <c r="H94" s="16"/>
    </row>
    <row r="95" spans="2:8">
      <c r="B95" s="5"/>
      <c r="H95" s="16"/>
    </row>
    <row r="96" spans="2:8">
      <c r="B96" s="5"/>
      <c r="H96" s="16"/>
    </row>
    <row r="97" spans="2:8">
      <c r="B97" s="5"/>
      <c r="H97" s="16"/>
    </row>
    <row r="98" spans="2:8">
      <c r="B98" s="5"/>
      <c r="H98" s="16"/>
    </row>
    <row r="99" spans="2:8">
      <c r="B99" s="5"/>
      <c r="H99" s="16"/>
    </row>
    <row r="100" spans="2:8">
      <c r="B100" s="5"/>
      <c r="H100" s="16"/>
    </row>
    <row r="101" spans="2:8">
      <c r="B101" s="5"/>
      <c r="H101" s="16"/>
    </row>
    <row r="102" spans="2:8">
      <c r="B102" s="5"/>
      <c r="H102" s="16"/>
    </row>
    <row r="103" spans="2:8">
      <c r="B103" s="5"/>
      <c r="H103" s="16"/>
    </row>
    <row r="104" spans="2:8">
      <c r="B104" s="5"/>
      <c r="H104" s="16"/>
    </row>
    <row r="105" spans="2:8">
      <c r="B105" s="5"/>
      <c r="H105" s="16"/>
    </row>
    <row r="106" spans="2:8">
      <c r="B106" s="5"/>
      <c r="H106" s="16"/>
    </row>
    <row r="107" spans="2:8">
      <c r="B107" s="5"/>
      <c r="H107" s="16"/>
    </row>
    <row r="108" spans="2:8">
      <c r="B108" s="5"/>
      <c r="H108" s="16"/>
    </row>
    <row r="109" spans="2:8">
      <c r="B109" s="5"/>
      <c r="H109" s="16"/>
    </row>
    <row r="110" spans="2:8">
      <c r="B110" s="5"/>
      <c r="H110" s="16"/>
    </row>
    <row r="111" spans="2:8">
      <c r="B111" s="5"/>
      <c r="H111" s="16"/>
    </row>
    <row r="112" spans="2:8">
      <c r="B112" s="5"/>
      <c r="H112" s="16"/>
    </row>
    <row r="113" spans="2:8">
      <c r="B113" s="5"/>
      <c r="H113" s="16"/>
    </row>
    <row r="114" spans="2:8">
      <c r="B114" s="5"/>
      <c r="H114" s="16"/>
    </row>
    <row r="115" spans="2:8">
      <c r="B115" s="5"/>
      <c r="H115" s="16"/>
    </row>
    <row r="116" spans="2:8">
      <c r="B116" s="5"/>
      <c r="H116" s="16"/>
    </row>
    <row r="117" spans="2:8">
      <c r="B117" s="5"/>
      <c r="H117" s="16"/>
    </row>
    <row r="118" spans="2:8">
      <c r="B118" s="5"/>
      <c r="H118" s="16"/>
    </row>
    <row r="119" spans="2:8">
      <c r="B119" s="5"/>
      <c r="H119" s="16"/>
    </row>
    <row r="120" spans="2:8">
      <c r="B120" s="5"/>
      <c r="H120" s="16"/>
    </row>
    <row r="121" spans="2:8">
      <c r="B121" s="5"/>
      <c r="H121" s="16"/>
    </row>
    <row r="122" spans="2:8">
      <c r="B122" s="5"/>
      <c r="H122" s="16"/>
    </row>
    <row r="123" spans="2:8">
      <c r="B123" s="5"/>
      <c r="H123" s="16"/>
    </row>
    <row r="124" spans="2:8">
      <c r="B124" s="5"/>
      <c r="H124" s="16"/>
    </row>
    <row r="125" spans="2:8">
      <c r="B125" s="5"/>
      <c r="H125" s="16"/>
    </row>
    <row r="126" spans="2:8">
      <c r="B126" s="5"/>
      <c r="H126" s="16"/>
    </row>
    <row r="127" spans="2:8">
      <c r="B127" s="5"/>
      <c r="H127" s="16"/>
    </row>
    <row r="128" spans="2:8">
      <c r="B128" s="5"/>
      <c r="H128" s="16"/>
    </row>
    <row r="129" spans="2:8">
      <c r="B129" s="5"/>
      <c r="H129" s="16"/>
    </row>
    <row r="130" spans="2:8">
      <c r="B130" s="5"/>
      <c r="H130" s="16"/>
    </row>
    <row r="131" spans="2:8">
      <c r="B131" s="5"/>
      <c r="H131" s="16"/>
    </row>
    <row r="132" spans="2:8">
      <c r="B132" s="5"/>
      <c r="H132" s="16"/>
    </row>
    <row r="133" spans="2:8">
      <c r="B133" s="5"/>
      <c r="H133" s="16"/>
    </row>
    <row r="134" spans="2:8">
      <c r="B134" s="5"/>
      <c r="H134" s="16"/>
    </row>
    <row r="135" spans="2:8">
      <c r="B135" s="5"/>
      <c r="H135" s="16"/>
    </row>
    <row r="136" spans="2:8">
      <c r="B136" s="5"/>
      <c r="H136" s="16"/>
    </row>
    <row r="137" spans="2:8">
      <c r="B137" s="5"/>
      <c r="H137" s="16"/>
    </row>
    <row r="138" spans="2:8">
      <c r="B138" s="5"/>
      <c r="H138" s="16"/>
    </row>
    <row r="139" spans="2:8">
      <c r="B139" s="5"/>
      <c r="H139" s="16"/>
    </row>
    <row r="140" spans="2:8">
      <c r="B140" s="5"/>
      <c r="H140" s="16"/>
    </row>
    <row r="141" spans="2:8">
      <c r="B141" s="5"/>
      <c r="H141" s="16"/>
    </row>
    <row r="142" spans="2:8">
      <c r="B142" s="5"/>
      <c r="H142" s="16"/>
    </row>
    <row r="143" spans="2:8">
      <c r="B143" s="5"/>
      <c r="H143" s="16"/>
    </row>
    <row r="144" spans="2:8">
      <c r="B144" s="5"/>
      <c r="H144" s="16"/>
    </row>
    <row r="145" spans="2:8">
      <c r="B145" s="5"/>
      <c r="H145" s="16"/>
    </row>
    <row r="146" spans="2:8">
      <c r="B146" s="5"/>
      <c r="H146" s="16"/>
    </row>
    <row r="147" spans="2:8">
      <c r="B147" s="5"/>
      <c r="H147" s="16"/>
    </row>
    <row r="148" spans="2:8">
      <c r="B148" s="5"/>
      <c r="H148" s="16"/>
    </row>
    <row r="149" spans="2:8">
      <c r="B149" s="5"/>
      <c r="H149" s="16"/>
    </row>
    <row r="150" spans="2:8">
      <c r="B150" s="5"/>
      <c r="H150" s="16"/>
    </row>
    <row r="151" spans="2:8">
      <c r="B151" s="5"/>
      <c r="H151" s="16"/>
    </row>
    <row r="152" spans="2:8">
      <c r="B152" s="5"/>
      <c r="H152" s="16"/>
    </row>
    <row r="153" spans="2:8">
      <c r="B153" s="5"/>
      <c r="H153" s="16"/>
    </row>
    <row r="154" spans="2:8">
      <c r="B154" s="5"/>
      <c r="H154" s="16"/>
    </row>
    <row r="155" spans="2:8">
      <c r="B155" s="5"/>
      <c r="H155" s="16"/>
    </row>
    <row r="156" spans="2:8">
      <c r="B156" s="5"/>
      <c r="H156" s="16"/>
    </row>
    <row r="157" spans="2:8">
      <c r="B157" s="5"/>
      <c r="H157" s="16"/>
    </row>
    <row r="158" spans="2:8">
      <c r="B158" s="5"/>
      <c r="H158" s="16"/>
    </row>
    <row r="159" spans="2:8">
      <c r="B159" s="5"/>
      <c r="H159" s="16"/>
    </row>
    <row r="160" spans="2:8">
      <c r="B160" s="5"/>
      <c r="H160" s="16"/>
    </row>
    <row r="161" spans="2:8">
      <c r="B161" s="5"/>
      <c r="H161" s="16"/>
    </row>
    <row r="162" spans="2:8">
      <c r="B162" s="5"/>
      <c r="H162" s="16"/>
    </row>
    <row r="163" spans="2:8">
      <c r="B163" s="5"/>
      <c r="H163" s="16"/>
    </row>
    <row r="164" spans="2:8">
      <c r="B164" s="5"/>
      <c r="H164" s="16"/>
    </row>
    <row r="165" spans="2:8">
      <c r="B165" s="5"/>
      <c r="H165" s="16"/>
    </row>
    <row r="166" spans="2:8">
      <c r="B166" s="5"/>
      <c r="H166" s="16"/>
    </row>
    <row r="167" spans="2:8">
      <c r="B167" s="5"/>
      <c r="H167" s="16"/>
    </row>
    <row r="168" spans="2:8">
      <c r="B168" s="5"/>
      <c r="H168" s="16"/>
    </row>
    <row r="169" spans="2:8">
      <c r="B169" s="5"/>
      <c r="H169" s="16"/>
    </row>
    <row r="170" spans="2:8">
      <c r="B170" s="5"/>
      <c r="H170" s="16"/>
    </row>
    <row r="171" spans="2:8">
      <c r="B171" s="5"/>
      <c r="H171" s="16"/>
    </row>
    <row r="172" spans="2:8">
      <c r="B172" s="5"/>
      <c r="H172" s="16"/>
    </row>
    <row r="173" spans="2:8">
      <c r="B173" s="5"/>
      <c r="H173" s="16"/>
    </row>
    <row r="174" spans="2:8">
      <c r="B174" s="5"/>
      <c r="H174" s="16"/>
    </row>
    <row r="175" spans="2:8">
      <c r="B175" s="5"/>
      <c r="H175" s="16"/>
    </row>
    <row r="176" spans="2:8">
      <c r="B176" s="5"/>
      <c r="H176" s="16"/>
    </row>
    <row r="177" spans="2:8">
      <c r="B177" s="5"/>
      <c r="H177" s="16"/>
    </row>
    <row r="178" spans="2:8">
      <c r="B178" s="5"/>
      <c r="H178" s="16"/>
    </row>
    <row r="179" spans="2:8">
      <c r="B179" s="5"/>
      <c r="H179" s="16"/>
    </row>
    <row r="180" spans="2:8">
      <c r="B180" s="5"/>
      <c r="H180" s="16"/>
    </row>
    <row r="181" spans="2:8">
      <c r="B181" s="5"/>
      <c r="H181" s="16"/>
    </row>
    <row r="182" spans="2:8">
      <c r="B182" s="5"/>
      <c r="H182" s="16"/>
    </row>
    <row r="183" spans="2:8">
      <c r="B183" s="5"/>
      <c r="H183" s="16"/>
    </row>
    <row r="184" spans="2:8">
      <c r="B184" s="5"/>
      <c r="H184" s="16"/>
    </row>
    <row r="185" spans="2:8">
      <c r="B185" s="5"/>
      <c r="H185" s="16"/>
    </row>
    <row r="186" spans="2:8">
      <c r="B186" s="5"/>
      <c r="H186" s="16"/>
    </row>
    <row r="187" spans="2:8">
      <c r="B187" s="5"/>
      <c r="H187" s="16"/>
    </row>
    <row r="188" spans="2:8">
      <c r="B188" s="5"/>
      <c r="H188" s="16"/>
    </row>
    <row r="189" spans="2:8">
      <c r="B189" s="5"/>
      <c r="H189" s="16"/>
    </row>
    <row r="190" spans="2:8">
      <c r="B190" s="5"/>
      <c r="H190" s="16"/>
    </row>
    <row r="191" spans="2:8">
      <c r="B191" s="5"/>
      <c r="H191" s="16"/>
    </row>
    <row r="192" spans="2:8">
      <c r="B192" s="5"/>
      <c r="H192" s="16"/>
    </row>
    <row r="193" spans="2:8">
      <c r="B193" s="5"/>
      <c r="H193" s="16"/>
    </row>
    <row r="194" spans="2:8">
      <c r="B194" s="5"/>
      <c r="H194" s="16"/>
    </row>
    <row r="195" spans="2:8">
      <c r="B195" s="5"/>
      <c r="H195" s="16"/>
    </row>
    <row r="196" spans="2:8">
      <c r="B196" s="5"/>
      <c r="H196" s="16"/>
    </row>
    <row r="197" spans="2:8">
      <c r="B197" s="5"/>
      <c r="H197" s="16"/>
    </row>
    <row r="198" spans="2:8">
      <c r="B198" s="5"/>
      <c r="H198" s="16"/>
    </row>
    <row r="199" spans="2:8">
      <c r="B199" s="5"/>
      <c r="H199" s="16"/>
    </row>
    <row r="200" spans="2:8">
      <c r="B200" s="5"/>
      <c r="H200" s="16"/>
    </row>
    <row r="201" spans="2:8">
      <c r="B201" s="5"/>
      <c r="H201" s="16"/>
    </row>
    <row r="202" spans="2:8">
      <c r="B202" s="5"/>
      <c r="H202" s="16"/>
    </row>
    <row r="203" spans="2:8">
      <c r="B203" s="5"/>
      <c r="H203" s="16"/>
    </row>
    <row r="204" spans="2:8">
      <c r="B204" s="5"/>
      <c r="H204" s="16"/>
    </row>
    <row r="205" spans="2:8">
      <c r="B205" s="5"/>
      <c r="H205" s="16"/>
    </row>
    <row r="206" spans="2:8">
      <c r="B206" s="5"/>
      <c r="H206" s="16"/>
    </row>
    <row r="207" spans="2:8">
      <c r="B207" s="5"/>
      <c r="H207" s="16"/>
    </row>
    <row r="208" spans="2:8">
      <c r="B208" s="5"/>
      <c r="H208" s="16"/>
    </row>
    <row r="209" spans="2:8">
      <c r="B209" s="5"/>
      <c r="H209" s="16"/>
    </row>
    <row r="210" spans="2:8">
      <c r="B210" s="5"/>
      <c r="H210" s="16"/>
    </row>
    <row r="211" spans="2:8">
      <c r="B211" s="5"/>
      <c r="H211" s="16"/>
    </row>
    <row r="212" spans="2:8">
      <c r="B212" s="5"/>
      <c r="H212" s="16"/>
    </row>
    <row r="213" spans="2:8">
      <c r="B213" s="5"/>
      <c r="H213" s="16"/>
    </row>
    <row r="214" spans="2:8">
      <c r="B214" s="5"/>
      <c r="H214" s="16"/>
    </row>
    <row r="215" spans="2:8">
      <c r="B215" s="5"/>
      <c r="H215" s="16"/>
    </row>
    <row r="216" spans="2:8">
      <c r="B216" s="5"/>
      <c r="H216" s="16"/>
    </row>
    <row r="217" spans="2:8">
      <c r="B217" s="5"/>
      <c r="H217" s="16"/>
    </row>
    <row r="218" spans="2:8">
      <c r="B218" s="5"/>
      <c r="H218" s="16"/>
    </row>
    <row r="219" spans="2:8">
      <c r="B219" s="5"/>
      <c r="H219" s="16"/>
    </row>
    <row r="220" spans="2:8">
      <c r="B220" s="5"/>
      <c r="H220" s="16"/>
    </row>
    <row r="221" spans="2:8">
      <c r="B221" s="5"/>
      <c r="H221" s="16"/>
    </row>
    <row r="222" spans="2:8">
      <c r="B222" s="5"/>
      <c r="H222" s="16"/>
    </row>
    <row r="223" spans="2:8">
      <c r="B223" s="5"/>
      <c r="H223" s="16"/>
    </row>
    <row r="224" spans="2:8">
      <c r="B224" s="5"/>
      <c r="H224" s="16"/>
    </row>
    <row r="225" spans="2:8">
      <c r="B225" s="5"/>
      <c r="H225" s="16"/>
    </row>
    <row r="226" spans="2:8">
      <c r="B226" s="5"/>
      <c r="H226" s="16"/>
    </row>
    <row r="227" spans="2:8">
      <c r="B227" s="5"/>
      <c r="H227" s="16"/>
    </row>
    <row r="228" spans="2:8">
      <c r="B228" s="5"/>
      <c r="H228" s="16"/>
    </row>
    <row r="229" spans="2:8">
      <c r="B229" s="5"/>
      <c r="H229" s="16"/>
    </row>
    <row r="230" spans="2:8">
      <c r="B230" s="5"/>
      <c r="H230" s="16"/>
    </row>
    <row r="231" spans="2:8">
      <c r="B231" s="5"/>
      <c r="H231" s="16"/>
    </row>
    <row r="232" spans="2:8">
      <c r="B232" s="5"/>
      <c r="H232" s="16"/>
    </row>
    <row r="233" spans="2:8">
      <c r="B233" s="5"/>
      <c r="H233" s="16"/>
    </row>
    <row r="234" spans="2:8">
      <c r="B234" s="5"/>
      <c r="H234" s="16"/>
    </row>
    <row r="235" spans="2:8">
      <c r="B235" s="5"/>
      <c r="H235" s="16"/>
    </row>
    <row r="236" spans="2:8">
      <c r="B236" s="5"/>
      <c r="H236" s="16"/>
    </row>
    <row r="237" spans="2:8">
      <c r="B237" s="5"/>
      <c r="H237" s="16"/>
    </row>
    <row r="238" spans="2:8">
      <c r="B238" s="5"/>
      <c r="H238" s="16"/>
    </row>
    <row r="239" spans="2:8">
      <c r="B239" s="5"/>
      <c r="H239" s="16"/>
    </row>
    <row r="240" spans="2:8">
      <c r="B240" s="5"/>
      <c r="H240" s="16"/>
    </row>
    <row r="241" spans="2:8">
      <c r="B241" s="5"/>
      <c r="H241" s="16"/>
    </row>
    <row r="242" spans="2:8">
      <c r="B242" s="5"/>
      <c r="H242" s="16"/>
    </row>
    <row r="243" spans="2:8">
      <c r="B243" s="5"/>
      <c r="H243" s="16"/>
    </row>
    <row r="244" spans="2:8">
      <c r="B244" s="5"/>
      <c r="H244" s="16"/>
    </row>
    <row r="245" spans="2:8">
      <c r="B245" s="5"/>
      <c r="H245" s="16"/>
    </row>
    <row r="246" spans="2:8">
      <c r="B246" s="5"/>
      <c r="H246" s="16"/>
    </row>
    <row r="247" spans="2:8">
      <c r="B247" s="5"/>
      <c r="H247" s="16"/>
    </row>
    <row r="248" spans="2:8">
      <c r="B248" s="5"/>
      <c r="H248" s="16"/>
    </row>
    <row r="249" spans="2:8">
      <c r="B249" s="5"/>
      <c r="H249" s="16"/>
    </row>
    <row r="250" spans="2:8">
      <c r="B250" s="5"/>
      <c r="H250" s="16"/>
    </row>
    <row r="251" spans="2:8">
      <c r="B251" s="5"/>
      <c r="H251" s="16"/>
    </row>
    <row r="252" spans="2:8">
      <c r="B252" s="5"/>
      <c r="H252" s="16"/>
    </row>
    <row r="253" spans="2:8">
      <c r="B253" s="5"/>
      <c r="H253" s="16"/>
    </row>
    <row r="254" spans="2:8">
      <c r="B254" s="5"/>
      <c r="H254" s="16"/>
    </row>
    <row r="255" spans="2:8">
      <c r="B255" s="5"/>
      <c r="H255" s="16"/>
    </row>
    <row r="256" spans="2:8">
      <c r="B256" s="5"/>
      <c r="H256" s="16"/>
    </row>
    <row r="257" spans="2:8">
      <c r="B257" s="5"/>
      <c r="H257" s="16"/>
    </row>
    <row r="258" spans="2:8">
      <c r="B258" s="5"/>
      <c r="H258" s="16"/>
    </row>
    <row r="259" spans="2:8">
      <c r="B259" s="5"/>
      <c r="H259" s="16"/>
    </row>
    <row r="260" spans="2:8">
      <c r="B260" s="5"/>
      <c r="H260" s="16"/>
    </row>
    <row r="261" spans="2:8">
      <c r="B261" s="5"/>
      <c r="H261" s="16"/>
    </row>
    <row r="262" spans="2:8">
      <c r="B262" s="5"/>
      <c r="H262" s="16"/>
    </row>
    <row r="263" spans="2:8">
      <c r="B263" s="5"/>
      <c r="H263" s="16"/>
    </row>
    <row r="264" spans="2:8">
      <c r="B264" s="5"/>
      <c r="H264" s="16"/>
    </row>
    <row r="265" spans="2:8">
      <c r="B265" s="5"/>
      <c r="H265" s="16"/>
    </row>
    <row r="266" spans="2:8">
      <c r="B266" s="5"/>
      <c r="H266" s="16"/>
    </row>
    <row r="267" spans="2:8">
      <c r="B267" s="5"/>
      <c r="H267" s="16"/>
    </row>
    <row r="268" spans="2:8">
      <c r="B268" s="5"/>
      <c r="H268" s="16"/>
    </row>
    <row r="269" spans="2:8">
      <c r="B269" s="5"/>
      <c r="H269" s="16"/>
    </row>
    <row r="270" spans="2:8">
      <c r="B270" s="5"/>
      <c r="H270" s="16"/>
    </row>
    <row r="271" spans="2:8">
      <c r="B271" s="5"/>
      <c r="H271" s="16"/>
    </row>
    <row r="272" spans="2:8">
      <c r="B272" s="5"/>
      <c r="H272" s="16"/>
    </row>
    <row r="273" spans="2:8">
      <c r="B273" s="5"/>
      <c r="H273" s="16"/>
    </row>
    <row r="274" spans="2:8">
      <c r="B274" s="5"/>
      <c r="H274" s="16"/>
    </row>
    <row r="275" spans="2:8">
      <c r="B275" s="5"/>
      <c r="H275" s="16"/>
    </row>
    <row r="276" spans="2:8">
      <c r="B276" s="5"/>
      <c r="H276" s="16"/>
    </row>
    <row r="277" spans="2:8">
      <c r="B277" s="5"/>
      <c r="H277" s="16"/>
    </row>
    <row r="278" spans="2:8">
      <c r="B278" s="5"/>
      <c r="H278" s="16"/>
    </row>
    <row r="279" spans="2:8">
      <c r="B279" s="5"/>
      <c r="H279" s="16"/>
    </row>
    <row r="280" spans="2:8">
      <c r="B280" s="5"/>
      <c r="H280" s="16"/>
    </row>
    <row r="281" spans="2:8">
      <c r="B281" s="5"/>
      <c r="H281" s="16"/>
    </row>
    <row r="282" spans="2:8">
      <c r="B282" s="5"/>
      <c r="H282" s="16"/>
    </row>
    <row r="283" spans="2:8">
      <c r="B283" s="5"/>
      <c r="H283" s="16"/>
    </row>
    <row r="284" spans="2:8">
      <c r="B284" s="5"/>
      <c r="H284" s="16"/>
    </row>
    <row r="285" spans="2:8">
      <c r="B285" s="5"/>
      <c r="H285" s="16"/>
    </row>
    <row r="286" spans="2:8">
      <c r="B286" s="5"/>
      <c r="H286" s="16"/>
    </row>
    <row r="287" spans="2:8">
      <c r="B287" s="5"/>
      <c r="H287" s="16"/>
    </row>
    <row r="288" spans="2:8">
      <c r="B288" s="5"/>
      <c r="H288" s="16"/>
    </row>
    <row r="289" spans="2:8">
      <c r="B289" s="5"/>
      <c r="H289" s="16"/>
    </row>
    <row r="290" spans="2:8">
      <c r="B290" s="5"/>
      <c r="H290" s="16"/>
    </row>
    <row r="291" spans="2:8">
      <c r="B291" s="5"/>
      <c r="H291" s="16"/>
    </row>
    <row r="292" spans="2:8">
      <c r="B292" s="5"/>
      <c r="H292" s="16"/>
    </row>
    <row r="293" spans="2:8">
      <c r="B293" s="5"/>
      <c r="H293" s="16"/>
    </row>
    <row r="294" spans="2:8">
      <c r="B294" s="5"/>
      <c r="H294" s="16"/>
    </row>
    <row r="295" spans="2:8">
      <c r="B295" s="5"/>
      <c r="H295" s="16"/>
    </row>
    <row r="296" spans="2:8">
      <c r="B296" s="5"/>
      <c r="H296" s="16"/>
    </row>
    <row r="297" spans="2:8">
      <c r="B297" s="5"/>
      <c r="H297" s="16"/>
    </row>
    <row r="298" spans="2:8">
      <c r="B298" s="5"/>
      <c r="H298" s="16"/>
    </row>
    <row r="299" spans="2:8">
      <c r="B299" s="5"/>
      <c r="H299" s="16"/>
    </row>
    <row r="300" spans="2:8">
      <c r="B300" s="5"/>
      <c r="H300" s="16"/>
    </row>
    <row r="301" spans="2:8">
      <c r="B301" s="5"/>
      <c r="H301" s="16"/>
    </row>
    <row r="302" spans="2:8">
      <c r="B302" s="5"/>
      <c r="H302" s="16"/>
    </row>
    <row r="303" spans="2:8">
      <c r="B303" s="5"/>
      <c r="H303" s="16"/>
    </row>
    <row r="304" spans="2:8">
      <c r="B304" s="5"/>
      <c r="H304" s="16"/>
    </row>
    <row r="305" spans="2:8">
      <c r="B305" s="5"/>
      <c r="H305" s="16"/>
    </row>
    <row r="306" spans="2:8">
      <c r="B306" s="5"/>
      <c r="H306" s="16"/>
    </row>
    <row r="307" spans="2:8">
      <c r="B307" s="5"/>
      <c r="H307" s="16"/>
    </row>
    <row r="308" spans="2:8">
      <c r="B308" s="5"/>
      <c r="H308" s="16"/>
    </row>
    <row r="309" spans="2:8">
      <c r="B309" s="5"/>
      <c r="H309" s="16"/>
    </row>
    <row r="310" spans="2:8">
      <c r="B310" s="5"/>
      <c r="H310" s="16"/>
    </row>
    <row r="311" spans="2:8">
      <c r="B311" s="5"/>
      <c r="H311" s="16"/>
    </row>
    <row r="312" spans="2:8">
      <c r="B312" s="5"/>
      <c r="H312" s="16"/>
    </row>
    <row r="313" spans="2:8">
      <c r="B313" s="5"/>
      <c r="H313" s="16"/>
    </row>
    <row r="314" spans="2:8">
      <c r="B314" s="5"/>
      <c r="H314" s="16"/>
    </row>
    <row r="315" spans="2:8">
      <c r="B315" s="5"/>
      <c r="H315" s="16"/>
    </row>
    <row r="316" spans="2:8">
      <c r="B316" s="5"/>
      <c r="H316" s="16"/>
    </row>
    <row r="317" spans="2:8">
      <c r="B317" s="5"/>
      <c r="H317" s="16"/>
    </row>
    <row r="318" spans="2:8">
      <c r="B318" s="5"/>
      <c r="H318" s="16"/>
    </row>
    <row r="319" spans="2:8">
      <c r="B319" s="5"/>
      <c r="H319" s="16"/>
    </row>
    <row r="320" spans="2:8">
      <c r="B320" s="5"/>
      <c r="H320" s="16"/>
    </row>
    <row r="321" spans="2:8">
      <c r="B321" s="5"/>
      <c r="H321" s="16"/>
    </row>
    <row r="322" spans="2:8">
      <c r="B322" s="5"/>
      <c r="H322" s="16"/>
    </row>
    <row r="323" spans="2:8">
      <c r="B323" s="5"/>
      <c r="H323" s="16"/>
    </row>
    <row r="324" spans="2:8">
      <c r="B324" s="5"/>
      <c r="H324" s="16"/>
    </row>
    <row r="325" spans="2:8">
      <c r="B325" s="5"/>
      <c r="H325" s="16"/>
    </row>
    <row r="326" spans="2:8">
      <c r="B326" s="5"/>
      <c r="H326" s="16"/>
    </row>
    <row r="327" spans="2:8">
      <c r="B327" s="5"/>
      <c r="H327" s="16"/>
    </row>
    <row r="328" spans="2:8">
      <c r="B328" s="5"/>
      <c r="H328" s="16"/>
    </row>
    <row r="329" spans="2:8">
      <c r="B329" s="5"/>
      <c r="H329" s="16"/>
    </row>
    <row r="330" spans="2:8">
      <c r="B330" s="5"/>
      <c r="H330" s="16"/>
    </row>
    <row r="331" spans="2:8">
      <c r="B331" s="5"/>
      <c r="H331" s="16"/>
    </row>
    <row r="332" spans="2:8">
      <c r="B332" s="5"/>
      <c r="H332" s="16"/>
    </row>
    <row r="333" spans="2:8">
      <c r="B333" s="5"/>
      <c r="H333" s="16"/>
    </row>
    <row r="334" spans="2:8">
      <c r="B334" s="5"/>
      <c r="H334" s="16"/>
    </row>
    <row r="335" spans="2:8">
      <c r="B335" s="5"/>
      <c r="H335" s="16"/>
    </row>
    <row r="336" spans="2:8">
      <c r="B336" s="5"/>
      <c r="H336" s="16"/>
    </row>
    <row r="337" spans="2:8">
      <c r="B337" s="5"/>
      <c r="H337" s="16"/>
    </row>
    <row r="338" spans="2:8">
      <c r="B338" s="5"/>
      <c r="H338" s="16"/>
    </row>
    <row r="339" spans="2:8">
      <c r="B339" s="5"/>
      <c r="H339" s="16"/>
    </row>
    <row r="340" spans="2:8">
      <c r="B340" s="5"/>
      <c r="H340" s="16"/>
    </row>
    <row r="341" spans="2:8">
      <c r="B341" s="5"/>
      <c r="H341" s="16"/>
    </row>
    <row r="342" spans="2:8">
      <c r="B342" s="5"/>
      <c r="H342" s="16"/>
    </row>
    <row r="343" spans="2:8">
      <c r="B343" s="5"/>
      <c r="H343" s="16"/>
    </row>
    <row r="344" spans="2:8">
      <c r="B344" s="5"/>
      <c r="H344" s="16"/>
    </row>
    <row r="345" spans="2:8">
      <c r="B345" s="5"/>
      <c r="H345" s="16"/>
    </row>
    <row r="346" spans="2:8">
      <c r="B346" s="5"/>
      <c r="H346" s="16"/>
    </row>
    <row r="347" spans="2:8">
      <c r="B347" s="5"/>
      <c r="H347" s="16"/>
    </row>
    <row r="348" spans="2:8">
      <c r="B348" s="5"/>
      <c r="H348" s="16"/>
    </row>
    <row r="349" spans="2:8">
      <c r="B349" s="5"/>
      <c r="H349" s="16"/>
    </row>
    <row r="350" spans="2:8">
      <c r="B350" s="5"/>
      <c r="H350" s="16"/>
    </row>
    <row r="351" spans="2:8">
      <c r="B351" s="5"/>
      <c r="H351" s="16"/>
    </row>
    <row r="352" spans="2:8">
      <c r="B352" s="5"/>
      <c r="H352" s="16"/>
    </row>
    <row r="353" spans="2:8">
      <c r="B353" s="5"/>
      <c r="H353" s="16"/>
    </row>
    <row r="354" spans="2:8">
      <c r="B354" s="5"/>
      <c r="H354" s="16"/>
    </row>
    <row r="355" spans="2:8">
      <c r="B355" s="5"/>
      <c r="H355" s="16"/>
    </row>
    <row r="356" spans="2:8">
      <c r="B356" s="5"/>
      <c r="H356" s="16"/>
    </row>
    <row r="357" spans="2:8">
      <c r="B357" s="5"/>
      <c r="H357" s="16"/>
    </row>
    <row r="358" spans="2:8">
      <c r="B358" s="5"/>
      <c r="H358" s="16"/>
    </row>
    <row r="359" spans="2:8">
      <c r="B359" s="5"/>
      <c r="H359" s="16"/>
    </row>
    <row r="360" spans="2:8">
      <c r="B360" s="5"/>
      <c r="H360" s="16"/>
    </row>
    <row r="361" spans="2:8">
      <c r="B361" s="5"/>
      <c r="H361" s="16"/>
    </row>
    <row r="362" spans="2:8">
      <c r="B362" s="5"/>
      <c r="H362" s="16"/>
    </row>
    <row r="363" spans="2:8">
      <c r="B363" s="5"/>
      <c r="H363" s="16"/>
    </row>
    <row r="364" spans="2:8">
      <c r="B364" s="5"/>
      <c r="H364" s="16"/>
    </row>
    <row r="365" spans="2:8">
      <c r="B365" s="5"/>
      <c r="H365" s="16"/>
    </row>
    <row r="366" spans="2:8">
      <c r="B366" s="5"/>
      <c r="H366" s="16"/>
    </row>
    <row r="367" spans="2:8">
      <c r="B367" s="5"/>
      <c r="H367" s="16"/>
    </row>
    <row r="368" spans="2:8">
      <c r="B368" s="5"/>
      <c r="H368" s="16"/>
    </row>
    <row r="369" spans="2:8">
      <c r="B369" s="5"/>
      <c r="H369" s="16"/>
    </row>
    <row r="370" spans="2:8">
      <c r="B370" s="5"/>
      <c r="H370" s="16"/>
    </row>
    <row r="371" spans="2:8">
      <c r="B371" s="5"/>
      <c r="H371" s="16"/>
    </row>
    <row r="372" spans="2:8">
      <c r="B372" s="5"/>
      <c r="H372" s="16"/>
    </row>
    <row r="373" spans="2:8">
      <c r="B373" s="5"/>
      <c r="H373" s="16"/>
    </row>
    <row r="374" spans="2:8">
      <c r="B374" s="5"/>
      <c r="H374" s="16"/>
    </row>
    <row r="375" spans="2:8">
      <c r="B375" s="5"/>
      <c r="H375" s="16"/>
    </row>
    <row r="376" spans="2:8">
      <c r="B376" s="5"/>
      <c r="H376" s="16"/>
    </row>
    <row r="377" spans="2:8">
      <c r="B377" s="5"/>
      <c r="H377" s="16"/>
    </row>
    <row r="378" spans="2:8">
      <c r="B378" s="5"/>
      <c r="H378" s="16"/>
    </row>
    <row r="379" spans="2:8">
      <c r="B379" s="5"/>
      <c r="H379" s="16"/>
    </row>
    <row r="380" spans="2:8">
      <c r="B380" s="5"/>
      <c r="H380" s="16"/>
    </row>
    <row r="381" spans="2:8">
      <c r="B381" s="5"/>
      <c r="H381" s="16"/>
    </row>
    <row r="382" spans="2:8">
      <c r="B382" s="5"/>
      <c r="H382" s="16"/>
    </row>
    <row r="383" spans="2:8">
      <c r="B383" s="5"/>
      <c r="H383" s="16"/>
    </row>
    <row r="384" spans="2:8">
      <c r="B384" s="5"/>
      <c r="H384" s="16"/>
    </row>
    <row r="385" spans="2:8">
      <c r="B385" s="5"/>
      <c r="H385" s="16"/>
    </row>
    <row r="386" spans="2:8">
      <c r="B386" s="5"/>
      <c r="H386" s="16"/>
    </row>
    <row r="387" spans="2:8">
      <c r="B387" s="5"/>
      <c r="H387" s="16"/>
    </row>
    <row r="388" spans="2:8">
      <c r="B388" s="5"/>
      <c r="H388" s="16"/>
    </row>
    <row r="389" spans="2:8">
      <c r="B389" s="5"/>
      <c r="H389" s="16"/>
    </row>
    <row r="390" spans="2:8">
      <c r="B390" s="5"/>
      <c r="H390" s="16"/>
    </row>
    <row r="391" spans="2:8">
      <c r="B391" s="5"/>
      <c r="H391" s="16"/>
    </row>
    <row r="392" spans="2:8">
      <c r="B392" s="5"/>
      <c r="H392" s="16"/>
    </row>
    <row r="393" spans="2:8">
      <c r="B393" s="5"/>
      <c r="H393" s="16"/>
    </row>
    <row r="394" spans="2:8">
      <c r="B394" s="5"/>
      <c r="H394" s="16"/>
    </row>
    <row r="395" spans="2:8">
      <c r="B395" s="5"/>
      <c r="H395" s="16"/>
    </row>
    <row r="396" spans="2:8">
      <c r="B396" s="5"/>
      <c r="H396" s="16"/>
    </row>
    <row r="397" spans="2:8">
      <c r="B397" s="5"/>
      <c r="H397" s="16"/>
    </row>
    <row r="398" spans="2:8">
      <c r="B398" s="5"/>
      <c r="H398" s="16"/>
    </row>
    <row r="399" spans="2:8">
      <c r="B399" s="5"/>
      <c r="H399" s="16"/>
    </row>
    <row r="400" spans="2:8">
      <c r="B400" s="5"/>
      <c r="H400" s="16"/>
    </row>
    <row r="401" spans="2:8">
      <c r="B401" s="5"/>
      <c r="H401" s="16"/>
    </row>
    <row r="402" spans="2:8">
      <c r="B402" s="5"/>
      <c r="H402" s="16"/>
    </row>
    <row r="403" spans="2:8">
      <c r="B403" s="5"/>
      <c r="H403" s="16"/>
    </row>
    <row r="404" spans="2:8">
      <c r="B404" s="5"/>
      <c r="H404" s="16"/>
    </row>
    <row r="405" spans="2:8">
      <c r="B405" s="5"/>
      <c r="H405" s="16"/>
    </row>
    <row r="406" spans="2:8">
      <c r="B406" s="5"/>
      <c r="H406" s="16"/>
    </row>
    <row r="407" spans="2:8">
      <c r="B407" s="5"/>
      <c r="H407" s="16"/>
    </row>
    <row r="408" spans="2:8">
      <c r="B408" s="5"/>
      <c r="H408" s="16"/>
    </row>
    <row r="409" spans="2:8">
      <c r="B409" s="5"/>
      <c r="H409" s="16"/>
    </row>
    <row r="410" spans="2:8">
      <c r="B410" s="5"/>
      <c r="H410" s="16"/>
    </row>
    <row r="411" spans="2:8">
      <c r="B411" s="5"/>
      <c r="H411" s="16"/>
    </row>
    <row r="412" spans="2:8">
      <c r="B412" s="5"/>
      <c r="H412" s="16"/>
    </row>
    <row r="413" spans="2:8">
      <c r="B413" s="5"/>
      <c r="H413" s="16"/>
    </row>
    <row r="414" spans="2:8">
      <c r="B414" s="5"/>
      <c r="H414" s="16"/>
    </row>
    <row r="415" spans="2:8">
      <c r="B415" s="5"/>
      <c r="H415" s="16"/>
    </row>
    <row r="416" spans="2:8">
      <c r="B416" s="5"/>
      <c r="H416" s="16"/>
    </row>
    <row r="417" spans="2:8">
      <c r="B417" s="5"/>
      <c r="H417" s="16"/>
    </row>
    <row r="418" spans="2:8">
      <c r="B418" s="5"/>
      <c r="H418" s="16"/>
    </row>
    <row r="419" spans="2:8">
      <c r="B419" s="5"/>
      <c r="H419" s="16"/>
    </row>
    <row r="420" spans="2:8">
      <c r="B420" s="5"/>
      <c r="H420" s="16"/>
    </row>
    <row r="421" spans="2:8">
      <c r="B421" s="5"/>
      <c r="H421" s="16"/>
    </row>
    <row r="422" spans="2:8">
      <c r="B422" s="5"/>
      <c r="H422" s="16"/>
    </row>
    <row r="423" spans="2:8">
      <c r="B423" s="5"/>
      <c r="H423" s="16"/>
    </row>
    <row r="424" spans="2:8">
      <c r="B424" s="5"/>
      <c r="H424" s="16"/>
    </row>
    <row r="425" spans="2:8">
      <c r="B425" s="5"/>
      <c r="H425" s="16"/>
    </row>
    <row r="426" spans="2:8">
      <c r="B426" s="5"/>
      <c r="H426" s="16"/>
    </row>
    <row r="427" spans="2:8">
      <c r="B427" s="5"/>
      <c r="H427" s="16"/>
    </row>
    <row r="428" spans="2:8">
      <c r="B428" s="5"/>
      <c r="H428" s="16"/>
    </row>
    <row r="429" spans="2:8">
      <c r="B429" s="5"/>
      <c r="H429" s="16"/>
    </row>
    <row r="430" spans="2:8">
      <c r="B430" s="5"/>
      <c r="H430" s="16"/>
    </row>
    <row r="431" spans="2:8">
      <c r="B431" s="5"/>
      <c r="H431" s="16"/>
    </row>
    <row r="432" spans="2:8">
      <c r="B432" s="5"/>
      <c r="H432" s="16"/>
    </row>
    <row r="433" spans="2:8">
      <c r="B433" s="5"/>
      <c r="H433" s="16"/>
    </row>
    <row r="434" spans="2:8">
      <c r="B434" s="5"/>
      <c r="H434" s="16"/>
    </row>
    <row r="435" spans="2:8">
      <c r="B435" s="5"/>
      <c r="H435" s="16"/>
    </row>
    <row r="436" spans="2:8">
      <c r="B436" s="5"/>
      <c r="H436" s="16"/>
    </row>
    <row r="437" spans="2:8">
      <c r="B437" s="5"/>
      <c r="H437" s="16"/>
    </row>
    <row r="438" spans="2:8">
      <c r="B438" s="5"/>
      <c r="H438" s="16"/>
    </row>
    <row r="439" spans="2:8">
      <c r="B439" s="5"/>
      <c r="H439" s="16"/>
    </row>
    <row r="440" spans="2:8">
      <c r="B440" s="5"/>
      <c r="H440" s="16"/>
    </row>
    <row r="441" spans="2:8">
      <c r="B441" s="5"/>
      <c r="H441" s="16"/>
    </row>
    <row r="442" spans="2:8">
      <c r="B442" s="5"/>
      <c r="H442" s="16"/>
    </row>
    <row r="443" spans="2:8">
      <c r="B443" s="5"/>
      <c r="H443" s="16"/>
    </row>
    <row r="444" spans="2:8">
      <c r="B444" s="5"/>
      <c r="H444" s="16"/>
    </row>
    <row r="445" spans="2:8">
      <c r="B445" s="5"/>
      <c r="H445" s="16"/>
    </row>
    <row r="446" spans="2:8">
      <c r="B446" s="5"/>
      <c r="H446" s="16"/>
    </row>
    <row r="447" spans="2:8">
      <c r="B447" s="5"/>
      <c r="H447" s="16"/>
    </row>
    <row r="448" spans="2:8">
      <c r="B448" s="5"/>
      <c r="H448" s="16"/>
    </row>
    <row r="449" spans="2:8">
      <c r="B449" s="5"/>
      <c r="H449" s="16"/>
    </row>
    <row r="450" spans="2:8">
      <c r="B450" s="5"/>
      <c r="H450" s="16"/>
    </row>
    <row r="451" spans="2:8">
      <c r="B451" s="5"/>
      <c r="H451" s="16"/>
    </row>
    <row r="452" spans="2:8">
      <c r="B452" s="5"/>
      <c r="H452" s="16"/>
    </row>
    <row r="453" spans="2:8">
      <c r="B453" s="5"/>
      <c r="H453" s="16"/>
    </row>
    <row r="454" spans="2:8">
      <c r="B454" s="5"/>
      <c r="H454" s="16"/>
    </row>
    <row r="455" spans="2:8">
      <c r="B455" s="5"/>
      <c r="H455" s="16"/>
    </row>
    <row r="456" spans="2:8">
      <c r="B456" s="5"/>
      <c r="H456" s="16"/>
    </row>
    <row r="457" spans="2:8">
      <c r="B457" s="5"/>
      <c r="H457" s="16"/>
    </row>
    <row r="458" spans="2:8">
      <c r="B458" s="5"/>
      <c r="H458" s="16"/>
    </row>
    <row r="459" spans="2:8">
      <c r="B459" s="5"/>
      <c r="H459" s="16"/>
    </row>
    <row r="460" spans="2:8">
      <c r="B460" s="5"/>
      <c r="H460" s="16"/>
    </row>
    <row r="461" spans="2:8">
      <c r="B461" s="5"/>
      <c r="H461" s="16"/>
    </row>
    <row r="462" spans="2:8">
      <c r="B462" s="5"/>
      <c r="H462" s="16"/>
    </row>
    <row r="463" spans="2:8">
      <c r="B463" s="5"/>
      <c r="H463" s="16"/>
    </row>
    <row r="464" spans="2:8">
      <c r="B464" s="5"/>
      <c r="H464" s="16"/>
    </row>
    <row r="465" spans="2:8">
      <c r="B465" s="5"/>
      <c r="H465" s="16"/>
    </row>
    <row r="466" spans="2:8">
      <c r="B466" s="5"/>
      <c r="H466" s="16"/>
    </row>
    <row r="467" spans="2:8">
      <c r="B467" s="5"/>
      <c r="H467" s="16"/>
    </row>
    <row r="468" spans="2:8">
      <c r="B468" s="5"/>
      <c r="H468" s="16"/>
    </row>
    <row r="469" spans="2:8">
      <c r="B469" s="5"/>
      <c r="H469" s="16"/>
    </row>
    <row r="470" spans="2:8">
      <c r="B470" s="5"/>
      <c r="H470" s="16"/>
    </row>
    <row r="471" spans="2:8">
      <c r="B471" s="5"/>
      <c r="H471" s="16"/>
    </row>
    <row r="472" spans="2:8">
      <c r="B472" s="5"/>
      <c r="H472" s="16"/>
    </row>
    <row r="473" spans="2:8">
      <c r="B473" s="5"/>
      <c r="H473" s="16"/>
    </row>
    <row r="474" spans="2:8">
      <c r="B474" s="5"/>
      <c r="H474" s="16"/>
    </row>
    <row r="475" spans="2:8">
      <c r="B475" s="5"/>
      <c r="H475" s="16"/>
    </row>
    <row r="476" spans="2:8">
      <c r="B476" s="5"/>
      <c r="H476" s="16"/>
    </row>
    <row r="477" spans="2:8">
      <c r="B477" s="5"/>
      <c r="H477" s="16"/>
    </row>
    <row r="478" spans="2:8">
      <c r="B478" s="5"/>
      <c r="H478" s="16"/>
    </row>
    <row r="479" spans="2:8">
      <c r="B479" s="5"/>
      <c r="H479" s="16"/>
    </row>
    <row r="480" spans="2:8">
      <c r="B480" s="5"/>
      <c r="H480" s="16"/>
    </row>
    <row r="481" spans="2:8">
      <c r="B481" s="5"/>
      <c r="H481" s="16"/>
    </row>
    <row r="482" spans="2:8">
      <c r="B482" s="5"/>
      <c r="H482" s="16"/>
    </row>
    <row r="483" spans="2:8">
      <c r="B483" s="5"/>
      <c r="H483" s="16"/>
    </row>
    <row r="484" spans="2:8">
      <c r="B484" s="5"/>
      <c r="H484" s="16"/>
    </row>
    <row r="485" spans="2:8">
      <c r="B485" s="5"/>
      <c r="H485" s="16"/>
    </row>
    <row r="486" spans="2:8">
      <c r="B486" s="5"/>
      <c r="H486" s="16"/>
    </row>
    <row r="487" spans="2:8">
      <c r="B487" s="5"/>
      <c r="H487" s="16"/>
    </row>
    <row r="488" spans="2:8">
      <c r="B488" s="5"/>
      <c r="H488" s="16"/>
    </row>
    <row r="489" spans="2:8">
      <c r="B489" s="5"/>
      <c r="H489" s="16"/>
    </row>
    <row r="490" spans="2:8">
      <c r="B490" s="5"/>
      <c r="H490" s="16"/>
    </row>
    <row r="491" spans="2:8">
      <c r="B491" s="5"/>
      <c r="H491" s="16"/>
    </row>
    <row r="492" spans="2:8">
      <c r="B492" s="5"/>
      <c r="H492" s="16"/>
    </row>
    <row r="493" spans="2:8">
      <c r="B493" s="5"/>
      <c r="H493" s="16"/>
    </row>
    <row r="494" spans="2:8">
      <c r="B494" s="5"/>
      <c r="H494" s="16"/>
    </row>
    <row r="495" spans="2:8">
      <c r="B495" s="5"/>
      <c r="H495" s="16"/>
    </row>
    <row r="496" spans="2:8">
      <c r="B496" s="5"/>
      <c r="H496" s="16"/>
    </row>
    <row r="497" spans="2:8">
      <c r="B497" s="5"/>
      <c r="H497" s="16"/>
    </row>
    <row r="498" spans="2:8">
      <c r="B498" s="5"/>
      <c r="H498" s="16"/>
    </row>
    <row r="499" spans="2:8">
      <c r="B499" s="5"/>
      <c r="H499" s="16"/>
    </row>
    <row r="500" spans="2:8">
      <c r="B500" s="5"/>
      <c r="H500" s="16"/>
    </row>
    <row r="501" spans="2:8">
      <c r="B501" s="5"/>
      <c r="H501" s="16"/>
    </row>
    <row r="502" spans="2:8">
      <c r="B502" s="5"/>
      <c r="H502" s="16"/>
    </row>
    <row r="503" spans="2:8">
      <c r="B503" s="5"/>
      <c r="H503" s="16"/>
    </row>
    <row r="504" spans="2:8">
      <c r="B504" s="5"/>
      <c r="H504" s="16"/>
    </row>
    <row r="505" spans="2:8">
      <c r="B505" s="5"/>
      <c r="H505" s="16"/>
    </row>
    <row r="506" spans="2:8">
      <c r="B506" s="5"/>
      <c r="H506" s="16"/>
    </row>
    <row r="507" spans="2:8">
      <c r="B507" s="5"/>
      <c r="H507" s="16"/>
    </row>
    <row r="508" spans="2:8">
      <c r="B508" s="5"/>
      <c r="H508" s="16"/>
    </row>
    <row r="509" spans="2:8">
      <c r="B509" s="5"/>
      <c r="H509" s="16"/>
    </row>
    <row r="510" spans="2:8">
      <c r="B510" s="5"/>
      <c r="H510" s="16"/>
    </row>
    <row r="511" spans="2:8">
      <c r="B511" s="5"/>
      <c r="H511" s="16"/>
    </row>
    <row r="512" spans="2:8">
      <c r="B512" s="5"/>
      <c r="H512" s="16"/>
    </row>
    <row r="513" spans="2:8">
      <c r="B513" s="5"/>
      <c r="H513" s="16"/>
    </row>
    <row r="514" spans="2:8">
      <c r="B514" s="5"/>
      <c r="H514" s="16"/>
    </row>
    <row r="515" spans="2:8">
      <c r="B515" s="5"/>
      <c r="H515" s="16"/>
    </row>
    <row r="516" spans="2:8">
      <c r="B516" s="5"/>
      <c r="H516" s="16"/>
    </row>
    <row r="517" spans="2:8">
      <c r="B517" s="5"/>
      <c r="H517" s="16"/>
    </row>
    <row r="518" spans="2:8">
      <c r="B518" s="5"/>
      <c r="H518" s="16"/>
    </row>
    <row r="519" spans="2:8">
      <c r="B519" s="5"/>
      <c r="H519" s="16"/>
    </row>
    <row r="520" spans="2:8">
      <c r="B520" s="5"/>
      <c r="H520" s="16"/>
    </row>
    <row r="521" spans="2:8">
      <c r="B521" s="5"/>
      <c r="H521" s="16"/>
    </row>
    <row r="522" spans="2:8">
      <c r="B522" s="5"/>
      <c r="H522" s="16"/>
    </row>
    <row r="523" spans="2:8">
      <c r="B523" s="5"/>
      <c r="H523" s="16"/>
    </row>
    <row r="524" spans="2:8">
      <c r="B524" s="5"/>
      <c r="H524" s="16"/>
    </row>
    <row r="525" spans="2:8">
      <c r="B525" s="5"/>
      <c r="H525" s="16"/>
    </row>
    <row r="526" spans="2:8">
      <c r="B526" s="5"/>
      <c r="H526" s="16"/>
    </row>
    <row r="527" spans="2:8">
      <c r="B527" s="5"/>
      <c r="H527" s="16"/>
    </row>
    <row r="528" spans="2:8">
      <c r="B528" s="5"/>
      <c r="H528" s="16"/>
    </row>
    <row r="529" spans="2:8">
      <c r="B529" s="5"/>
      <c r="H529" s="16"/>
    </row>
    <row r="530" spans="2:8">
      <c r="B530" s="5"/>
      <c r="H530" s="16"/>
    </row>
    <row r="531" spans="2:8">
      <c r="B531" s="5"/>
      <c r="H531" s="16"/>
    </row>
    <row r="532" spans="2:8">
      <c r="B532" s="5"/>
      <c r="H532" s="16"/>
    </row>
    <row r="533" spans="2:8">
      <c r="B533" s="5"/>
      <c r="H533" s="16"/>
    </row>
    <row r="534" spans="2:8">
      <c r="B534" s="5"/>
      <c r="H534" s="16"/>
    </row>
    <row r="535" spans="2:8">
      <c r="B535" s="5"/>
      <c r="H535" s="16"/>
    </row>
    <row r="536" spans="2:8">
      <c r="B536" s="5"/>
      <c r="H536" s="16"/>
    </row>
    <row r="537" spans="2:8">
      <c r="B537" s="5"/>
      <c r="H537" s="16"/>
    </row>
    <row r="538" spans="2:8">
      <c r="B538" s="5"/>
      <c r="H538" s="16"/>
    </row>
    <row r="539" spans="2:8">
      <c r="B539" s="5"/>
      <c r="H539" s="16"/>
    </row>
    <row r="540" spans="2:8">
      <c r="B540" s="5"/>
      <c r="H540" s="16"/>
    </row>
    <row r="541" spans="2:8">
      <c r="B541" s="5"/>
      <c r="H541" s="16"/>
    </row>
    <row r="542" spans="2:8">
      <c r="B542" s="5"/>
      <c r="H542" s="16"/>
    </row>
    <row r="543" spans="2:8">
      <c r="B543" s="5"/>
      <c r="H543" s="16"/>
    </row>
    <row r="544" spans="2:8">
      <c r="B544" s="5"/>
      <c r="H544" s="16"/>
    </row>
    <row r="545" spans="2:8">
      <c r="B545" s="5"/>
      <c r="H545" s="16"/>
    </row>
    <row r="546" spans="2:8">
      <c r="B546" s="5"/>
      <c r="H546" s="16"/>
    </row>
    <row r="547" spans="2:8">
      <c r="B547" s="5"/>
      <c r="H547" s="16"/>
    </row>
    <row r="548" spans="2:8">
      <c r="B548" s="5"/>
      <c r="H548" s="16"/>
    </row>
    <row r="549" spans="2:8">
      <c r="B549" s="5"/>
      <c r="H549" s="16"/>
    </row>
    <row r="550" spans="2:8">
      <c r="B550" s="5"/>
      <c r="H550" s="16"/>
    </row>
    <row r="551" spans="2:8">
      <c r="B551" s="5"/>
      <c r="H551" s="16"/>
    </row>
    <row r="552" spans="2:8">
      <c r="B552" s="5"/>
      <c r="H552" s="16"/>
    </row>
    <row r="553" spans="2:8">
      <c r="B553" s="5"/>
      <c r="H553" s="16"/>
    </row>
    <row r="554" spans="2:8">
      <c r="B554" s="5"/>
      <c r="H554" s="16"/>
    </row>
    <row r="555" spans="2:8">
      <c r="B555" s="5"/>
      <c r="H555" s="16"/>
    </row>
    <row r="556" spans="2:8">
      <c r="B556" s="5"/>
      <c r="H556" s="16"/>
    </row>
    <row r="557" spans="2:8">
      <c r="B557" s="5"/>
      <c r="H557" s="16"/>
    </row>
    <row r="558" spans="2:8">
      <c r="B558" s="5"/>
      <c r="H558" s="16"/>
    </row>
    <row r="559" spans="2:8">
      <c r="B559" s="5"/>
      <c r="H559" s="16"/>
    </row>
    <row r="560" spans="2:8">
      <c r="B560" s="5"/>
      <c r="H560" s="16"/>
    </row>
    <row r="561" spans="2:8">
      <c r="B561" s="5"/>
      <c r="H561" s="16"/>
    </row>
    <row r="562" spans="2:8">
      <c r="B562" s="5"/>
      <c r="H562" s="16"/>
    </row>
    <row r="563" spans="2:8">
      <c r="B563" s="5"/>
      <c r="H563" s="16"/>
    </row>
    <row r="564" spans="2:8">
      <c r="B564" s="5"/>
      <c r="H564" s="16"/>
    </row>
    <row r="565" spans="2:8">
      <c r="B565" s="5"/>
      <c r="H565" s="16"/>
    </row>
    <row r="566" spans="2:8">
      <c r="B566" s="5"/>
      <c r="H566" s="16"/>
    </row>
    <row r="567" spans="2:8">
      <c r="B567" s="5"/>
      <c r="H567" s="16"/>
    </row>
    <row r="568" spans="2:8">
      <c r="B568" s="5"/>
      <c r="H568" s="16"/>
    </row>
    <row r="569" spans="2:8">
      <c r="B569" s="5"/>
      <c r="H569" s="16"/>
    </row>
    <row r="570" spans="2:8">
      <c r="B570" s="5"/>
      <c r="H570" s="16"/>
    </row>
    <row r="571" spans="2:8">
      <c r="B571" s="5"/>
      <c r="H571" s="16"/>
    </row>
    <row r="572" spans="2:8">
      <c r="B572" s="5"/>
      <c r="H572" s="16"/>
    </row>
    <row r="573" spans="2:8">
      <c r="B573" s="5"/>
      <c r="H573" s="16"/>
    </row>
    <row r="574" spans="2:8">
      <c r="B574" s="5"/>
      <c r="H574" s="16"/>
    </row>
    <row r="575" spans="2:8">
      <c r="B575" s="5"/>
      <c r="H575" s="16"/>
    </row>
    <row r="576" spans="2:8">
      <c r="B576" s="5"/>
      <c r="H576" s="16"/>
    </row>
    <row r="577" spans="2:8">
      <c r="B577" s="5"/>
      <c r="H577" s="16"/>
    </row>
    <row r="578" spans="2:8">
      <c r="B578" s="5"/>
      <c r="H578" s="16"/>
    </row>
    <row r="579" spans="2:8">
      <c r="B579" s="5"/>
      <c r="H579" s="16"/>
    </row>
    <row r="580" spans="2:8">
      <c r="B580" s="5"/>
      <c r="H580" s="16"/>
    </row>
    <row r="581" spans="2:8">
      <c r="B581" s="5"/>
      <c r="H581" s="16"/>
    </row>
    <row r="582" spans="2:8">
      <c r="B582" s="5"/>
      <c r="H582" s="16"/>
    </row>
    <row r="583" spans="2:8">
      <c r="B583" s="5"/>
      <c r="H583" s="16"/>
    </row>
    <row r="584" spans="2:8">
      <c r="B584" s="5"/>
      <c r="H584" s="16"/>
    </row>
    <row r="585" spans="2:8">
      <c r="B585" s="5"/>
      <c r="H585" s="16"/>
    </row>
    <row r="586" spans="2:8">
      <c r="B586" s="5"/>
      <c r="H586" s="16"/>
    </row>
    <row r="587" spans="2:8">
      <c r="B587" s="5"/>
      <c r="H587" s="16"/>
    </row>
    <row r="588" spans="2:8">
      <c r="B588" s="5"/>
      <c r="H588" s="16"/>
    </row>
    <row r="589" spans="2:8">
      <c r="B589" s="5"/>
      <c r="H589" s="16"/>
    </row>
    <row r="590" spans="2:8">
      <c r="B590" s="5"/>
      <c r="H590" s="16"/>
    </row>
    <row r="591" spans="2:8">
      <c r="B591" s="5"/>
      <c r="H591" s="16"/>
    </row>
    <row r="592" spans="2:8">
      <c r="B592" s="5"/>
      <c r="H592" s="16"/>
    </row>
    <row r="593" spans="2:8">
      <c r="B593" s="5"/>
      <c r="H593" s="16"/>
    </row>
    <row r="594" spans="2:8">
      <c r="B594" s="5"/>
      <c r="H594" s="16"/>
    </row>
    <row r="595" spans="2:8">
      <c r="B595" s="5"/>
      <c r="H595" s="16"/>
    </row>
    <row r="596" spans="2:8">
      <c r="B596" s="5"/>
      <c r="H596" s="16"/>
    </row>
    <row r="597" spans="2:8">
      <c r="B597" s="5"/>
      <c r="H597" s="16"/>
    </row>
    <row r="598" spans="2:8">
      <c r="B598" s="5"/>
      <c r="H598" s="16"/>
    </row>
    <row r="599" spans="2:8">
      <c r="B599" s="5"/>
      <c r="H599" s="16"/>
    </row>
    <row r="600" spans="2:8">
      <c r="B600" s="5"/>
      <c r="H600" s="16"/>
    </row>
    <row r="601" spans="2:8">
      <c r="B601" s="5"/>
      <c r="H601" s="16"/>
    </row>
    <row r="602" spans="2:8">
      <c r="B602" s="5"/>
      <c r="H602" s="16"/>
    </row>
    <row r="603" spans="2:8">
      <c r="B603" s="5"/>
      <c r="H603" s="16"/>
    </row>
    <row r="604" spans="2:8">
      <c r="B604" s="5"/>
      <c r="H604" s="16"/>
    </row>
    <row r="605" spans="2:8">
      <c r="B605" s="5"/>
      <c r="H605" s="16"/>
    </row>
    <row r="606" spans="2:8">
      <c r="B606" s="5"/>
      <c r="H606" s="16"/>
    </row>
    <row r="607" spans="2:8">
      <c r="B607" s="5"/>
      <c r="H607" s="16"/>
    </row>
    <row r="608" spans="2:8">
      <c r="B608" s="5"/>
      <c r="H608" s="16"/>
    </row>
    <row r="609" spans="2:8">
      <c r="B609" s="5"/>
      <c r="H609" s="16"/>
    </row>
    <row r="610" spans="2:8">
      <c r="B610" s="5"/>
      <c r="H610" s="16"/>
    </row>
    <row r="611" spans="2:8">
      <c r="B611" s="5"/>
      <c r="H611" s="16"/>
    </row>
    <row r="612" spans="2:8">
      <c r="B612" s="5"/>
      <c r="H612" s="16"/>
    </row>
    <row r="613" spans="2:8">
      <c r="B613" s="5"/>
      <c r="H613" s="16"/>
    </row>
    <row r="614" spans="2:8">
      <c r="B614" s="5"/>
      <c r="H614" s="16"/>
    </row>
    <row r="615" spans="2:8">
      <c r="B615" s="5"/>
      <c r="H615" s="16"/>
    </row>
    <row r="616" spans="2:8">
      <c r="B616" s="5"/>
      <c r="H616" s="16"/>
    </row>
    <row r="617" spans="2:8">
      <c r="B617" s="5"/>
      <c r="H617" s="16"/>
    </row>
    <row r="618" spans="2:8">
      <c r="B618" s="5"/>
      <c r="H618" s="16"/>
    </row>
    <row r="619" spans="2:8">
      <c r="B619" s="5"/>
      <c r="H619" s="16"/>
    </row>
    <row r="620" spans="2:8">
      <c r="B620" s="5"/>
      <c r="H620" s="16"/>
    </row>
    <row r="621" spans="2:8">
      <c r="B621" s="5"/>
      <c r="H621" s="16"/>
    </row>
    <row r="622" spans="2:8">
      <c r="B622" s="5"/>
      <c r="H622" s="16"/>
    </row>
    <row r="623" spans="2:8">
      <c r="B623" s="5"/>
      <c r="H623" s="16"/>
    </row>
    <row r="624" spans="2:8">
      <c r="B624" s="5"/>
      <c r="H624" s="16"/>
    </row>
    <row r="625" spans="2:8">
      <c r="B625" s="5"/>
      <c r="H625" s="16"/>
    </row>
    <row r="626" spans="2:8">
      <c r="B626" s="5"/>
      <c r="H626" s="16"/>
    </row>
    <row r="627" spans="2:8">
      <c r="B627" s="5"/>
      <c r="H627" s="16"/>
    </row>
    <row r="628" spans="2:8">
      <c r="B628" s="5"/>
      <c r="H628" s="16"/>
    </row>
    <row r="629" spans="2:8">
      <c r="B629" s="5"/>
      <c r="H629" s="16"/>
    </row>
    <row r="630" spans="2:8">
      <c r="B630" s="5"/>
      <c r="H630" s="16"/>
    </row>
    <row r="631" spans="2:8">
      <c r="B631" s="5"/>
      <c r="H631" s="16"/>
    </row>
    <row r="632" spans="2:8">
      <c r="B632" s="5"/>
      <c r="H632" s="16"/>
    </row>
    <row r="633" spans="2:8">
      <c r="B633" s="5"/>
      <c r="H633" s="16"/>
    </row>
    <row r="634" spans="2:8">
      <c r="B634" s="5"/>
      <c r="H634" s="16"/>
    </row>
    <row r="635" spans="2:8">
      <c r="B635" s="5"/>
      <c r="H635" s="16"/>
    </row>
    <row r="636" spans="2:8">
      <c r="B636" s="5"/>
      <c r="H636" s="16"/>
    </row>
    <row r="637" spans="2:8">
      <c r="B637" s="5"/>
      <c r="H637" s="16"/>
    </row>
    <row r="638" spans="2:8">
      <c r="B638" s="5"/>
      <c r="H638" s="16"/>
    </row>
    <row r="639" spans="2:8">
      <c r="B639" s="5"/>
      <c r="H639" s="16"/>
    </row>
    <row r="640" spans="2:8">
      <c r="B640" s="5"/>
      <c r="H640" s="16"/>
    </row>
    <row r="641" spans="2:8">
      <c r="B641" s="5"/>
      <c r="H641" s="16"/>
    </row>
    <row r="642" spans="2:8">
      <c r="B642" s="5"/>
      <c r="H642" s="16"/>
    </row>
    <row r="643" spans="2:8">
      <c r="B643" s="5"/>
      <c r="H643" s="16"/>
    </row>
    <row r="644" spans="2:8">
      <c r="B644" s="5"/>
      <c r="H644" s="16"/>
    </row>
    <row r="645" spans="2:8">
      <c r="B645" s="5"/>
      <c r="H645" s="16"/>
    </row>
    <row r="646" spans="2:8">
      <c r="B646" s="5"/>
      <c r="H646" s="16"/>
    </row>
    <row r="647" spans="2:8">
      <c r="B647" s="5"/>
      <c r="H647" s="16"/>
    </row>
    <row r="648" spans="2:8">
      <c r="B648" s="5"/>
      <c r="H648" s="16"/>
    </row>
    <row r="649" spans="2:8">
      <c r="B649" s="5"/>
      <c r="H649" s="16"/>
    </row>
    <row r="650" spans="2:8">
      <c r="B650" s="5"/>
      <c r="H650" s="16"/>
    </row>
    <row r="651" spans="2:8">
      <c r="B651" s="5"/>
      <c r="H651" s="16"/>
    </row>
    <row r="652" spans="2:8">
      <c r="B652" s="5"/>
      <c r="H652" s="16"/>
    </row>
    <row r="653" spans="2:8">
      <c r="B653" s="5"/>
      <c r="H653" s="16"/>
    </row>
    <row r="654" spans="2:8">
      <c r="B654" s="5"/>
      <c r="H654" s="16"/>
    </row>
    <row r="655" spans="2:8">
      <c r="B655" s="5"/>
      <c r="H655" s="16"/>
    </row>
    <row r="656" spans="2:8">
      <c r="B656" s="5"/>
      <c r="H656" s="16"/>
    </row>
    <row r="657" spans="2:8">
      <c r="B657" s="5"/>
      <c r="H657" s="16"/>
    </row>
    <row r="658" spans="2:8">
      <c r="B658" s="5"/>
      <c r="H658" s="16"/>
    </row>
    <row r="659" spans="2:8">
      <c r="B659" s="5"/>
      <c r="H659" s="16"/>
    </row>
    <row r="660" spans="2:8">
      <c r="B660" s="5"/>
      <c r="H660" s="16"/>
    </row>
    <row r="661" spans="2:8">
      <c r="B661" s="5"/>
      <c r="H661" s="16"/>
    </row>
    <row r="662" spans="2:8">
      <c r="B662" s="5"/>
      <c r="H662" s="16"/>
    </row>
    <row r="663" spans="2:8">
      <c r="B663" s="5"/>
      <c r="H663" s="16"/>
    </row>
    <row r="664" spans="2:8">
      <c r="B664" s="5"/>
      <c r="H664" s="16"/>
    </row>
    <row r="665" spans="2:8">
      <c r="B665" s="5"/>
      <c r="H665" s="16"/>
    </row>
    <row r="666" spans="2:8">
      <c r="B666" s="5"/>
      <c r="H666" s="16"/>
    </row>
    <row r="667" spans="2:8">
      <c r="B667" s="5"/>
      <c r="H667" s="16"/>
    </row>
    <row r="668" spans="2:8">
      <c r="B668" s="5"/>
      <c r="H668" s="16"/>
    </row>
    <row r="669" spans="2:8">
      <c r="B669" s="5"/>
      <c r="H669" s="16"/>
    </row>
    <row r="670" spans="2:8">
      <c r="B670" s="5"/>
      <c r="H670" s="16"/>
    </row>
    <row r="671" spans="2:8">
      <c r="B671" s="5"/>
      <c r="H671" s="16"/>
    </row>
    <row r="672" spans="2:8">
      <c r="B672" s="5"/>
      <c r="H672" s="16"/>
    </row>
    <row r="673" spans="2:8">
      <c r="B673" s="5"/>
      <c r="H673" s="16"/>
    </row>
    <row r="674" spans="2:8">
      <c r="B674" s="5"/>
      <c r="H674" s="16"/>
    </row>
    <row r="675" spans="2:8">
      <c r="B675" s="5"/>
      <c r="H675" s="16"/>
    </row>
    <row r="676" spans="2:8">
      <c r="B676" s="5"/>
      <c r="H676" s="16"/>
    </row>
    <row r="677" spans="2:8">
      <c r="B677" s="5"/>
      <c r="H677" s="16"/>
    </row>
    <row r="678" spans="2:8">
      <c r="B678" s="5"/>
      <c r="H678" s="16"/>
    </row>
    <row r="679" spans="2:8">
      <c r="B679" s="5"/>
      <c r="H679" s="16"/>
    </row>
    <row r="680" spans="2:8">
      <c r="B680" s="5"/>
      <c r="H680" s="16"/>
    </row>
    <row r="681" spans="2:8">
      <c r="B681" s="5"/>
      <c r="H681" s="16"/>
    </row>
    <row r="682" spans="2:8">
      <c r="B682" s="5"/>
      <c r="H682" s="16"/>
    </row>
    <row r="683" spans="2:8">
      <c r="B683" s="5"/>
      <c r="H683" s="16"/>
    </row>
    <row r="684" spans="2:8">
      <c r="B684" s="5"/>
      <c r="H684" s="16"/>
    </row>
    <row r="685" spans="2:8">
      <c r="B685" s="5"/>
      <c r="H685" s="16"/>
    </row>
    <row r="686" spans="2:8">
      <c r="B686" s="5"/>
      <c r="H686" s="16"/>
    </row>
    <row r="687" spans="2:8">
      <c r="B687" s="5"/>
      <c r="H687" s="16"/>
    </row>
    <row r="688" spans="2:8">
      <c r="B688" s="5"/>
      <c r="H688" s="16"/>
    </row>
    <row r="689" spans="2:8">
      <c r="B689" s="5"/>
      <c r="H689" s="16"/>
    </row>
    <row r="690" spans="2:8">
      <c r="B690" s="5"/>
      <c r="H690" s="16"/>
    </row>
    <row r="691" spans="2:8">
      <c r="B691" s="5"/>
      <c r="H691" s="16"/>
    </row>
    <row r="692" spans="2:8">
      <c r="B692" s="5"/>
      <c r="H692" s="16"/>
    </row>
    <row r="693" spans="2:8">
      <c r="B693" s="5"/>
      <c r="H693" s="16"/>
    </row>
    <row r="694" spans="2:8">
      <c r="B694" s="5"/>
      <c r="H694" s="16"/>
    </row>
    <row r="695" spans="2:8">
      <c r="B695" s="5"/>
      <c r="H695" s="16"/>
    </row>
    <row r="696" spans="2:8">
      <c r="B696" s="5"/>
      <c r="H696" s="16"/>
    </row>
    <row r="697" spans="2:8">
      <c r="B697" s="5"/>
      <c r="H697" s="16"/>
    </row>
    <row r="698" spans="2:8">
      <c r="B698" s="5"/>
      <c r="H698" s="16"/>
    </row>
    <row r="699" spans="2:8">
      <c r="B699" s="5"/>
      <c r="H699" s="16"/>
    </row>
    <row r="700" spans="2:8">
      <c r="B700" s="5"/>
      <c r="H700" s="16"/>
    </row>
    <row r="701" spans="2:8">
      <c r="B701" s="5"/>
      <c r="H701" s="16"/>
    </row>
    <row r="702" spans="2:8">
      <c r="B702" s="5"/>
      <c r="H702" s="16"/>
    </row>
    <row r="703" spans="2:8">
      <c r="B703" s="5"/>
      <c r="H703" s="16"/>
    </row>
    <row r="704" spans="2:8">
      <c r="B704" s="5"/>
      <c r="H704" s="16"/>
    </row>
    <row r="705" spans="2:8">
      <c r="B705" s="5"/>
      <c r="H705" s="16"/>
    </row>
    <row r="706" spans="2:8">
      <c r="B706" s="5"/>
      <c r="H706" s="16"/>
    </row>
    <row r="707" spans="2:8">
      <c r="B707" s="5"/>
      <c r="H707" s="16"/>
    </row>
    <row r="708" spans="2:8">
      <c r="B708" s="5"/>
      <c r="H708" s="16"/>
    </row>
    <row r="709" spans="2:8">
      <c r="B709" s="5"/>
      <c r="H709" s="16"/>
    </row>
    <row r="710" spans="2:8">
      <c r="B710" s="5"/>
      <c r="H710" s="16"/>
    </row>
    <row r="711" spans="2:8">
      <c r="B711" s="5"/>
      <c r="H711" s="16"/>
    </row>
    <row r="712" spans="2:8">
      <c r="B712" s="5"/>
      <c r="H712" s="16"/>
    </row>
    <row r="713" spans="2:8">
      <c r="B713" s="5"/>
      <c r="H713" s="16"/>
    </row>
    <row r="714" spans="2:8">
      <c r="B714" s="5"/>
      <c r="H714" s="16"/>
    </row>
    <row r="715" spans="2:8">
      <c r="B715" s="5"/>
      <c r="H715" s="16"/>
    </row>
    <row r="716" spans="2:8">
      <c r="B716" s="5"/>
      <c r="H716" s="16"/>
    </row>
    <row r="717" spans="2:8">
      <c r="B717" s="5"/>
      <c r="H717" s="16"/>
    </row>
    <row r="718" spans="2:8">
      <c r="B718" s="5"/>
      <c r="H718" s="16"/>
    </row>
    <row r="719" spans="2:8">
      <c r="B719" s="5"/>
      <c r="H719" s="16"/>
    </row>
    <row r="720" spans="2:8">
      <c r="B720" s="5"/>
      <c r="H720" s="16"/>
    </row>
    <row r="721" spans="2:8">
      <c r="B721" s="5"/>
      <c r="H721" s="16"/>
    </row>
    <row r="722" spans="2:8">
      <c r="B722" s="5"/>
      <c r="H722" s="16"/>
    </row>
    <row r="723" spans="2:8">
      <c r="B723" s="5"/>
      <c r="H723" s="16"/>
    </row>
    <row r="724" spans="2:8">
      <c r="B724" s="5"/>
      <c r="H724" s="16"/>
    </row>
    <row r="725" spans="2:8">
      <c r="B725" s="5"/>
      <c r="H725" s="16"/>
    </row>
    <row r="726" spans="2:8">
      <c r="B726" s="5"/>
      <c r="H726" s="16"/>
    </row>
    <row r="727" spans="2:8">
      <c r="B727" s="5"/>
      <c r="H727" s="16"/>
    </row>
    <row r="728" spans="2:8">
      <c r="B728" s="5"/>
      <c r="H728" s="16"/>
    </row>
    <row r="729" spans="2:8">
      <c r="B729" s="5"/>
      <c r="H729" s="16"/>
    </row>
    <row r="730" spans="2:8">
      <c r="B730" s="5"/>
      <c r="H730" s="16"/>
    </row>
    <row r="731" spans="2:8">
      <c r="B731" s="5"/>
      <c r="H731" s="16"/>
    </row>
    <row r="732" spans="2:8">
      <c r="B732" s="5"/>
      <c r="H732" s="16"/>
    </row>
    <row r="733" spans="2:8">
      <c r="B733" s="5"/>
      <c r="H733" s="16"/>
    </row>
    <row r="734" spans="2:8">
      <c r="B734" s="5"/>
      <c r="H734" s="16"/>
    </row>
    <row r="735" spans="2:8">
      <c r="B735" s="5"/>
      <c r="H735" s="16"/>
    </row>
    <row r="736" spans="2:8">
      <c r="B736" s="5"/>
      <c r="H736" s="16"/>
    </row>
    <row r="737" spans="2:8">
      <c r="B737" s="5"/>
      <c r="H737" s="16"/>
    </row>
    <row r="738" spans="2:8">
      <c r="B738" s="5"/>
      <c r="H738" s="16"/>
    </row>
    <row r="739" spans="2:8">
      <c r="B739" s="5"/>
      <c r="H739" s="16"/>
    </row>
    <row r="740" spans="2:8">
      <c r="B740" s="5"/>
      <c r="H740" s="16"/>
    </row>
    <row r="741" spans="2:8">
      <c r="B741" s="5"/>
      <c r="H741" s="16"/>
    </row>
    <row r="742" spans="2:8">
      <c r="B742" s="5"/>
      <c r="H742" s="16"/>
    </row>
    <row r="743" spans="2:8">
      <c r="B743" s="5"/>
      <c r="H743" s="16"/>
    </row>
    <row r="744" spans="2:8">
      <c r="B744" s="5"/>
      <c r="H744" s="16"/>
    </row>
    <row r="745" spans="2:8">
      <c r="B745" s="5"/>
      <c r="H745" s="16"/>
    </row>
    <row r="746" spans="2:8">
      <c r="B746" s="5"/>
      <c r="H746" s="16"/>
    </row>
    <row r="747" spans="2:8">
      <c r="B747" s="5"/>
      <c r="H747" s="16"/>
    </row>
    <row r="748" spans="2:8">
      <c r="B748" s="5"/>
      <c r="H748" s="16"/>
    </row>
    <row r="749" spans="2:8">
      <c r="B749" s="5"/>
      <c r="H749" s="16"/>
    </row>
    <row r="750" spans="2:8">
      <c r="B750" s="5"/>
      <c r="H750" s="16"/>
    </row>
    <row r="751" spans="2:8">
      <c r="B751" s="5"/>
      <c r="H751" s="16"/>
    </row>
    <row r="752" spans="2:8">
      <c r="B752" s="5"/>
      <c r="H752" s="16"/>
    </row>
    <row r="753" spans="2:8">
      <c r="B753" s="5"/>
      <c r="H753" s="16"/>
    </row>
    <row r="754" spans="2:8">
      <c r="B754" s="5"/>
      <c r="H754" s="16"/>
    </row>
    <row r="755" spans="2:8">
      <c r="B755" s="5"/>
      <c r="H755" s="16"/>
    </row>
    <row r="756" spans="2:8">
      <c r="B756" s="5"/>
      <c r="H756" s="16"/>
    </row>
    <row r="757" spans="2:8">
      <c r="B757" s="5"/>
      <c r="H757" s="16"/>
    </row>
    <row r="758" spans="2:8">
      <c r="B758" s="5"/>
      <c r="H758" s="16"/>
    </row>
    <row r="759" spans="2:8">
      <c r="B759" s="5"/>
      <c r="H759" s="16"/>
    </row>
    <row r="760" spans="2:8">
      <c r="B760" s="5"/>
      <c r="H760" s="16"/>
    </row>
    <row r="761" spans="2:8">
      <c r="B761" s="5"/>
      <c r="H761" s="16"/>
    </row>
    <row r="762" spans="2:8">
      <c r="B762" s="5"/>
      <c r="H762" s="16"/>
    </row>
    <row r="763" spans="2:8">
      <c r="B763" s="5"/>
      <c r="H763" s="16"/>
    </row>
    <row r="764" spans="2:8">
      <c r="B764" s="5"/>
      <c r="H764" s="16"/>
    </row>
    <row r="765" spans="2:8">
      <c r="B765" s="5"/>
      <c r="H765" s="16"/>
    </row>
    <row r="766" spans="2:8">
      <c r="B766" s="5"/>
      <c r="H766" s="16"/>
    </row>
    <row r="767" spans="2:8">
      <c r="B767" s="5"/>
      <c r="H767" s="16"/>
    </row>
    <row r="768" spans="2:8">
      <c r="B768" s="5"/>
      <c r="H768" s="16"/>
    </row>
    <row r="769" spans="2:8">
      <c r="B769" s="5"/>
      <c r="H769" s="16"/>
    </row>
    <row r="770" spans="2:8">
      <c r="B770" s="5"/>
      <c r="H770" s="16"/>
    </row>
    <row r="771" spans="2:8">
      <c r="B771" s="5"/>
      <c r="H771" s="16"/>
    </row>
    <row r="772" spans="2:8">
      <c r="B772" s="5"/>
      <c r="H772" s="16"/>
    </row>
    <row r="773" spans="2:8">
      <c r="B773" s="5"/>
      <c r="H773" s="16"/>
    </row>
    <row r="774" spans="2:8">
      <c r="B774" s="5"/>
      <c r="H774" s="16"/>
    </row>
    <row r="775" spans="2:8">
      <c r="B775" s="5"/>
      <c r="H775" s="16"/>
    </row>
    <row r="776" spans="2:8">
      <c r="B776" s="5"/>
      <c r="H776" s="16"/>
    </row>
    <row r="777" spans="2:8">
      <c r="B777" s="5"/>
      <c r="H777" s="16"/>
    </row>
    <row r="778" spans="2:8">
      <c r="B778" s="5"/>
      <c r="H778" s="16"/>
    </row>
    <row r="779" spans="2:8">
      <c r="B779" s="5"/>
      <c r="H779" s="16"/>
    </row>
    <row r="780" spans="2:8">
      <c r="B780" s="5"/>
      <c r="H780" s="16"/>
    </row>
    <row r="781" spans="2:8">
      <c r="B781" s="5"/>
      <c r="H781" s="16"/>
    </row>
    <row r="782" spans="2:8">
      <c r="B782" s="5"/>
      <c r="H782" s="16"/>
    </row>
    <row r="783" spans="2:8">
      <c r="B783" s="5"/>
      <c r="H783" s="16"/>
    </row>
    <row r="784" spans="2:8">
      <c r="B784" s="5"/>
      <c r="H784" s="16"/>
    </row>
    <row r="785" spans="2:8">
      <c r="B785" s="5"/>
      <c r="H785" s="16"/>
    </row>
    <row r="786" spans="2:8">
      <c r="B786" s="5"/>
      <c r="H786" s="16"/>
    </row>
    <row r="787" spans="2:8">
      <c r="B787" s="5"/>
      <c r="H787" s="16"/>
    </row>
    <row r="788" spans="2:8">
      <c r="B788" s="5"/>
      <c r="H788" s="16"/>
    </row>
    <row r="789" spans="2:8">
      <c r="B789" s="5"/>
      <c r="H789" s="16"/>
    </row>
    <row r="790" spans="2:8">
      <c r="B790" s="5"/>
      <c r="H790" s="16"/>
    </row>
    <row r="791" spans="2:8">
      <c r="B791" s="5"/>
      <c r="H791" s="16"/>
    </row>
    <row r="792" spans="2:8">
      <c r="B792" s="5"/>
      <c r="H792" s="16"/>
    </row>
    <row r="793" spans="2:8">
      <c r="B793" s="5"/>
      <c r="H793" s="16"/>
    </row>
    <row r="794" spans="2:8">
      <c r="B794" s="5"/>
      <c r="H794" s="16"/>
    </row>
    <row r="795" spans="2:8">
      <c r="B795" s="5"/>
      <c r="H795" s="16"/>
    </row>
    <row r="796" spans="2:8">
      <c r="B796" s="5"/>
      <c r="H796" s="16"/>
    </row>
    <row r="797" spans="2:8">
      <c r="B797" s="5"/>
      <c r="H797" s="16"/>
    </row>
    <row r="798" spans="2:8">
      <c r="B798" s="5"/>
      <c r="H798" s="16"/>
    </row>
    <row r="799" spans="2:8">
      <c r="B799" s="5"/>
      <c r="H799" s="16"/>
    </row>
    <row r="800" spans="2:8">
      <c r="B800" s="5"/>
      <c r="H800" s="16"/>
    </row>
    <row r="801" spans="2:8">
      <c r="B801" s="5"/>
      <c r="H801" s="16"/>
    </row>
    <row r="802" spans="2:8">
      <c r="B802" s="5"/>
      <c r="H802" s="16"/>
    </row>
    <row r="803" spans="2:8">
      <c r="B803" s="5"/>
      <c r="H803" s="16"/>
    </row>
    <row r="804" spans="2:8">
      <c r="B804" s="5"/>
      <c r="H804" s="16"/>
    </row>
    <row r="805" spans="2:8">
      <c r="B805" s="5"/>
      <c r="H805" s="16"/>
    </row>
    <row r="806" spans="2:8">
      <c r="B806" s="5"/>
      <c r="H806" s="16"/>
    </row>
    <row r="807" spans="2:8">
      <c r="B807" s="5"/>
      <c r="H807" s="16"/>
    </row>
    <row r="808" spans="2:8">
      <c r="B808" s="5"/>
      <c r="H808" s="16"/>
    </row>
    <row r="809" spans="2:8">
      <c r="B809" s="5"/>
      <c r="H809" s="16"/>
    </row>
    <row r="810" spans="2:8">
      <c r="B810" s="5"/>
      <c r="H810" s="16"/>
    </row>
    <row r="811" spans="2:8">
      <c r="B811" s="5"/>
      <c r="H811" s="16"/>
    </row>
    <row r="812" spans="2:8">
      <c r="B812" s="5"/>
      <c r="H812" s="16"/>
    </row>
    <row r="813" spans="2:8">
      <c r="B813" s="5"/>
      <c r="H813" s="16"/>
    </row>
    <row r="814" spans="2:8">
      <c r="B814" s="5"/>
      <c r="H814" s="16"/>
    </row>
    <row r="815" spans="2:8">
      <c r="B815" s="5"/>
      <c r="H815" s="16"/>
    </row>
    <row r="816" spans="2:8">
      <c r="B816" s="5"/>
      <c r="H816" s="16"/>
    </row>
    <row r="817" spans="2:8">
      <c r="B817" s="5"/>
      <c r="H817" s="16"/>
    </row>
    <row r="818" spans="2:8">
      <c r="B818" s="5"/>
      <c r="H818" s="16"/>
    </row>
    <row r="819" spans="2:8">
      <c r="B819" s="5"/>
      <c r="H819" s="16"/>
    </row>
    <row r="820" spans="2:8">
      <c r="B820" s="5"/>
      <c r="H820" s="16"/>
    </row>
    <row r="821" spans="2:8">
      <c r="B821" s="5"/>
      <c r="H821" s="16"/>
    </row>
    <row r="822" spans="2:8">
      <c r="B822" s="5"/>
      <c r="H822" s="16"/>
    </row>
    <row r="823" spans="2:8">
      <c r="B823" s="5"/>
      <c r="H823" s="16"/>
    </row>
    <row r="824" spans="2:8">
      <c r="B824" s="5"/>
      <c r="H824" s="16"/>
    </row>
    <row r="825" spans="2:8">
      <c r="B825" s="5"/>
      <c r="H825" s="16"/>
    </row>
    <row r="826" spans="2:8">
      <c r="B826" s="5"/>
      <c r="H826" s="16"/>
    </row>
    <row r="827" spans="2:8">
      <c r="B827" s="5"/>
      <c r="H827" s="16"/>
    </row>
    <row r="828" spans="2:8">
      <c r="B828" s="5"/>
      <c r="H828" s="16"/>
    </row>
    <row r="829" spans="2:8">
      <c r="B829" s="5"/>
      <c r="H829" s="16"/>
    </row>
    <row r="830" spans="2:8">
      <c r="B830" s="5"/>
      <c r="H830" s="16"/>
    </row>
    <row r="831" spans="2:8">
      <c r="B831" s="5"/>
      <c r="H831" s="16"/>
    </row>
    <row r="832" spans="2:8">
      <c r="B832" s="5"/>
      <c r="H832" s="16"/>
    </row>
    <row r="833" spans="2:8">
      <c r="B833" s="5"/>
      <c r="H833" s="16"/>
    </row>
    <row r="834" spans="2:8">
      <c r="B834" s="5"/>
      <c r="H834" s="16"/>
    </row>
    <row r="835" spans="2:8">
      <c r="B835" s="5"/>
      <c r="H835" s="16"/>
    </row>
    <row r="836" spans="2:8">
      <c r="B836" s="5"/>
      <c r="H836" s="16"/>
    </row>
    <row r="837" spans="2:8">
      <c r="B837" s="5"/>
      <c r="H837" s="16"/>
    </row>
    <row r="838" spans="2:8">
      <c r="B838" s="5"/>
      <c r="H838" s="16"/>
    </row>
    <row r="839" spans="2:8">
      <c r="B839" s="5"/>
      <c r="H839" s="16"/>
    </row>
    <row r="840" spans="2:8">
      <c r="B840" s="5"/>
      <c r="H840" s="16"/>
    </row>
    <row r="841" spans="2:8">
      <c r="B841" s="5"/>
      <c r="H841" s="16"/>
    </row>
    <row r="842" spans="2:8">
      <c r="B842" s="5"/>
      <c r="H842" s="16"/>
    </row>
    <row r="843" spans="2:8">
      <c r="B843" s="5"/>
      <c r="H843" s="16"/>
    </row>
    <row r="844" spans="2:8">
      <c r="B844" s="5"/>
      <c r="H844" s="16"/>
    </row>
    <row r="845" spans="2:8">
      <c r="B845" s="5"/>
      <c r="H845" s="16"/>
    </row>
    <row r="846" spans="2:8">
      <c r="B846" s="5"/>
      <c r="H846" s="16"/>
    </row>
    <row r="847" spans="2:8">
      <c r="B847" s="5"/>
      <c r="H847" s="16"/>
    </row>
    <row r="848" spans="2:8">
      <c r="B848" s="5"/>
      <c r="H848" s="16"/>
    </row>
    <row r="849" spans="2:8">
      <c r="B849" s="5"/>
      <c r="H849" s="16"/>
    </row>
    <row r="850" spans="2:8">
      <c r="B850" s="5"/>
      <c r="H850" s="16"/>
    </row>
    <row r="851" spans="2:8">
      <c r="B851" s="5"/>
      <c r="H851" s="16"/>
    </row>
    <row r="852" spans="2:8">
      <c r="B852" s="5"/>
      <c r="H852" s="16"/>
    </row>
    <row r="853" spans="2:8">
      <c r="B853" s="5"/>
      <c r="H853" s="16"/>
    </row>
    <row r="854" spans="2:8">
      <c r="B854" s="5"/>
      <c r="H854" s="16"/>
    </row>
    <row r="855" spans="2:8">
      <c r="B855" s="5"/>
      <c r="H855" s="16"/>
    </row>
    <row r="856" spans="2:8">
      <c r="B856" s="5"/>
      <c r="H856" s="16"/>
    </row>
    <row r="857" spans="2:8">
      <c r="B857" s="5"/>
      <c r="H857" s="16"/>
    </row>
    <row r="858" spans="2:8">
      <c r="B858" s="5"/>
      <c r="H858" s="16"/>
    </row>
    <row r="859" spans="2:8">
      <c r="B859" s="5"/>
      <c r="H859" s="16"/>
    </row>
    <row r="860" spans="2:8">
      <c r="B860" s="5"/>
      <c r="H860" s="16"/>
    </row>
    <row r="861" spans="2:8">
      <c r="B861" s="5"/>
      <c r="H861" s="16"/>
    </row>
    <row r="862" spans="2:8">
      <c r="B862" s="5"/>
      <c r="H862" s="16"/>
    </row>
    <row r="863" spans="2:8">
      <c r="B863" s="5"/>
      <c r="H863" s="16"/>
    </row>
    <row r="864" spans="2:8">
      <c r="B864" s="5"/>
      <c r="H864" s="16"/>
    </row>
    <row r="865" spans="2:8">
      <c r="B865" s="5"/>
      <c r="H865" s="16"/>
    </row>
    <row r="866" spans="2:8">
      <c r="B866" s="5"/>
      <c r="H866" s="16"/>
    </row>
    <row r="867" spans="2:8">
      <c r="B867" s="5"/>
      <c r="H867" s="16"/>
    </row>
    <row r="868" spans="2:8">
      <c r="B868" s="5"/>
      <c r="H868" s="16"/>
    </row>
    <row r="869" spans="2:8">
      <c r="B869" s="5"/>
      <c r="H869" s="16"/>
    </row>
    <row r="870" spans="2:8">
      <c r="B870" s="5"/>
      <c r="H870" s="16"/>
    </row>
    <row r="871" spans="2:8">
      <c r="B871" s="5"/>
      <c r="H871" s="16"/>
    </row>
    <row r="872" spans="2:8">
      <c r="B872" s="5"/>
      <c r="H872" s="16"/>
    </row>
    <row r="873" spans="2:8">
      <c r="B873" s="5"/>
      <c r="H873" s="16"/>
    </row>
    <row r="874" spans="2:8">
      <c r="B874" s="5"/>
      <c r="H874" s="16"/>
    </row>
    <row r="875" spans="2:8">
      <c r="B875" s="5"/>
      <c r="H875" s="16"/>
    </row>
    <row r="876" spans="2:8">
      <c r="B876" s="5"/>
      <c r="H876" s="16"/>
    </row>
    <row r="877" spans="2:8">
      <c r="B877" s="5"/>
      <c r="H877" s="16"/>
    </row>
    <row r="878" spans="2:8">
      <c r="B878" s="5"/>
      <c r="H878" s="16"/>
    </row>
    <row r="879" spans="2:8">
      <c r="B879" s="5"/>
      <c r="H879" s="16"/>
    </row>
    <row r="880" spans="2:8">
      <c r="B880" s="5"/>
      <c r="H880" s="16"/>
    </row>
    <row r="881" spans="2:8">
      <c r="B881" s="5"/>
      <c r="H881" s="16"/>
    </row>
    <row r="882" spans="2:8">
      <c r="B882" s="5"/>
      <c r="H882" s="16"/>
    </row>
    <row r="883" spans="2:8">
      <c r="B883" s="5"/>
      <c r="H883" s="16"/>
    </row>
    <row r="884" spans="2:8">
      <c r="B884" s="5"/>
      <c r="H884" s="16"/>
    </row>
    <row r="885" spans="2:8">
      <c r="B885" s="5"/>
      <c r="H885" s="16"/>
    </row>
    <row r="886" spans="2:8">
      <c r="B886" s="5"/>
      <c r="H886" s="16"/>
    </row>
    <row r="887" spans="2:8">
      <c r="B887" s="5"/>
      <c r="H887" s="16"/>
    </row>
    <row r="888" spans="2:8">
      <c r="B888" s="5"/>
      <c r="H888" s="16"/>
    </row>
    <row r="889" spans="2:8">
      <c r="B889" s="5"/>
      <c r="H889" s="16"/>
    </row>
    <row r="890" spans="2:8">
      <c r="B890" s="5"/>
      <c r="H890" s="16"/>
    </row>
    <row r="891" spans="2:8">
      <c r="B891" s="5"/>
      <c r="H891" s="16"/>
    </row>
  </sheetData>
  <mergeCells count="23">
    <mergeCell ref="G49:H49"/>
    <mergeCell ref="G44:H44"/>
    <mergeCell ref="G46:H46"/>
    <mergeCell ref="G47:H47"/>
    <mergeCell ref="C49:F49"/>
    <mergeCell ref="C44:F44"/>
    <mergeCell ref="C45:F45"/>
    <mergeCell ref="C46:F46"/>
    <mergeCell ref="C47:F47"/>
    <mergeCell ref="C48:F48"/>
    <mergeCell ref="A4:H4"/>
    <mergeCell ref="A38:F38"/>
    <mergeCell ref="C41:F41"/>
    <mergeCell ref="C42:F42"/>
    <mergeCell ref="C43:F43"/>
    <mergeCell ref="A10:F10"/>
    <mergeCell ref="A17:F17"/>
    <mergeCell ref="A23:F23"/>
    <mergeCell ref="A29:F29"/>
    <mergeCell ref="A35:F35"/>
    <mergeCell ref="G41:H41"/>
    <mergeCell ref="G43:H43"/>
    <mergeCell ref="G42:H42"/>
  </mergeCells>
  <phoneticPr fontId="24" type="noConversion"/>
  <dataValidations count="1">
    <dataValidation type="list" allowBlank="1" showInputMessage="1" showErrorMessage="1" sqref="B42:B48" xr:uid="{00000000-0002-0000-1000-000000000000}">
      <formula1>$L$41:$L$45</formula1>
    </dataValidation>
  </dataValidations>
  <printOptions horizontalCentered="1"/>
  <pageMargins left="0.45" right="0.45" top="0.5" bottom="0.5" header="0.3" footer="0.3"/>
  <pageSetup scale="58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L891"/>
  <sheetViews>
    <sheetView showZeros="0" zoomScale="65" zoomScaleNormal="65" workbookViewId="0">
      <selection activeCell="B3" sqref="B3"/>
    </sheetView>
  </sheetViews>
  <sheetFormatPr defaultColWidth="10.875" defaultRowHeight="18.95"/>
  <cols>
    <col min="1" max="1" width="35.625" customWidth="1"/>
    <col min="2" max="2" width="14.625" style="16" customWidth="1"/>
    <col min="3" max="7" width="15.875" style="5" customWidth="1"/>
    <col min="8" max="8" width="15.875" style="17" customWidth="1"/>
    <col min="9" max="9" width="10.875" style="5"/>
    <col min="10" max="12" width="0" style="5" hidden="1" customWidth="1"/>
    <col min="13" max="16384" width="10.875" style="5"/>
  </cols>
  <sheetData>
    <row r="1" spans="1:10" customFormat="1" ht="15.95">
      <c r="A1" s="41"/>
      <c r="B1" s="42"/>
      <c r="C1" s="43"/>
      <c r="D1" s="43"/>
      <c r="E1" s="147" t="s">
        <v>25</v>
      </c>
      <c r="F1" s="43"/>
      <c r="G1" s="45" t="s">
        <v>26</v>
      </c>
      <c r="H1" s="44"/>
    </row>
    <row r="2" spans="1:10">
      <c r="A2" s="30"/>
      <c r="B2" s="18" t="s">
        <v>27</v>
      </c>
      <c r="C2" s="18" t="s">
        <v>28</v>
      </c>
      <c r="D2" s="18" t="s">
        <v>65</v>
      </c>
      <c r="E2" s="18" t="s">
        <v>30</v>
      </c>
      <c r="F2" s="18" t="s">
        <v>66</v>
      </c>
      <c r="G2" s="18" t="s">
        <v>32</v>
      </c>
      <c r="H2" s="18" t="s">
        <v>33</v>
      </c>
    </row>
    <row r="3" spans="1:10" ht="21" customHeight="1">
      <c r="A3" s="31" t="s">
        <v>7</v>
      </c>
      <c r="B3" s="6">
        <f>'Week 14'!H3+1</f>
        <v>45991</v>
      </c>
      <c r="C3" s="6">
        <f>B3+1</f>
        <v>45992</v>
      </c>
      <c r="D3" s="6">
        <f t="shared" ref="C3:H3" si="0">C3+1</f>
        <v>45993</v>
      </c>
      <c r="E3" s="148">
        <f>D3+1</f>
        <v>45994</v>
      </c>
      <c r="F3" s="148">
        <f t="shared" si="0"/>
        <v>45995</v>
      </c>
      <c r="G3" s="148">
        <f t="shared" si="0"/>
        <v>45996</v>
      </c>
      <c r="H3" s="148">
        <f t="shared" si="0"/>
        <v>45997</v>
      </c>
    </row>
    <row r="4" spans="1:10" s="7" customFormat="1">
      <c r="A4" s="181" t="s">
        <v>34</v>
      </c>
      <c r="B4" s="181"/>
      <c r="C4" s="181"/>
      <c r="D4" s="181"/>
      <c r="E4" s="181"/>
      <c r="F4" s="181"/>
      <c r="G4" s="181"/>
      <c r="H4" s="181"/>
    </row>
    <row r="5" spans="1:10" s="7" customFormat="1" ht="26.1" customHeight="1">
      <c r="A5" s="32" t="s">
        <v>8</v>
      </c>
      <c r="B5" s="27"/>
      <c r="C5" s="27"/>
      <c r="D5" s="27"/>
      <c r="E5" s="27"/>
      <c r="F5" s="27"/>
      <c r="G5" s="27"/>
      <c r="H5" s="27"/>
    </row>
    <row r="6" spans="1:10" s="7" customFormat="1" ht="26.1" customHeight="1">
      <c r="A6" s="4" t="s">
        <v>23</v>
      </c>
      <c r="B6" s="62"/>
      <c r="C6" s="62"/>
      <c r="D6" s="62"/>
      <c r="E6" s="62"/>
      <c r="F6" s="62"/>
      <c r="G6" s="62"/>
      <c r="H6" s="62"/>
    </row>
    <row r="7" spans="1:10" s="7" customFormat="1" ht="21.95" customHeight="1">
      <c r="A7" s="32" t="s">
        <v>35</v>
      </c>
      <c r="B7" s="27"/>
      <c r="C7" s="28"/>
      <c r="D7" s="28"/>
      <c r="E7" s="28"/>
      <c r="F7" s="28"/>
      <c r="G7" s="28"/>
      <c r="H7" s="8"/>
    </row>
    <row r="8" spans="1:10" s="7" customFormat="1" ht="24.95" customHeight="1" thickBot="1">
      <c r="A8" s="83" t="s">
        <v>36</v>
      </c>
      <c r="B8" s="84">
        <f t="shared" ref="B8:H8" si="1">B5+B6+B7</f>
        <v>0</v>
      </c>
      <c r="C8" s="84">
        <f t="shared" si="1"/>
        <v>0</v>
      </c>
      <c r="D8" s="84">
        <f t="shared" si="1"/>
        <v>0</v>
      </c>
      <c r="E8" s="84">
        <f t="shared" si="1"/>
        <v>0</v>
      </c>
      <c r="F8" s="84">
        <f t="shared" si="1"/>
        <v>0</v>
      </c>
      <c r="G8" s="84">
        <f t="shared" si="1"/>
        <v>0</v>
      </c>
      <c r="H8" s="84">
        <f t="shared" si="1"/>
        <v>0</v>
      </c>
    </row>
    <row r="9" spans="1:10" s="7" customFormat="1" ht="24.95" customHeight="1" thickBot="1">
      <c r="A9" s="33"/>
      <c r="B9" s="29"/>
      <c r="C9" s="29"/>
      <c r="D9" s="29"/>
      <c r="E9" s="29"/>
      <c r="F9" s="29"/>
      <c r="G9" s="63" t="s">
        <v>37</v>
      </c>
      <c r="H9" s="64">
        <f>SUM(B8:H8)</f>
        <v>0</v>
      </c>
    </row>
    <row r="10" spans="1:10" s="7" customFormat="1" ht="21" thickTop="1" thickBot="1">
      <c r="A10" s="182" t="s">
        <v>38</v>
      </c>
      <c r="B10" s="183"/>
      <c r="C10" s="183"/>
      <c r="D10" s="183"/>
      <c r="E10" s="183"/>
      <c r="F10" s="183"/>
      <c r="G10" s="65" t="s">
        <v>39</v>
      </c>
      <c r="H10" s="66">
        <v>-0.08</v>
      </c>
      <c r="I10" s="5"/>
      <c r="J10" s="26"/>
    </row>
    <row r="11" spans="1:10" s="7" customFormat="1" ht="30" customHeight="1">
      <c r="A11" s="39" t="s">
        <v>8</v>
      </c>
      <c r="B11" s="9"/>
      <c r="C11" s="9"/>
      <c r="D11" s="67"/>
      <c r="E11" s="67"/>
      <c r="F11" s="9"/>
      <c r="G11" s="68"/>
      <c r="H11" s="69"/>
    </row>
    <row r="12" spans="1:10" s="7" customFormat="1" ht="30" customHeight="1">
      <c r="A12" s="70" t="s">
        <v>23</v>
      </c>
      <c r="B12" s="59"/>
      <c r="C12" s="58"/>
      <c r="D12" s="58"/>
      <c r="E12" s="58"/>
      <c r="F12" s="58"/>
      <c r="G12" s="58"/>
      <c r="H12" s="58"/>
    </row>
    <row r="13" spans="1:10" s="7" customFormat="1" ht="30" customHeight="1">
      <c r="A13" s="3" t="s">
        <v>35</v>
      </c>
      <c r="B13" s="8"/>
      <c r="C13" s="8"/>
      <c r="D13" s="8"/>
      <c r="E13" s="8"/>
      <c r="F13" s="8"/>
      <c r="G13" s="8"/>
      <c r="H13" s="62"/>
    </row>
    <row r="14" spans="1:10" s="7" customFormat="1" ht="27" customHeight="1" thickBot="1">
      <c r="A14" s="85" t="s">
        <v>36</v>
      </c>
      <c r="B14" s="87">
        <f t="shared" ref="B14:H14" si="2">B11+B12+B13</f>
        <v>0</v>
      </c>
      <c r="C14" s="87">
        <f t="shared" si="2"/>
        <v>0</v>
      </c>
      <c r="D14" s="87">
        <f t="shared" si="2"/>
        <v>0</v>
      </c>
      <c r="E14" s="87">
        <f t="shared" si="2"/>
        <v>0</v>
      </c>
      <c r="F14" s="87">
        <f t="shared" si="2"/>
        <v>0</v>
      </c>
      <c r="G14" s="87">
        <f t="shared" si="2"/>
        <v>0</v>
      </c>
      <c r="H14" s="87">
        <f t="shared" si="2"/>
        <v>0</v>
      </c>
    </row>
    <row r="15" spans="1:10" s="7" customFormat="1" ht="24.95" customHeight="1" thickBot="1">
      <c r="A15" s="86" t="s">
        <v>40</v>
      </c>
      <c r="B15" s="92" t="e">
        <f t="shared" ref="B15:H15" si="3">(B14-B8)/B8</f>
        <v>#DIV/0!</v>
      </c>
      <c r="C15" s="93" t="e">
        <f t="shared" si="3"/>
        <v>#DIV/0!</v>
      </c>
      <c r="D15" s="93" t="e">
        <f t="shared" si="3"/>
        <v>#DIV/0!</v>
      </c>
      <c r="E15" s="93" t="e">
        <f t="shared" si="3"/>
        <v>#DIV/0!</v>
      </c>
      <c r="F15" s="93" t="e">
        <f t="shared" si="3"/>
        <v>#DIV/0!</v>
      </c>
      <c r="G15" s="93" t="e">
        <f t="shared" si="3"/>
        <v>#DIV/0!</v>
      </c>
      <c r="H15" s="93" t="e">
        <f t="shared" si="3"/>
        <v>#DIV/0!</v>
      </c>
      <c r="I15" s="71"/>
    </row>
    <row r="16" spans="1:10" ht="30" customHeight="1" thickBot="1">
      <c r="B16" s="88"/>
      <c r="C16" s="88"/>
      <c r="D16" s="88"/>
      <c r="E16" s="88"/>
      <c r="F16" s="89"/>
      <c r="G16" s="90" t="s">
        <v>37</v>
      </c>
      <c r="H16" s="91">
        <f>SUM(B14:H14)</f>
        <v>0</v>
      </c>
    </row>
    <row r="17" spans="1:8" s="7" customFormat="1" ht="21.95" thickTop="1" thickBot="1">
      <c r="A17" s="184" t="s">
        <v>41</v>
      </c>
      <c r="B17" s="185"/>
      <c r="C17" s="185"/>
      <c r="D17" s="185"/>
      <c r="E17" s="185"/>
      <c r="F17" s="185"/>
      <c r="G17" s="72" t="s">
        <v>42</v>
      </c>
      <c r="H17" s="66" t="e">
        <f>(H16-H9)/H9</f>
        <v>#DIV/0!</v>
      </c>
    </row>
    <row r="18" spans="1:8" s="7" customFormat="1" ht="30" customHeight="1">
      <c r="A18" s="35" t="s">
        <v>43</v>
      </c>
      <c r="B18" s="12"/>
      <c r="C18" s="12"/>
      <c r="D18" s="73"/>
      <c r="E18" s="73"/>
      <c r="F18" s="12"/>
      <c r="G18" s="24"/>
      <c r="H18" s="74"/>
    </row>
    <row r="19" spans="1:8" s="7" customFormat="1" ht="30" customHeight="1">
      <c r="A19" s="35" t="str">
        <f>'Week 14'!A31</f>
        <v>Non Meal Plan Meals</v>
      </c>
      <c r="B19" s="35"/>
      <c r="C19" s="12"/>
      <c r="D19" s="73"/>
      <c r="E19" s="73"/>
      <c r="F19" s="12"/>
      <c r="G19" s="24"/>
      <c r="H19" s="74"/>
    </row>
    <row r="20" spans="1:8" s="7" customFormat="1" ht="30" customHeight="1">
      <c r="A20" s="35" t="str">
        <f>'Week 14'!A32</f>
        <v xml:space="preserve">Meal numbers </v>
      </c>
      <c r="B20" s="145"/>
      <c r="C20" s="112"/>
      <c r="D20" s="113"/>
      <c r="E20" s="67"/>
      <c r="F20" s="95"/>
      <c r="G20" s="95"/>
      <c r="H20" s="75"/>
    </row>
    <row r="21" spans="1:8" s="7" customFormat="1" ht="24.95" customHeight="1" thickBot="1">
      <c r="A21" s="36" t="s">
        <v>45</v>
      </c>
      <c r="B21" s="144">
        <f t="shared" ref="B21:H21" si="4">SUM(B18:B20)</f>
        <v>0</v>
      </c>
      <c r="C21" s="144">
        <f t="shared" si="4"/>
        <v>0</v>
      </c>
      <c r="D21" s="146">
        <f t="shared" si="4"/>
        <v>0</v>
      </c>
      <c r="E21" s="146">
        <f t="shared" si="4"/>
        <v>0</v>
      </c>
      <c r="F21" s="144">
        <f t="shared" si="4"/>
        <v>0</v>
      </c>
      <c r="G21" s="144">
        <f t="shared" si="4"/>
        <v>0</v>
      </c>
      <c r="H21" s="144">
        <f t="shared" si="4"/>
        <v>0</v>
      </c>
    </row>
    <row r="22" spans="1:8" s="7" customFormat="1" ht="24.95" customHeight="1" thickBot="1">
      <c r="A22" s="34" t="s">
        <v>40</v>
      </c>
      <c r="B22" s="92" t="e">
        <f>(B21-B5)/B5</f>
        <v>#DIV/0!</v>
      </c>
      <c r="C22" s="115" t="e">
        <f>(C21-C5)/C5</f>
        <v>#DIV/0!</v>
      </c>
      <c r="D22" s="116"/>
      <c r="E22" s="99"/>
      <c r="F22" s="93" t="e">
        <f>(F21-F5)/F5</f>
        <v>#DIV/0!</v>
      </c>
      <c r="G22" s="93" t="e">
        <f>(G21-G5)/G5</f>
        <v>#DIV/0!</v>
      </c>
      <c r="H22" s="94" t="e">
        <f>(H21-H5)/H5</f>
        <v>#DIV/0!</v>
      </c>
    </row>
    <row r="23" spans="1:8" s="7" customFormat="1">
      <c r="A23" s="186" t="s">
        <v>46</v>
      </c>
      <c r="B23" s="187"/>
      <c r="C23" s="187"/>
      <c r="D23" s="187"/>
      <c r="E23" s="187"/>
      <c r="F23" s="188" t="s">
        <v>47</v>
      </c>
      <c r="G23" s="97"/>
      <c r="H23" s="98"/>
    </row>
    <row r="24" spans="1:8" s="7" customFormat="1" ht="30" customHeight="1">
      <c r="A24" s="35" t="s">
        <v>43</v>
      </c>
      <c r="B24" s="11"/>
      <c r="C24" s="12"/>
      <c r="D24" s="12"/>
      <c r="E24" s="12"/>
      <c r="F24" s="12"/>
      <c r="G24" s="12"/>
      <c r="H24" s="11"/>
    </row>
    <row r="25" spans="1:8" s="7" customFormat="1" ht="30" customHeight="1">
      <c r="A25" s="35" t="str">
        <f>A19</f>
        <v>Non Meal Plan Meals</v>
      </c>
      <c r="B25" s="117"/>
      <c r="C25" s="117"/>
      <c r="D25" s="117"/>
      <c r="E25" s="117"/>
      <c r="F25" s="117"/>
      <c r="G25" s="117"/>
      <c r="H25" s="117"/>
    </row>
    <row r="26" spans="1:8" s="7" customFormat="1" ht="30" customHeight="1">
      <c r="A26" s="35" t="str">
        <f>A20</f>
        <v xml:space="preserve">Meal numbers </v>
      </c>
      <c r="B26" s="11"/>
      <c r="C26" s="11"/>
      <c r="D26" s="11"/>
      <c r="E26" s="11"/>
      <c r="F26" s="11"/>
      <c r="G26" s="11"/>
      <c r="H26" s="11"/>
    </row>
    <row r="27" spans="1:8" s="7" customFormat="1" ht="27.95" customHeight="1" thickBot="1">
      <c r="A27" s="36" t="s">
        <v>50</v>
      </c>
      <c r="B27" s="100">
        <f t="shared" ref="B27:H27" si="5">SUM(B24:B26)</f>
        <v>0</v>
      </c>
      <c r="C27" s="100">
        <f t="shared" si="5"/>
        <v>0</v>
      </c>
      <c r="D27" s="100">
        <f t="shared" si="5"/>
        <v>0</v>
      </c>
      <c r="E27" s="100">
        <f t="shared" si="5"/>
        <v>0</v>
      </c>
      <c r="F27" s="100">
        <f t="shared" si="5"/>
        <v>0</v>
      </c>
      <c r="G27" s="100">
        <f t="shared" si="5"/>
        <v>0</v>
      </c>
      <c r="H27" s="100">
        <f t="shared" si="5"/>
        <v>0</v>
      </c>
    </row>
    <row r="28" spans="1:8" s="7" customFormat="1" ht="24.95" customHeight="1" thickBot="1">
      <c r="A28" s="34" t="s">
        <v>40</v>
      </c>
      <c r="B28" s="92" t="e">
        <f t="shared" ref="B28:H28" si="6">(B27-B6)/B6</f>
        <v>#DIV/0!</v>
      </c>
      <c r="C28" s="93" t="e">
        <f t="shared" si="6"/>
        <v>#DIV/0!</v>
      </c>
      <c r="D28" s="93" t="e">
        <f t="shared" si="6"/>
        <v>#DIV/0!</v>
      </c>
      <c r="E28" s="93" t="e">
        <f t="shared" si="6"/>
        <v>#DIV/0!</v>
      </c>
      <c r="F28" s="93" t="e">
        <f t="shared" si="6"/>
        <v>#DIV/0!</v>
      </c>
      <c r="G28" s="93" t="e">
        <f t="shared" si="6"/>
        <v>#DIV/0!</v>
      </c>
      <c r="H28" s="94" t="e">
        <f t="shared" si="6"/>
        <v>#DIV/0!</v>
      </c>
    </row>
    <row r="29" spans="1:8" s="7" customFormat="1">
      <c r="A29" s="189" t="s">
        <v>51</v>
      </c>
      <c r="B29" s="190"/>
      <c r="C29" s="190"/>
      <c r="D29" s="190"/>
      <c r="E29" s="190"/>
      <c r="F29" s="191" t="s">
        <v>35</v>
      </c>
      <c r="G29" s="101"/>
      <c r="H29" s="101"/>
    </row>
    <row r="30" spans="1:8" s="7" customFormat="1" ht="30" customHeight="1">
      <c r="A30" s="35" t="s">
        <v>43</v>
      </c>
      <c r="B30" s="10"/>
      <c r="C30" s="9"/>
      <c r="D30" s="9"/>
      <c r="E30" s="9"/>
      <c r="F30" s="9"/>
      <c r="G30" s="9"/>
      <c r="H30" s="67"/>
    </row>
    <row r="31" spans="1:8" s="7" customFormat="1" ht="30" customHeight="1">
      <c r="A31" s="35" t="str">
        <f>A25</f>
        <v>Non Meal Plan Meals</v>
      </c>
      <c r="B31" s="60"/>
      <c r="C31" s="60"/>
      <c r="D31" s="60"/>
      <c r="E31" s="60"/>
      <c r="F31" s="60"/>
      <c r="G31" s="60"/>
      <c r="H31" s="149"/>
    </row>
    <row r="32" spans="1:8" s="7" customFormat="1" ht="30" customHeight="1">
      <c r="A32" s="35" t="str">
        <f>A26</f>
        <v xml:space="preserve">Meal numbers </v>
      </c>
      <c r="B32" s="10"/>
      <c r="C32" s="10"/>
      <c r="D32" s="10"/>
      <c r="E32" s="10"/>
      <c r="F32" s="10"/>
      <c r="G32" s="10"/>
      <c r="H32" s="149"/>
    </row>
    <row r="33" spans="1:12" s="7" customFormat="1" ht="30.95" customHeight="1" thickBot="1">
      <c r="A33" s="36" t="s">
        <v>53</v>
      </c>
      <c r="B33" s="103">
        <f t="shared" ref="B33:H33" si="7">SUM(B30:B32)</f>
        <v>0</v>
      </c>
      <c r="C33" s="103">
        <f t="shared" si="7"/>
        <v>0</v>
      </c>
      <c r="D33" s="103">
        <f t="shared" si="7"/>
        <v>0</v>
      </c>
      <c r="E33" s="103">
        <f t="shared" si="7"/>
        <v>0</v>
      </c>
      <c r="F33" s="103">
        <f t="shared" si="7"/>
        <v>0</v>
      </c>
      <c r="G33" s="103">
        <f t="shared" si="7"/>
        <v>0</v>
      </c>
      <c r="H33" s="96">
        <f t="shared" si="7"/>
        <v>0</v>
      </c>
    </row>
    <row r="34" spans="1:12" s="7" customFormat="1" ht="24.95" customHeight="1" thickBot="1">
      <c r="A34" s="34" t="s">
        <v>40</v>
      </c>
      <c r="B34" s="92" t="e">
        <f t="shared" ref="B34:H34" si="8">(B33-B7)/B7</f>
        <v>#DIV/0!</v>
      </c>
      <c r="C34" s="93" t="e">
        <f t="shared" si="8"/>
        <v>#DIV/0!</v>
      </c>
      <c r="D34" s="93" t="e">
        <f t="shared" si="8"/>
        <v>#DIV/0!</v>
      </c>
      <c r="E34" s="93" t="e">
        <f t="shared" si="8"/>
        <v>#DIV/0!</v>
      </c>
      <c r="F34" s="93" t="e">
        <f t="shared" si="8"/>
        <v>#DIV/0!</v>
      </c>
      <c r="G34" s="93" t="e">
        <f t="shared" si="8"/>
        <v>#DIV/0!</v>
      </c>
      <c r="H34" s="94" t="e">
        <f t="shared" si="8"/>
        <v>#DIV/0!</v>
      </c>
    </row>
    <row r="35" spans="1:12" s="7" customFormat="1">
      <c r="A35" s="192" t="s">
        <v>54</v>
      </c>
      <c r="B35" s="193"/>
      <c r="C35" s="193"/>
      <c r="D35" s="193"/>
      <c r="E35" s="193"/>
      <c r="F35" s="194" t="s">
        <v>35</v>
      </c>
      <c r="G35" s="104"/>
      <c r="H35" s="105"/>
    </row>
    <row r="36" spans="1:12" s="7" customFormat="1" ht="30.95" customHeight="1" thickBot="1">
      <c r="A36" s="78" t="s">
        <v>55</v>
      </c>
      <c r="B36" s="77">
        <f t="shared" ref="B36:H36" si="9">B33+B27+B21</f>
        <v>0</v>
      </c>
      <c r="C36" s="77">
        <f t="shared" si="9"/>
        <v>0</v>
      </c>
      <c r="D36" s="77">
        <f t="shared" si="9"/>
        <v>0</v>
      </c>
      <c r="E36" s="77">
        <f t="shared" si="9"/>
        <v>0</v>
      </c>
      <c r="F36" s="77">
        <f t="shared" si="9"/>
        <v>0</v>
      </c>
      <c r="G36" s="77">
        <f t="shared" si="9"/>
        <v>0</v>
      </c>
      <c r="H36" s="77">
        <f t="shared" si="9"/>
        <v>0</v>
      </c>
    </row>
    <row r="37" spans="1:12" s="7" customFormat="1" ht="24.95" customHeight="1" thickBot="1">
      <c r="A37" s="34" t="s">
        <v>40</v>
      </c>
      <c r="B37" s="92" t="e">
        <f t="shared" ref="B37:H37" si="10">(B36-B8)/B8</f>
        <v>#DIV/0!</v>
      </c>
      <c r="C37" s="93" t="e">
        <f t="shared" si="10"/>
        <v>#DIV/0!</v>
      </c>
      <c r="D37" s="93" t="e">
        <f t="shared" si="10"/>
        <v>#DIV/0!</v>
      </c>
      <c r="E37" s="93" t="e">
        <f t="shared" si="10"/>
        <v>#DIV/0!</v>
      </c>
      <c r="F37" s="93" t="e">
        <f t="shared" si="10"/>
        <v>#DIV/0!</v>
      </c>
      <c r="G37" s="93" t="e">
        <f t="shared" si="10"/>
        <v>#DIV/0!</v>
      </c>
      <c r="H37" s="94" t="e">
        <f t="shared" si="10"/>
        <v>#DIV/0!</v>
      </c>
    </row>
    <row r="38" spans="1:12" ht="30" customHeight="1" thickBot="1">
      <c r="A38" s="195"/>
      <c r="B38" s="196"/>
      <c r="C38" s="196"/>
      <c r="D38" s="196"/>
      <c r="E38" s="196"/>
      <c r="F38" s="196"/>
      <c r="G38" s="106" t="s">
        <v>37</v>
      </c>
      <c r="H38" s="107">
        <f>SUM(B36:H36)</f>
        <v>0</v>
      </c>
    </row>
    <row r="39" spans="1:12" s="7" customFormat="1" ht="24.95" customHeight="1" thickTop="1">
      <c r="A39" s="37"/>
      <c r="B39" s="25"/>
      <c r="C39" s="25"/>
      <c r="D39" s="25"/>
      <c r="E39" s="25"/>
      <c r="F39" s="25"/>
      <c r="G39" s="79" t="s">
        <v>40</v>
      </c>
      <c r="H39" s="80" t="e">
        <f>(H38-H9)/H9</f>
        <v>#DIV/0!</v>
      </c>
    </row>
    <row r="40" spans="1:12" s="7" customFormat="1" ht="24.95" customHeight="1" thickBot="1">
      <c r="A40" s="37"/>
      <c r="B40" s="25"/>
      <c r="C40" s="25"/>
      <c r="D40" s="25"/>
      <c r="E40" s="25"/>
      <c r="F40" s="25"/>
      <c r="G40" s="81" t="s">
        <v>56</v>
      </c>
      <c r="H40" s="82" t="e">
        <f>(H38-H16)/H16</f>
        <v>#DIV/0!</v>
      </c>
    </row>
    <row r="41" spans="1:12" s="46" customFormat="1" ht="23.1" customHeight="1">
      <c r="A41" s="40"/>
      <c r="B41" s="47" t="s">
        <v>57</v>
      </c>
      <c r="C41" s="197" t="s">
        <v>58</v>
      </c>
      <c r="D41" s="197"/>
      <c r="E41" s="197"/>
      <c r="F41" s="197"/>
      <c r="G41" s="198">
        <v>2020</v>
      </c>
      <c r="H41" s="199"/>
    </row>
    <row r="42" spans="1:12" ht="30" customHeight="1">
      <c r="A42" s="1" t="s">
        <v>60</v>
      </c>
      <c r="B42" s="57" t="s">
        <v>59</v>
      </c>
      <c r="C42" s="215" t="s">
        <v>115</v>
      </c>
      <c r="D42" s="215"/>
      <c r="E42" s="215"/>
      <c r="F42" s="215"/>
      <c r="G42" s="178"/>
      <c r="H42" s="179"/>
      <c r="L42" s="7" t="s">
        <v>61</v>
      </c>
    </row>
    <row r="43" spans="1:12" ht="30" customHeight="1">
      <c r="A43" s="1" t="s">
        <v>1</v>
      </c>
      <c r="B43" s="57" t="s">
        <v>59</v>
      </c>
      <c r="C43" s="216" t="s">
        <v>116</v>
      </c>
      <c r="D43" s="216"/>
      <c r="E43" s="216"/>
      <c r="F43" s="216"/>
      <c r="G43" s="178"/>
      <c r="H43" s="179"/>
      <c r="L43" s="5" t="s">
        <v>62</v>
      </c>
    </row>
    <row r="44" spans="1:12" ht="30" customHeight="1">
      <c r="A44" s="1" t="s">
        <v>2</v>
      </c>
      <c r="B44" s="57" t="s">
        <v>59</v>
      </c>
      <c r="C44" s="216" t="s">
        <v>116</v>
      </c>
      <c r="D44" s="216"/>
      <c r="E44" s="216"/>
      <c r="F44" s="216"/>
      <c r="G44" s="176"/>
      <c r="H44" s="177"/>
      <c r="L44" s="5" t="s">
        <v>63</v>
      </c>
    </row>
    <row r="45" spans="1:12" ht="30" customHeight="1">
      <c r="A45" s="1" t="s">
        <v>3</v>
      </c>
      <c r="B45" s="57" t="s">
        <v>59</v>
      </c>
      <c r="C45" s="216"/>
      <c r="D45" s="216"/>
      <c r="E45" s="216"/>
      <c r="F45" s="216"/>
      <c r="G45" s="176"/>
      <c r="H45" s="177"/>
      <c r="L45" s="5" t="s">
        <v>64</v>
      </c>
    </row>
    <row r="46" spans="1:12" ht="42.95" customHeight="1">
      <c r="A46" s="1" t="s">
        <v>4</v>
      </c>
      <c r="B46" s="57" t="s">
        <v>59</v>
      </c>
      <c r="C46" s="216"/>
      <c r="D46" s="216"/>
      <c r="E46" s="216"/>
      <c r="F46" s="216"/>
      <c r="G46" s="176"/>
      <c r="H46" s="177"/>
    </row>
    <row r="47" spans="1:12" ht="30" customHeight="1">
      <c r="A47" s="1" t="s">
        <v>5</v>
      </c>
      <c r="B47" s="57" t="s">
        <v>59</v>
      </c>
      <c r="C47" s="216"/>
      <c r="D47" s="216"/>
      <c r="E47" s="216"/>
      <c r="F47" s="216"/>
      <c r="G47" s="176"/>
      <c r="H47" s="177"/>
    </row>
    <row r="48" spans="1:12" ht="30" customHeight="1">
      <c r="A48" s="1" t="s">
        <v>6</v>
      </c>
      <c r="B48" s="57" t="s">
        <v>59</v>
      </c>
      <c r="C48" s="216"/>
      <c r="D48" s="216"/>
      <c r="E48" s="216"/>
      <c r="F48" s="216"/>
      <c r="G48" s="206"/>
      <c r="H48" s="210"/>
    </row>
    <row r="49" spans="1:8" ht="18.75" customHeight="1">
      <c r="A49" s="2"/>
      <c r="B49" s="14"/>
      <c r="C49" s="175"/>
      <c r="D49" s="175"/>
      <c r="E49" s="175"/>
      <c r="F49" s="175"/>
      <c r="G49" s="176"/>
      <c r="H49" s="177"/>
    </row>
    <row r="50" spans="1:8">
      <c r="A50" s="30"/>
      <c r="B50" s="18" t="s">
        <v>27</v>
      </c>
      <c r="C50" s="18" t="s">
        <v>28</v>
      </c>
      <c r="D50" s="18" t="s">
        <v>65</v>
      </c>
      <c r="E50" s="18" t="s">
        <v>30</v>
      </c>
      <c r="F50" s="18" t="s">
        <v>66</v>
      </c>
      <c r="G50" s="18" t="s">
        <v>32</v>
      </c>
      <c r="H50" s="18" t="s">
        <v>33</v>
      </c>
    </row>
    <row r="51" spans="1:8">
      <c r="A51" s="38" t="s">
        <v>67</v>
      </c>
      <c r="B51" s="15"/>
      <c r="C51" s="20"/>
      <c r="D51" s="20"/>
      <c r="E51" s="20"/>
      <c r="F51" s="20"/>
      <c r="G51" s="20"/>
      <c r="H51" s="15"/>
    </row>
    <row r="52" spans="1:8" customFormat="1" ht="15.95">
      <c r="A52" s="48"/>
      <c r="B52" s="22"/>
      <c r="C52" s="21"/>
      <c r="D52" s="21"/>
      <c r="E52" s="21"/>
      <c r="F52" s="21"/>
      <c r="G52" s="23" t="s">
        <v>37</v>
      </c>
      <c r="H52" s="23">
        <f>SUM(B51:H51)</f>
        <v>0</v>
      </c>
    </row>
    <row r="53" spans="1:8">
      <c r="A53" s="30"/>
      <c r="B53" s="18" t="s">
        <v>27</v>
      </c>
      <c r="C53" s="18" t="s">
        <v>28</v>
      </c>
      <c r="D53" s="18" t="s">
        <v>65</v>
      </c>
      <c r="E53" s="18" t="s">
        <v>30</v>
      </c>
      <c r="F53" s="18" t="s">
        <v>66</v>
      </c>
      <c r="G53" s="18" t="s">
        <v>32</v>
      </c>
      <c r="H53" s="18" t="s">
        <v>33</v>
      </c>
    </row>
    <row r="54" spans="1:8">
      <c r="A54" s="38" t="s">
        <v>69</v>
      </c>
      <c r="B54" s="51"/>
      <c r="C54" s="52"/>
      <c r="D54" s="52"/>
      <c r="E54" s="52"/>
      <c r="F54" s="52"/>
      <c r="G54" s="20"/>
      <c r="H54" s="15"/>
    </row>
    <row r="55" spans="1:8" customFormat="1" ht="15.95">
      <c r="A55" s="49" t="s">
        <v>70</v>
      </c>
      <c r="B55" s="53"/>
      <c r="C55" s="53" t="s">
        <v>71</v>
      </c>
      <c r="D55" s="54"/>
      <c r="E55" s="54"/>
      <c r="F55" s="55"/>
      <c r="G55" s="50" t="s">
        <v>37</v>
      </c>
      <c r="H55" s="23"/>
    </row>
    <row r="56" spans="1:8">
      <c r="H56" s="16"/>
    </row>
    <row r="57" spans="1:8">
      <c r="H57" s="16"/>
    </row>
    <row r="58" spans="1:8">
      <c r="H58" s="16"/>
    </row>
    <row r="59" spans="1:8">
      <c r="H59" s="16"/>
    </row>
    <row r="60" spans="1:8">
      <c r="H60" s="16"/>
    </row>
    <row r="61" spans="1:8">
      <c r="H61" s="16"/>
    </row>
    <row r="62" spans="1:8">
      <c r="H62" s="16"/>
    </row>
    <row r="63" spans="1:8">
      <c r="B63" s="5"/>
      <c r="H63" s="16"/>
    </row>
    <row r="64" spans="1:8">
      <c r="B64" s="5"/>
      <c r="H64" s="16"/>
    </row>
    <row r="65" spans="2:8">
      <c r="B65" s="5"/>
      <c r="H65" s="16"/>
    </row>
    <row r="66" spans="2:8">
      <c r="B66" s="5"/>
      <c r="H66" s="16"/>
    </row>
    <row r="67" spans="2:8">
      <c r="B67" s="5"/>
      <c r="H67" s="16"/>
    </row>
    <row r="68" spans="2:8">
      <c r="B68" s="5"/>
      <c r="H68" s="16"/>
    </row>
    <row r="69" spans="2:8">
      <c r="B69" s="5"/>
      <c r="H69" s="16"/>
    </row>
    <row r="70" spans="2:8">
      <c r="B70" s="5"/>
      <c r="H70" s="16"/>
    </row>
    <row r="71" spans="2:8">
      <c r="B71" s="5"/>
      <c r="H71" s="16"/>
    </row>
    <row r="72" spans="2:8">
      <c r="B72" s="5"/>
      <c r="H72" s="16"/>
    </row>
    <row r="73" spans="2:8">
      <c r="B73" s="5"/>
      <c r="H73" s="16"/>
    </row>
    <row r="74" spans="2:8">
      <c r="B74" s="5"/>
      <c r="H74" s="16"/>
    </row>
    <row r="75" spans="2:8">
      <c r="B75" s="5"/>
      <c r="H75" s="16"/>
    </row>
    <row r="76" spans="2:8">
      <c r="B76" s="5"/>
      <c r="H76" s="16"/>
    </row>
    <row r="77" spans="2:8">
      <c r="B77" s="5"/>
      <c r="H77" s="16"/>
    </row>
    <row r="78" spans="2:8">
      <c r="B78" s="5"/>
      <c r="H78" s="16"/>
    </row>
    <row r="79" spans="2:8">
      <c r="B79" s="5"/>
      <c r="H79" s="16"/>
    </row>
    <row r="80" spans="2:8">
      <c r="B80" s="5"/>
      <c r="H80" s="16"/>
    </row>
    <row r="81" spans="2:8">
      <c r="B81" s="5"/>
      <c r="H81" s="16"/>
    </row>
    <row r="82" spans="2:8">
      <c r="B82" s="5"/>
      <c r="H82" s="16"/>
    </row>
    <row r="83" spans="2:8">
      <c r="B83" s="5"/>
      <c r="H83" s="16"/>
    </row>
    <row r="84" spans="2:8">
      <c r="B84" s="5"/>
      <c r="H84" s="16"/>
    </row>
    <row r="85" spans="2:8">
      <c r="B85" s="5"/>
      <c r="H85" s="16"/>
    </row>
    <row r="86" spans="2:8">
      <c r="B86" s="5"/>
      <c r="H86" s="16"/>
    </row>
    <row r="87" spans="2:8">
      <c r="B87" s="5"/>
      <c r="H87" s="16"/>
    </row>
    <row r="88" spans="2:8">
      <c r="B88" s="5"/>
      <c r="H88" s="16"/>
    </row>
    <row r="89" spans="2:8">
      <c r="B89" s="5"/>
      <c r="H89" s="16"/>
    </row>
    <row r="90" spans="2:8">
      <c r="B90" s="5"/>
      <c r="H90" s="16"/>
    </row>
    <row r="91" spans="2:8">
      <c r="B91" s="5"/>
      <c r="H91" s="16"/>
    </row>
    <row r="92" spans="2:8">
      <c r="B92" s="5"/>
      <c r="H92" s="16"/>
    </row>
    <row r="93" spans="2:8">
      <c r="B93" s="5"/>
      <c r="H93" s="16"/>
    </row>
    <row r="94" spans="2:8">
      <c r="B94" s="5"/>
      <c r="H94" s="16"/>
    </row>
    <row r="95" spans="2:8">
      <c r="B95" s="5"/>
      <c r="H95" s="16"/>
    </row>
    <row r="96" spans="2:8">
      <c r="B96" s="5"/>
      <c r="H96" s="16"/>
    </row>
    <row r="97" spans="2:8">
      <c r="B97" s="5"/>
      <c r="H97" s="16"/>
    </row>
    <row r="98" spans="2:8">
      <c r="B98" s="5"/>
      <c r="H98" s="16"/>
    </row>
    <row r="99" spans="2:8">
      <c r="B99" s="5"/>
      <c r="H99" s="16"/>
    </row>
    <row r="100" spans="2:8">
      <c r="B100" s="5"/>
      <c r="H100" s="16"/>
    </row>
    <row r="101" spans="2:8">
      <c r="B101" s="5"/>
      <c r="H101" s="16"/>
    </row>
    <row r="102" spans="2:8">
      <c r="B102" s="5"/>
      <c r="H102" s="16"/>
    </row>
    <row r="103" spans="2:8">
      <c r="B103" s="5"/>
      <c r="H103" s="16"/>
    </row>
    <row r="104" spans="2:8">
      <c r="B104" s="5"/>
      <c r="H104" s="16"/>
    </row>
    <row r="105" spans="2:8">
      <c r="B105" s="5"/>
      <c r="H105" s="16"/>
    </row>
    <row r="106" spans="2:8">
      <c r="B106" s="5"/>
      <c r="H106" s="16"/>
    </row>
    <row r="107" spans="2:8">
      <c r="B107" s="5"/>
      <c r="H107" s="16"/>
    </row>
    <row r="108" spans="2:8">
      <c r="B108" s="5"/>
      <c r="H108" s="16"/>
    </row>
    <row r="109" spans="2:8">
      <c r="B109" s="5"/>
      <c r="H109" s="16"/>
    </row>
    <row r="110" spans="2:8">
      <c r="B110" s="5"/>
      <c r="H110" s="16"/>
    </row>
    <row r="111" spans="2:8">
      <c r="B111" s="5"/>
      <c r="H111" s="16"/>
    </row>
    <row r="112" spans="2:8">
      <c r="B112" s="5"/>
      <c r="H112" s="16"/>
    </row>
    <row r="113" spans="2:8">
      <c r="B113" s="5"/>
      <c r="H113" s="16"/>
    </row>
    <row r="114" spans="2:8">
      <c r="B114" s="5"/>
      <c r="H114" s="16"/>
    </row>
    <row r="115" spans="2:8">
      <c r="B115" s="5"/>
      <c r="H115" s="16"/>
    </row>
    <row r="116" spans="2:8">
      <c r="B116" s="5"/>
      <c r="H116" s="16"/>
    </row>
    <row r="117" spans="2:8">
      <c r="B117" s="5"/>
      <c r="H117" s="16"/>
    </row>
    <row r="118" spans="2:8">
      <c r="B118" s="5"/>
      <c r="H118" s="16"/>
    </row>
    <row r="119" spans="2:8">
      <c r="B119" s="5"/>
      <c r="H119" s="16"/>
    </row>
    <row r="120" spans="2:8">
      <c r="B120" s="5"/>
      <c r="H120" s="16"/>
    </row>
    <row r="121" spans="2:8">
      <c r="B121" s="5"/>
      <c r="H121" s="16"/>
    </row>
    <row r="122" spans="2:8">
      <c r="B122" s="5"/>
      <c r="H122" s="16"/>
    </row>
    <row r="123" spans="2:8">
      <c r="B123" s="5"/>
      <c r="H123" s="16"/>
    </row>
    <row r="124" spans="2:8">
      <c r="B124" s="5"/>
      <c r="H124" s="16"/>
    </row>
    <row r="125" spans="2:8">
      <c r="B125" s="5"/>
      <c r="H125" s="16"/>
    </row>
    <row r="126" spans="2:8">
      <c r="B126" s="5"/>
      <c r="H126" s="16"/>
    </row>
    <row r="127" spans="2:8">
      <c r="B127" s="5"/>
      <c r="H127" s="16"/>
    </row>
    <row r="128" spans="2:8">
      <c r="B128" s="5"/>
      <c r="H128" s="16"/>
    </row>
    <row r="129" spans="2:8">
      <c r="B129" s="5"/>
      <c r="H129" s="16"/>
    </row>
    <row r="130" spans="2:8">
      <c r="B130" s="5"/>
      <c r="H130" s="16"/>
    </row>
    <row r="131" spans="2:8">
      <c r="B131" s="5"/>
      <c r="H131" s="16"/>
    </row>
    <row r="132" spans="2:8">
      <c r="B132" s="5"/>
      <c r="H132" s="16"/>
    </row>
    <row r="133" spans="2:8">
      <c r="B133" s="5"/>
      <c r="H133" s="16"/>
    </row>
    <row r="134" spans="2:8">
      <c r="B134" s="5"/>
      <c r="H134" s="16"/>
    </row>
    <row r="135" spans="2:8">
      <c r="B135" s="5"/>
      <c r="H135" s="16"/>
    </row>
    <row r="136" spans="2:8">
      <c r="B136" s="5"/>
      <c r="H136" s="16"/>
    </row>
    <row r="137" spans="2:8">
      <c r="B137" s="5"/>
      <c r="H137" s="16"/>
    </row>
    <row r="138" spans="2:8">
      <c r="B138" s="5"/>
      <c r="H138" s="16"/>
    </row>
    <row r="139" spans="2:8">
      <c r="B139" s="5"/>
      <c r="H139" s="16"/>
    </row>
    <row r="140" spans="2:8">
      <c r="B140" s="5"/>
      <c r="H140" s="16"/>
    </row>
    <row r="141" spans="2:8">
      <c r="B141" s="5"/>
      <c r="H141" s="16"/>
    </row>
    <row r="142" spans="2:8">
      <c r="B142" s="5"/>
      <c r="H142" s="16"/>
    </row>
    <row r="143" spans="2:8">
      <c r="B143" s="5"/>
      <c r="H143" s="16"/>
    </row>
    <row r="144" spans="2:8">
      <c r="B144" s="5"/>
      <c r="H144" s="16"/>
    </row>
    <row r="145" spans="2:8">
      <c r="B145" s="5"/>
      <c r="H145" s="16"/>
    </row>
    <row r="146" spans="2:8">
      <c r="B146" s="5"/>
      <c r="H146" s="16"/>
    </row>
    <row r="147" spans="2:8">
      <c r="B147" s="5"/>
      <c r="H147" s="16"/>
    </row>
    <row r="148" spans="2:8">
      <c r="B148" s="5"/>
      <c r="H148" s="16"/>
    </row>
    <row r="149" spans="2:8">
      <c r="B149" s="5"/>
      <c r="H149" s="16"/>
    </row>
    <row r="150" spans="2:8">
      <c r="B150" s="5"/>
      <c r="H150" s="16"/>
    </row>
    <row r="151" spans="2:8">
      <c r="B151" s="5"/>
      <c r="H151" s="16"/>
    </row>
    <row r="152" spans="2:8">
      <c r="B152" s="5"/>
      <c r="H152" s="16"/>
    </row>
    <row r="153" spans="2:8">
      <c r="B153" s="5"/>
      <c r="H153" s="16"/>
    </row>
    <row r="154" spans="2:8">
      <c r="B154" s="5"/>
      <c r="H154" s="16"/>
    </row>
    <row r="155" spans="2:8">
      <c r="B155" s="5"/>
      <c r="H155" s="16"/>
    </row>
    <row r="156" spans="2:8">
      <c r="B156" s="5"/>
      <c r="H156" s="16"/>
    </row>
    <row r="157" spans="2:8">
      <c r="B157" s="5"/>
      <c r="H157" s="16"/>
    </row>
    <row r="158" spans="2:8">
      <c r="B158" s="5"/>
      <c r="H158" s="16"/>
    </row>
    <row r="159" spans="2:8">
      <c r="B159" s="5"/>
      <c r="H159" s="16"/>
    </row>
    <row r="160" spans="2:8">
      <c r="B160" s="5"/>
      <c r="H160" s="16"/>
    </row>
    <row r="161" spans="2:8">
      <c r="B161" s="5"/>
      <c r="H161" s="16"/>
    </row>
    <row r="162" spans="2:8">
      <c r="B162" s="5"/>
      <c r="H162" s="16"/>
    </row>
    <row r="163" spans="2:8">
      <c r="B163" s="5"/>
      <c r="H163" s="16"/>
    </row>
    <row r="164" spans="2:8">
      <c r="B164" s="5"/>
      <c r="H164" s="16"/>
    </row>
    <row r="165" spans="2:8">
      <c r="B165" s="5"/>
      <c r="H165" s="16"/>
    </row>
    <row r="166" spans="2:8">
      <c r="B166" s="5"/>
      <c r="H166" s="16"/>
    </row>
    <row r="167" spans="2:8">
      <c r="B167" s="5"/>
      <c r="H167" s="16"/>
    </row>
    <row r="168" spans="2:8">
      <c r="B168" s="5"/>
      <c r="H168" s="16"/>
    </row>
    <row r="169" spans="2:8">
      <c r="B169" s="5"/>
      <c r="H169" s="16"/>
    </row>
    <row r="170" spans="2:8">
      <c r="B170" s="5"/>
      <c r="H170" s="16"/>
    </row>
    <row r="171" spans="2:8">
      <c r="B171" s="5"/>
      <c r="H171" s="16"/>
    </row>
    <row r="172" spans="2:8">
      <c r="B172" s="5"/>
      <c r="H172" s="16"/>
    </row>
    <row r="173" spans="2:8">
      <c r="B173" s="5"/>
      <c r="H173" s="16"/>
    </row>
    <row r="174" spans="2:8">
      <c r="B174" s="5"/>
      <c r="H174" s="16"/>
    </row>
    <row r="175" spans="2:8">
      <c r="B175" s="5"/>
      <c r="H175" s="16"/>
    </row>
    <row r="176" spans="2:8">
      <c r="B176" s="5"/>
      <c r="H176" s="16"/>
    </row>
    <row r="177" spans="2:8">
      <c r="B177" s="5"/>
      <c r="H177" s="16"/>
    </row>
    <row r="178" spans="2:8">
      <c r="B178" s="5"/>
      <c r="H178" s="16"/>
    </row>
    <row r="179" spans="2:8">
      <c r="B179" s="5"/>
      <c r="H179" s="16"/>
    </row>
    <row r="180" spans="2:8">
      <c r="B180" s="5"/>
      <c r="H180" s="16"/>
    </row>
    <row r="181" spans="2:8">
      <c r="B181" s="5"/>
      <c r="H181" s="16"/>
    </row>
    <row r="182" spans="2:8">
      <c r="B182" s="5"/>
      <c r="H182" s="16"/>
    </row>
    <row r="183" spans="2:8">
      <c r="B183" s="5"/>
      <c r="H183" s="16"/>
    </row>
    <row r="184" spans="2:8">
      <c r="B184" s="5"/>
      <c r="H184" s="16"/>
    </row>
    <row r="185" spans="2:8">
      <c r="B185" s="5"/>
      <c r="H185" s="16"/>
    </row>
    <row r="186" spans="2:8">
      <c r="B186" s="5"/>
      <c r="H186" s="16"/>
    </row>
    <row r="187" spans="2:8">
      <c r="B187" s="5"/>
      <c r="H187" s="16"/>
    </row>
    <row r="188" spans="2:8">
      <c r="B188" s="5"/>
      <c r="H188" s="16"/>
    </row>
    <row r="189" spans="2:8">
      <c r="B189" s="5"/>
      <c r="H189" s="16"/>
    </row>
    <row r="190" spans="2:8">
      <c r="B190" s="5"/>
      <c r="H190" s="16"/>
    </row>
    <row r="191" spans="2:8">
      <c r="B191" s="5"/>
      <c r="H191" s="16"/>
    </row>
    <row r="192" spans="2:8">
      <c r="B192" s="5"/>
      <c r="H192" s="16"/>
    </row>
    <row r="193" spans="2:8">
      <c r="B193" s="5"/>
      <c r="H193" s="16"/>
    </row>
    <row r="194" spans="2:8">
      <c r="B194" s="5"/>
      <c r="H194" s="16"/>
    </row>
    <row r="195" spans="2:8">
      <c r="B195" s="5"/>
      <c r="H195" s="16"/>
    </row>
    <row r="196" spans="2:8">
      <c r="B196" s="5"/>
      <c r="H196" s="16"/>
    </row>
    <row r="197" spans="2:8">
      <c r="B197" s="5"/>
      <c r="H197" s="16"/>
    </row>
    <row r="198" spans="2:8">
      <c r="B198" s="5"/>
      <c r="H198" s="16"/>
    </row>
    <row r="199" spans="2:8">
      <c r="B199" s="5"/>
      <c r="H199" s="16"/>
    </row>
    <row r="200" spans="2:8">
      <c r="B200" s="5"/>
      <c r="H200" s="16"/>
    </row>
    <row r="201" spans="2:8">
      <c r="B201" s="5"/>
      <c r="H201" s="16"/>
    </row>
    <row r="202" spans="2:8">
      <c r="B202" s="5"/>
      <c r="H202" s="16"/>
    </row>
    <row r="203" spans="2:8">
      <c r="B203" s="5"/>
      <c r="H203" s="16"/>
    </row>
    <row r="204" spans="2:8">
      <c r="B204" s="5"/>
      <c r="H204" s="16"/>
    </row>
    <row r="205" spans="2:8">
      <c r="B205" s="5"/>
      <c r="H205" s="16"/>
    </row>
    <row r="206" spans="2:8">
      <c r="B206" s="5"/>
      <c r="H206" s="16"/>
    </row>
    <row r="207" spans="2:8">
      <c r="B207" s="5"/>
      <c r="H207" s="16"/>
    </row>
    <row r="208" spans="2:8">
      <c r="B208" s="5"/>
      <c r="H208" s="16"/>
    </row>
    <row r="209" spans="2:8">
      <c r="B209" s="5"/>
      <c r="H209" s="16"/>
    </row>
    <row r="210" spans="2:8">
      <c r="B210" s="5"/>
      <c r="H210" s="16"/>
    </row>
    <row r="211" spans="2:8">
      <c r="B211" s="5"/>
      <c r="H211" s="16"/>
    </row>
    <row r="212" spans="2:8">
      <c r="B212" s="5"/>
      <c r="H212" s="16"/>
    </row>
    <row r="213" spans="2:8">
      <c r="B213" s="5"/>
      <c r="H213" s="16"/>
    </row>
    <row r="214" spans="2:8">
      <c r="B214" s="5"/>
      <c r="H214" s="16"/>
    </row>
    <row r="215" spans="2:8">
      <c r="B215" s="5"/>
      <c r="H215" s="16"/>
    </row>
    <row r="216" spans="2:8">
      <c r="B216" s="5"/>
      <c r="H216" s="16"/>
    </row>
    <row r="217" spans="2:8">
      <c r="B217" s="5"/>
      <c r="H217" s="16"/>
    </row>
    <row r="218" spans="2:8">
      <c r="B218" s="5"/>
      <c r="H218" s="16"/>
    </row>
    <row r="219" spans="2:8">
      <c r="B219" s="5"/>
      <c r="H219" s="16"/>
    </row>
    <row r="220" spans="2:8">
      <c r="B220" s="5"/>
      <c r="H220" s="16"/>
    </row>
    <row r="221" spans="2:8">
      <c r="B221" s="5"/>
      <c r="H221" s="16"/>
    </row>
    <row r="222" spans="2:8">
      <c r="B222" s="5"/>
      <c r="H222" s="16"/>
    </row>
    <row r="223" spans="2:8">
      <c r="B223" s="5"/>
      <c r="H223" s="16"/>
    </row>
    <row r="224" spans="2:8">
      <c r="B224" s="5"/>
      <c r="H224" s="16"/>
    </row>
    <row r="225" spans="2:8">
      <c r="B225" s="5"/>
      <c r="H225" s="16"/>
    </row>
    <row r="226" spans="2:8">
      <c r="B226" s="5"/>
      <c r="H226" s="16"/>
    </row>
    <row r="227" spans="2:8">
      <c r="B227" s="5"/>
      <c r="H227" s="16"/>
    </row>
    <row r="228" spans="2:8">
      <c r="B228" s="5"/>
      <c r="H228" s="16"/>
    </row>
    <row r="229" spans="2:8">
      <c r="B229" s="5"/>
      <c r="H229" s="16"/>
    </row>
    <row r="230" spans="2:8">
      <c r="B230" s="5"/>
      <c r="H230" s="16"/>
    </row>
    <row r="231" spans="2:8">
      <c r="B231" s="5"/>
      <c r="H231" s="16"/>
    </row>
    <row r="232" spans="2:8">
      <c r="B232" s="5"/>
      <c r="H232" s="16"/>
    </row>
    <row r="233" spans="2:8">
      <c r="B233" s="5"/>
      <c r="H233" s="16"/>
    </row>
    <row r="234" spans="2:8">
      <c r="B234" s="5"/>
      <c r="H234" s="16"/>
    </row>
    <row r="235" spans="2:8">
      <c r="B235" s="5"/>
      <c r="H235" s="16"/>
    </row>
    <row r="236" spans="2:8">
      <c r="B236" s="5"/>
      <c r="H236" s="16"/>
    </row>
    <row r="237" spans="2:8">
      <c r="B237" s="5"/>
      <c r="H237" s="16"/>
    </row>
    <row r="238" spans="2:8">
      <c r="B238" s="5"/>
      <c r="H238" s="16"/>
    </row>
    <row r="239" spans="2:8">
      <c r="B239" s="5"/>
      <c r="H239" s="16"/>
    </row>
    <row r="240" spans="2:8">
      <c r="B240" s="5"/>
      <c r="H240" s="16"/>
    </row>
    <row r="241" spans="2:8">
      <c r="B241" s="5"/>
      <c r="H241" s="16"/>
    </row>
    <row r="242" spans="2:8">
      <c r="B242" s="5"/>
      <c r="H242" s="16"/>
    </row>
    <row r="243" spans="2:8">
      <c r="B243" s="5"/>
      <c r="H243" s="16"/>
    </row>
    <row r="244" spans="2:8">
      <c r="B244" s="5"/>
      <c r="H244" s="16"/>
    </row>
    <row r="245" spans="2:8">
      <c r="B245" s="5"/>
      <c r="H245" s="16"/>
    </row>
    <row r="246" spans="2:8">
      <c r="B246" s="5"/>
      <c r="H246" s="16"/>
    </row>
    <row r="247" spans="2:8">
      <c r="B247" s="5"/>
      <c r="H247" s="16"/>
    </row>
    <row r="248" spans="2:8">
      <c r="B248" s="5"/>
      <c r="H248" s="16"/>
    </row>
    <row r="249" spans="2:8">
      <c r="B249" s="5"/>
      <c r="H249" s="16"/>
    </row>
    <row r="250" spans="2:8">
      <c r="B250" s="5"/>
      <c r="H250" s="16"/>
    </row>
    <row r="251" spans="2:8">
      <c r="B251" s="5"/>
      <c r="H251" s="16"/>
    </row>
    <row r="252" spans="2:8">
      <c r="B252" s="5"/>
      <c r="H252" s="16"/>
    </row>
    <row r="253" spans="2:8">
      <c r="B253" s="5"/>
      <c r="H253" s="16"/>
    </row>
    <row r="254" spans="2:8">
      <c r="B254" s="5"/>
      <c r="H254" s="16"/>
    </row>
    <row r="255" spans="2:8">
      <c r="B255" s="5"/>
      <c r="H255" s="16"/>
    </row>
    <row r="256" spans="2:8">
      <c r="B256" s="5"/>
      <c r="H256" s="16"/>
    </row>
    <row r="257" spans="2:8">
      <c r="B257" s="5"/>
      <c r="H257" s="16"/>
    </row>
    <row r="258" spans="2:8">
      <c r="B258" s="5"/>
      <c r="H258" s="16"/>
    </row>
    <row r="259" spans="2:8">
      <c r="B259" s="5"/>
      <c r="H259" s="16"/>
    </row>
    <row r="260" spans="2:8">
      <c r="B260" s="5"/>
      <c r="H260" s="16"/>
    </row>
    <row r="261" spans="2:8">
      <c r="B261" s="5"/>
      <c r="H261" s="16"/>
    </row>
    <row r="262" spans="2:8">
      <c r="B262" s="5"/>
      <c r="H262" s="16"/>
    </row>
    <row r="263" spans="2:8">
      <c r="B263" s="5"/>
      <c r="H263" s="16"/>
    </row>
    <row r="264" spans="2:8">
      <c r="B264" s="5"/>
      <c r="H264" s="16"/>
    </row>
    <row r="265" spans="2:8">
      <c r="B265" s="5"/>
      <c r="H265" s="16"/>
    </row>
    <row r="266" spans="2:8">
      <c r="B266" s="5"/>
      <c r="H266" s="16"/>
    </row>
    <row r="267" spans="2:8">
      <c r="B267" s="5"/>
      <c r="H267" s="16"/>
    </row>
    <row r="268" spans="2:8">
      <c r="B268" s="5"/>
      <c r="H268" s="16"/>
    </row>
    <row r="269" spans="2:8">
      <c r="B269" s="5"/>
      <c r="H269" s="16"/>
    </row>
    <row r="270" spans="2:8">
      <c r="B270" s="5"/>
      <c r="H270" s="16"/>
    </row>
    <row r="271" spans="2:8">
      <c r="B271" s="5"/>
      <c r="H271" s="16"/>
    </row>
    <row r="272" spans="2:8">
      <c r="B272" s="5"/>
      <c r="H272" s="16"/>
    </row>
    <row r="273" spans="2:8">
      <c r="B273" s="5"/>
      <c r="H273" s="16"/>
    </row>
    <row r="274" spans="2:8">
      <c r="B274" s="5"/>
      <c r="H274" s="16"/>
    </row>
    <row r="275" spans="2:8">
      <c r="B275" s="5"/>
      <c r="H275" s="16"/>
    </row>
    <row r="276" spans="2:8">
      <c r="B276" s="5"/>
      <c r="H276" s="16"/>
    </row>
    <row r="277" spans="2:8">
      <c r="B277" s="5"/>
      <c r="H277" s="16"/>
    </row>
    <row r="278" spans="2:8">
      <c r="B278" s="5"/>
      <c r="H278" s="16"/>
    </row>
    <row r="279" spans="2:8">
      <c r="B279" s="5"/>
      <c r="H279" s="16"/>
    </row>
    <row r="280" spans="2:8">
      <c r="B280" s="5"/>
      <c r="H280" s="16"/>
    </row>
    <row r="281" spans="2:8">
      <c r="B281" s="5"/>
      <c r="H281" s="16"/>
    </row>
    <row r="282" spans="2:8">
      <c r="B282" s="5"/>
      <c r="H282" s="16"/>
    </row>
    <row r="283" spans="2:8">
      <c r="B283" s="5"/>
      <c r="H283" s="16"/>
    </row>
    <row r="284" spans="2:8">
      <c r="B284" s="5"/>
      <c r="H284" s="16"/>
    </row>
    <row r="285" spans="2:8">
      <c r="B285" s="5"/>
      <c r="H285" s="16"/>
    </row>
    <row r="286" spans="2:8">
      <c r="B286" s="5"/>
      <c r="H286" s="16"/>
    </row>
    <row r="287" spans="2:8">
      <c r="B287" s="5"/>
      <c r="H287" s="16"/>
    </row>
    <row r="288" spans="2:8">
      <c r="B288" s="5"/>
      <c r="H288" s="16"/>
    </row>
    <row r="289" spans="2:8">
      <c r="B289" s="5"/>
      <c r="H289" s="16"/>
    </row>
    <row r="290" spans="2:8">
      <c r="B290" s="5"/>
      <c r="H290" s="16"/>
    </row>
    <row r="291" spans="2:8">
      <c r="B291" s="5"/>
      <c r="H291" s="16"/>
    </row>
    <row r="292" spans="2:8">
      <c r="B292" s="5"/>
      <c r="H292" s="16"/>
    </row>
    <row r="293" spans="2:8">
      <c r="B293" s="5"/>
      <c r="H293" s="16"/>
    </row>
    <row r="294" spans="2:8">
      <c r="B294" s="5"/>
      <c r="H294" s="16"/>
    </row>
    <row r="295" spans="2:8">
      <c r="B295" s="5"/>
      <c r="H295" s="16"/>
    </row>
    <row r="296" spans="2:8">
      <c r="B296" s="5"/>
      <c r="H296" s="16"/>
    </row>
    <row r="297" spans="2:8">
      <c r="B297" s="5"/>
      <c r="H297" s="16"/>
    </row>
    <row r="298" spans="2:8">
      <c r="B298" s="5"/>
      <c r="H298" s="16"/>
    </row>
    <row r="299" spans="2:8">
      <c r="B299" s="5"/>
      <c r="H299" s="16"/>
    </row>
    <row r="300" spans="2:8">
      <c r="B300" s="5"/>
      <c r="H300" s="16"/>
    </row>
    <row r="301" spans="2:8">
      <c r="B301" s="5"/>
      <c r="H301" s="16"/>
    </row>
    <row r="302" spans="2:8">
      <c r="B302" s="5"/>
      <c r="H302" s="16"/>
    </row>
    <row r="303" spans="2:8">
      <c r="B303" s="5"/>
      <c r="H303" s="16"/>
    </row>
    <row r="304" spans="2:8">
      <c r="B304" s="5"/>
      <c r="H304" s="16"/>
    </row>
    <row r="305" spans="2:8">
      <c r="B305" s="5"/>
      <c r="H305" s="16"/>
    </row>
    <row r="306" spans="2:8">
      <c r="B306" s="5"/>
      <c r="H306" s="16"/>
    </row>
    <row r="307" spans="2:8">
      <c r="B307" s="5"/>
      <c r="H307" s="16"/>
    </row>
    <row r="308" spans="2:8">
      <c r="B308" s="5"/>
      <c r="H308" s="16"/>
    </row>
    <row r="309" spans="2:8">
      <c r="B309" s="5"/>
      <c r="H309" s="16"/>
    </row>
    <row r="310" spans="2:8">
      <c r="B310" s="5"/>
      <c r="H310" s="16"/>
    </row>
    <row r="311" spans="2:8">
      <c r="B311" s="5"/>
      <c r="H311" s="16"/>
    </row>
    <row r="312" spans="2:8">
      <c r="B312" s="5"/>
      <c r="H312" s="16"/>
    </row>
    <row r="313" spans="2:8">
      <c r="B313" s="5"/>
      <c r="H313" s="16"/>
    </row>
    <row r="314" spans="2:8">
      <c r="B314" s="5"/>
      <c r="H314" s="16"/>
    </row>
    <row r="315" spans="2:8">
      <c r="B315" s="5"/>
      <c r="H315" s="16"/>
    </row>
    <row r="316" spans="2:8">
      <c r="B316" s="5"/>
      <c r="H316" s="16"/>
    </row>
    <row r="317" spans="2:8">
      <c r="B317" s="5"/>
      <c r="H317" s="16"/>
    </row>
    <row r="318" spans="2:8">
      <c r="B318" s="5"/>
      <c r="H318" s="16"/>
    </row>
    <row r="319" spans="2:8">
      <c r="B319" s="5"/>
      <c r="H319" s="16"/>
    </row>
    <row r="320" spans="2:8">
      <c r="B320" s="5"/>
      <c r="H320" s="16"/>
    </row>
    <row r="321" spans="2:8">
      <c r="B321" s="5"/>
      <c r="H321" s="16"/>
    </row>
    <row r="322" spans="2:8">
      <c r="B322" s="5"/>
      <c r="H322" s="16"/>
    </row>
    <row r="323" spans="2:8">
      <c r="B323" s="5"/>
      <c r="H323" s="16"/>
    </row>
    <row r="324" spans="2:8">
      <c r="B324" s="5"/>
      <c r="H324" s="16"/>
    </row>
    <row r="325" spans="2:8">
      <c r="B325" s="5"/>
      <c r="H325" s="16"/>
    </row>
    <row r="326" spans="2:8">
      <c r="B326" s="5"/>
      <c r="H326" s="16"/>
    </row>
    <row r="327" spans="2:8">
      <c r="B327" s="5"/>
      <c r="H327" s="16"/>
    </row>
    <row r="328" spans="2:8">
      <c r="B328" s="5"/>
      <c r="H328" s="16"/>
    </row>
    <row r="329" spans="2:8">
      <c r="B329" s="5"/>
      <c r="H329" s="16"/>
    </row>
    <row r="330" spans="2:8">
      <c r="B330" s="5"/>
      <c r="H330" s="16"/>
    </row>
    <row r="331" spans="2:8">
      <c r="B331" s="5"/>
      <c r="H331" s="16"/>
    </row>
    <row r="332" spans="2:8">
      <c r="B332" s="5"/>
      <c r="H332" s="16"/>
    </row>
    <row r="333" spans="2:8">
      <c r="B333" s="5"/>
      <c r="H333" s="16"/>
    </row>
    <row r="334" spans="2:8">
      <c r="B334" s="5"/>
      <c r="H334" s="16"/>
    </row>
    <row r="335" spans="2:8">
      <c r="B335" s="5"/>
      <c r="H335" s="16"/>
    </row>
    <row r="336" spans="2:8">
      <c r="B336" s="5"/>
      <c r="H336" s="16"/>
    </row>
    <row r="337" spans="2:8">
      <c r="B337" s="5"/>
      <c r="H337" s="16"/>
    </row>
    <row r="338" spans="2:8">
      <c r="B338" s="5"/>
      <c r="H338" s="16"/>
    </row>
    <row r="339" spans="2:8">
      <c r="B339" s="5"/>
      <c r="H339" s="16"/>
    </row>
    <row r="340" spans="2:8">
      <c r="B340" s="5"/>
      <c r="H340" s="16"/>
    </row>
    <row r="341" spans="2:8">
      <c r="B341" s="5"/>
      <c r="H341" s="16"/>
    </row>
    <row r="342" spans="2:8">
      <c r="B342" s="5"/>
      <c r="H342" s="16"/>
    </row>
    <row r="343" spans="2:8">
      <c r="B343" s="5"/>
      <c r="H343" s="16"/>
    </row>
    <row r="344" spans="2:8">
      <c r="B344" s="5"/>
      <c r="H344" s="16"/>
    </row>
    <row r="345" spans="2:8">
      <c r="B345" s="5"/>
      <c r="H345" s="16"/>
    </row>
    <row r="346" spans="2:8">
      <c r="B346" s="5"/>
      <c r="H346" s="16"/>
    </row>
    <row r="347" spans="2:8">
      <c r="B347" s="5"/>
      <c r="H347" s="16"/>
    </row>
    <row r="348" spans="2:8">
      <c r="B348" s="5"/>
      <c r="H348" s="16"/>
    </row>
    <row r="349" spans="2:8">
      <c r="B349" s="5"/>
      <c r="H349" s="16"/>
    </row>
    <row r="350" spans="2:8">
      <c r="B350" s="5"/>
      <c r="H350" s="16"/>
    </row>
    <row r="351" spans="2:8">
      <c r="B351" s="5"/>
      <c r="H351" s="16"/>
    </row>
    <row r="352" spans="2:8">
      <c r="B352" s="5"/>
      <c r="H352" s="16"/>
    </row>
    <row r="353" spans="2:8">
      <c r="B353" s="5"/>
      <c r="H353" s="16"/>
    </row>
    <row r="354" spans="2:8">
      <c r="B354" s="5"/>
      <c r="H354" s="16"/>
    </row>
    <row r="355" spans="2:8">
      <c r="B355" s="5"/>
      <c r="H355" s="16"/>
    </row>
    <row r="356" spans="2:8">
      <c r="B356" s="5"/>
      <c r="H356" s="16"/>
    </row>
    <row r="357" spans="2:8">
      <c r="B357" s="5"/>
      <c r="H357" s="16"/>
    </row>
    <row r="358" spans="2:8">
      <c r="B358" s="5"/>
      <c r="H358" s="16"/>
    </row>
    <row r="359" spans="2:8">
      <c r="B359" s="5"/>
      <c r="H359" s="16"/>
    </row>
    <row r="360" spans="2:8">
      <c r="B360" s="5"/>
      <c r="H360" s="16"/>
    </row>
    <row r="361" spans="2:8">
      <c r="B361" s="5"/>
      <c r="H361" s="16"/>
    </row>
    <row r="362" spans="2:8">
      <c r="B362" s="5"/>
      <c r="H362" s="16"/>
    </row>
    <row r="363" spans="2:8">
      <c r="B363" s="5"/>
      <c r="H363" s="16"/>
    </row>
    <row r="364" spans="2:8">
      <c r="B364" s="5"/>
      <c r="H364" s="16"/>
    </row>
    <row r="365" spans="2:8">
      <c r="B365" s="5"/>
      <c r="H365" s="16"/>
    </row>
    <row r="366" spans="2:8">
      <c r="B366" s="5"/>
      <c r="H366" s="16"/>
    </row>
    <row r="367" spans="2:8">
      <c r="B367" s="5"/>
      <c r="H367" s="16"/>
    </row>
    <row r="368" spans="2:8">
      <c r="B368" s="5"/>
      <c r="H368" s="16"/>
    </row>
    <row r="369" spans="2:8">
      <c r="B369" s="5"/>
      <c r="H369" s="16"/>
    </row>
    <row r="370" spans="2:8">
      <c r="B370" s="5"/>
      <c r="H370" s="16"/>
    </row>
    <row r="371" spans="2:8">
      <c r="B371" s="5"/>
      <c r="H371" s="16"/>
    </row>
    <row r="372" spans="2:8">
      <c r="B372" s="5"/>
      <c r="H372" s="16"/>
    </row>
    <row r="373" spans="2:8">
      <c r="B373" s="5"/>
      <c r="H373" s="16"/>
    </row>
    <row r="374" spans="2:8">
      <c r="B374" s="5"/>
      <c r="H374" s="16"/>
    </row>
    <row r="375" spans="2:8">
      <c r="B375" s="5"/>
      <c r="H375" s="16"/>
    </row>
    <row r="376" spans="2:8">
      <c r="B376" s="5"/>
      <c r="H376" s="16"/>
    </row>
    <row r="377" spans="2:8">
      <c r="B377" s="5"/>
      <c r="H377" s="16"/>
    </row>
    <row r="378" spans="2:8">
      <c r="B378" s="5"/>
      <c r="H378" s="16"/>
    </row>
    <row r="379" spans="2:8">
      <c r="B379" s="5"/>
      <c r="H379" s="16"/>
    </row>
    <row r="380" spans="2:8">
      <c r="B380" s="5"/>
      <c r="H380" s="16"/>
    </row>
    <row r="381" spans="2:8">
      <c r="B381" s="5"/>
      <c r="H381" s="16"/>
    </row>
    <row r="382" spans="2:8">
      <c r="B382" s="5"/>
      <c r="H382" s="16"/>
    </row>
    <row r="383" spans="2:8">
      <c r="B383" s="5"/>
      <c r="H383" s="16"/>
    </row>
    <row r="384" spans="2:8">
      <c r="B384" s="5"/>
      <c r="H384" s="16"/>
    </row>
    <row r="385" spans="2:8">
      <c r="B385" s="5"/>
      <c r="H385" s="16"/>
    </row>
    <row r="386" spans="2:8">
      <c r="B386" s="5"/>
      <c r="H386" s="16"/>
    </row>
    <row r="387" spans="2:8">
      <c r="B387" s="5"/>
      <c r="H387" s="16"/>
    </row>
    <row r="388" spans="2:8">
      <c r="B388" s="5"/>
      <c r="H388" s="16"/>
    </row>
    <row r="389" spans="2:8">
      <c r="B389" s="5"/>
      <c r="H389" s="16"/>
    </row>
    <row r="390" spans="2:8">
      <c r="B390" s="5"/>
      <c r="H390" s="16"/>
    </row>
    <row r="391" spans="2:8">
      <c r="B391" s="5"/>
      <c r="H391" s="16"/>
    </row>
    <row r="392" spans="2:8">
      <c r="B392" s="5"/>
      <c r="H392" s="16"/>
    </row>
    <row r="393" spans="2:8">
      <c r="B393" s="5"/>
      <c r="H393" s="16"/>
    </row>
    <row r="394" spans="2:8">
      <c r="B394" s="5"/>
      <c r="H394" s="16"/>
    </row>
    <row r="395" spans="2:8">
      <c r="B395" s="5"/>
      <c r="H395" s="16"/>
    </row>
    <row r="396" spans="2:8">
      <c r="B396" s="5"/>
      <c r="H396" s="16"/>
    </row>
    <row r="397" spans="2:8">
      <c r="B397" s="5"/>
      <c r="H397" s="16"/>
    </row>
    <row r="398" spans="2:8">
      <c r="B398" s="5"/>
      <c r="H398" s="16"/>
    </row>
    <row r="399" spans="2:8">
      <c r="B399" s="5"/>
      <c r="H399" s="16"/>
    </row>
    <row r="400" spans="2:8">
      <c r="B400" s="5"/>
      <c r="H400" s="16"/>
    </row>
    <row r="401" spans="2:8">
      <c r="B401" s="5"/>
      <c r="H401" s="16"/>
    </row>
    <row r="402" spans="2:8">
      <c r="B402" s="5"/>
      <c r="H402" s="16"/>
    </row>
    <row r="403" spans="2:8">
      <c r="B403" s="5"/>
      <c r="H403" s="16"/>
    </row>
    <row r="404" spans="2:8">
      <c r="B404" s="5"/>
      <c r="H404" s="16"/>
    </row>
    <row r="405" spans="2:8">
      <c r="B405" s="5"/>
      <c r="H405" s="16"/>
    </row>
    <row r="406" spans="2:8">
      <c r="B406" s="5"/>
      <c r="H406" s="16"/>
    </row>
    <row r="407" spans="2:8">
      <c r="B407" s="5"/>
      <c r="H407" s="16"/>
    </row>
    <row r="408" spans="2:8">
      <c r="B408" s="5"/>
      <c r="H408" s="16"/>
    </row>
    <row r="409" spans="2:8">
      <c r="B409" s="5"/>
      <c r="H409" s="16"/>
    </row>
    <row r="410" spans="2:8">
      <c r="B410" s="5"/>
      <c r="H410" s="16"/>
    </row>
    <row r="411" spans="2:8">
      <c r="B411" s="5"/>
      <c r="H411" s="16"/>
    </row>
    <row r="412" spans="2:8">
      <c r="B412" s="5"/>
      <c r="H412" s="16"/>
    </row>
    <row r="413" spans="2:8">
      <c r="B413" s="5"/>
      <c r="H413" s="16"/>
    </row>
    <row r="414" spans="2:8">
      <c r="B414" s="5"/>
      <c r="H414" s="16"/>
    </row>
    <row r="415" spans="2:8">
      <c r="B415" s="5"/>
      <c r="H415" s="16"/>
    </row>
    <row r="416" spans="2:8">
      <c r="B416" s="5"/>
      <c r="H416" s="16"/>
    </row>
    <row r="417" spans="2:8">
      <c r="B417" s="5"/>
      <c r="H417" s="16"/>
    </row>
    <row r="418" spans="2:8">
      <c r="B418" s="5"/>
      <c r="H418" s="16"/>
    </row>
    <row r="419" spans="2:8">
      <c r="B419" s="5"/>
      <c r="H419" s="16"/>
    </row>
    <row r="420" spans="2:8">
      <c r="B420" s="5"/>
      <c r="H420" s="16"/>
    </row>
    <row r="421" spans="2:8">
      <c r="B421" s="5"/>
      <c r="H421" s="16"/>
    </row>
    <row r="422" spans="2:8">
      <c r="B422" s="5"/>
      <c r="H422" s="16"/>
    </row>
    <row r="423" spans="2:8">
      <c r="B423" s="5"/>
      <c r="H423" s="16"/>
    </row>
    <row r="424" spans="2:8">
      <c r="B424" s="5"/>
      <c r="H424" s="16"/>
    </row>
    <row r="425" spans="2:8">
      <c r="B425" s="5"/>
      <c r="H425" s="16"/>
    </row>
    <row r="426" spans="2:8">
      <c r="B426" s="5"/>
      <c r="H426" s="16"/>
    </row>
    <row r="427" spans="2:8">
      <c r="B427" s="5"/>
      <c r="H427" s="16"/>
    </row>
    <row r="428" spans="2:8">
      <c r="B428" s="5"/>
      <c r="H428" s="16"/>
    </row>
    <row r="429" spans="2:8">
      <c r="B429" s="5"/>
      <c r="H429" s="16"/>
    </row>
    <row r="430" spans="2:8">
      <c r="B430" s="5"/>
      <c r="H430" s="16"/>
    </row>
    <row r="431" spans="2:8">
      <c r="B431" s="5"/>
      <c r="H431" s="16"/>
    </row>
    <row r="432" spans="2:8">
      <c r="B432" s="5"/>
      <c r="H432" s="16"/>
    </row>
    <row r="433" spans="2:8">
      <c r="B433" s="5"/>
      <c r="H433" s="16"/>
    </row>
    <row r="434" spans="2:8">
      <c r="B434" s="5"/>
      <c r="H434" s="16"/>
    </row>
    <row r="435" spans="2:8">
      <c r="B435" s="5"/>
      <c r="H435" s="16"/>
    </row>
    <row r="436" spans="2:8">
      <c r="B436" s="5"/>
      <c r="H436" s="16"/>
    </row>
    <row r="437" spans="2:8">
      <c r="B437" s="5"/>
      <c r="H437" s="16"/>
    </row>
    <row r="438" spans="2:8">
      <c r="B438" s="5"/>
      <c r="H438" s="16"/>
    </row>
    <row r="439" spans="2:8">
      <c r="B439" s="5"/>
      <c r="H439" s="16"/>
    </row>
    <row r="440" spans="2:8">
      <c r="B440" s="5"/>
      <c r="H440" s="16"/>
    </row>
    <row r="441" spans="2:8">
      <c r="B441" s="5"/>
      <c r="H441" s="16"/>
    </row>
    <row r="442" spans="2:8">
      <c r="B442" s="5"/>
      <c r="H442" s="16"/>
    </row>
    <row r="443" spans="2:8">
      <c r="B443" s="5"/>
      <c r="H443" s="16"/>
    </row>
    <row r="444" spans="2:8">
      <c r="B444" s="5"/>
      <c r="H444" s="16"/>
    </row>
    <row r="445" spans="2:8">
      <c r="B445" s="5"/>
      <c r="H445" s="16"/>
    </row>
    <row r="446" spans="2:8">
      <c r="B446" s="5"/>
      <c r="H446" s="16"/>
    </row>
    <row r="447" spans="2:8">
      <c r="B447" s="5"/>
      <c r="H447" s="16"/>
    </row>
    <row r="448" spans="2:8">
      <c r="B448" s="5"/>
      <c r="H448" s="16"/>
    </row>
    <row r="449" spans="2:8">
      <c r="B449" s="5"/>
      <c r="H449" s="16"/>
    </row>
    <row r="450" spans="2:8">
      <c r="B450" s="5"/>
      <c r="H450" s="16"/>
    </row>
    <row r="451" spans="2:8">
      <c r="B451" s="5"/>
      <c r="H451" s="16"/>
    </row>
    <row r="452" spans="2:8">
      <c r="B452" s="5"/>
      <c r="H452" s="16"/>
    </row>
    <row r="453" spans="2:8">
      <c r="B453" s="5"/>
      <c r="H453" s="16"/>
    </row>
    <row r="454" spans="2:8">
      <c r="B454" s="5"/>
      <c r="H454" s="16"/>
    </row>
    <row r="455" spans="2:8">
      <c r="B455" s="5"/>
      <c r="H455" s="16"/>
    </row>
    <row r="456" spans="2:8">
      <c r="B456" s="5"/>
      <c r="H456" s="16"/>
    </row>
    <row r="457" spans="2:8">
      <c r="B457" s="5"/>
      <c r="H457" s="16"/>
    </row>
    <row r="458" spans="2:8">
      <c r="B458" s="5"/>
      <c r="H458" s="16"/>
    </row>
    <row r="459" spans="2:8">
      <c r="B459" s="5"/>
      <c r="H459" s="16"/>
    </row>
    <row r="460" spans="2:8">
      <c r="B460" s="5"/>
      <c r="H460" s="16"/>
    </row>
    <row r="461" spans="2:8">
      <c r="B461" s="5"/>
      <c r="H461" s="16"/>
    </row>
    <row r="462" spans="2:8">
      <c r="B462" s="5"/>
      <c r="H462" s="16"/>
    </row>
    <row r="463" spans="2:8">
      <c r="B463" s="5"/>
      <c r="H463" s="16"/>
    </row>
    <row r="464" spans="2:8">
      <c r="B464" s="5"/>
      <c r="H464" s="16"/>
    </row>
    <row r="465" spans="2:8">
      <c r="B465" s="5"/>
      <c r="H465" s="16"/>
    </row>
    <row r="466" spans="2:8">
      <c r="B466" s="5"/>
      <c r="H466" s="16"/>
    </row>
    <row r="467" spans="2:8">
      <c r="B467" s="5"/>
      <c r="H467" s="16"/>
    </row>
    <row r="468" spans="2:8">
      <c r="B468" s="5"/>
      <c r="H468" s="16"/>
    </row>
    <row r="469" spans="2:8">
      <c r="B469" s="5"/>
      <c r="H469" s="16"/>
    </row>
    <row r="470" spans="2:8">
      <c r="B470" s="5"/>
      <c r="H470" s="16"/>
    </row>
    <row r="471" spans="2:8">
      <c r="B471" s="5"/>
      <c r="H471" s="16"/>
    </row>
    <row r="472" spans="2:8">
      <c r="B472" s="5"/>
      <c r="H472" s="16"/>
    </row>
    <row r="473" spans="2:8">
      <c r="B473" s="5"/>
      <c r="H473" s="16"/>
    </row>
    <row r="474" spans="2:8">
      <c r="B474" s="5"/>
      <c r="H474" s="16"/>
    </row>
    <row r="475" spans="2:8">
      <c r="B475" s="5"/>
      <c r="H475" s="16"/>
    </row>
    <row r="476" spans="2:8">
      <c r="B476" s="5"/>
      <c r="H476" s="16"/>
    </row>
    <row r="477" spans="2:8">
      <c r="B477" s="5"/>
      <c r="H477" s="16"/>
    </row>
    <row r="478" spans="2:8">
      <c r="B478" s="5"/>
      <c r="H478" s="16"/>
    </row>
    <row r="479" spans="2:8">
      <c r="B479" s="5"/>
      <c r="H479" s="16"/>
    </row>
    <row r="480" spans="2:8">
      <c r="B480" s="5"/>
      <c r="H480" s="16"/>
    </row>
    <row r="481" spans="2:8">
      <c r="B481" s="5"/>
      <c r="H481" s="16"/>
    </row>
    <row r="482" spans="2:8">
      <c r="B482" s="5"/>
      <c r="H482" s="16"/>
    </row>
    <row r="483" spans="2:8">
      <c r="B483" s="5"/>
      <c r="H483" s="16"/>
    </row>
    <row r="484" spans="2:8">
      <c r="B484" s="5"/>
      <c r="H484" s="16"/>
    </row>
    <row r="485" spans="2:8">
      <c r="B485" s="5"/>
      <c r="H485" s="16"/>
    </row>
    <row r="486" spans="2:8">
      <c r="B486" s="5"/>
      <c r="H486" s="16"/>
    </row>
    <row r="487" spans="2:8">
      <c r="B487" s="5"/>
      <c r="H487" s="16"/>
    </row>
    <row r="488" spans="2:8">
      <c r="B488" s="5"/>
      <c r="H488" s="16"/>
    </row>
    <row r="489" spans="2:8">
      <c r="B489" s="5"/>
      <c r="H489" s="16"/>
    </row>
    <row r="490" spans="2:8">
      <c r="B490" s="5"/>
      <c r="H490" s="16"/>
    </row>
    <row r="491" spans="2:8">
      <c r="B491" s="5"/>
      <c r="H491" s="16"/>
    </row>
    <row r="492" spans="2:8">
      <c r="B492" s="5"/>
      <c r="H492" s="16"/>
    </row>
    <row r="493" spans="2:8">
      <c r="B493" s="5"/>
      <c r="H493" s="16"/>
    </row>
    <row r="494" spans="2:8">
      <c r="B494" s="5"/>
      <c r="H494" s="16"/>
    </row>
    <row r="495" spans="2:8">
      <c r="B495" s="5"/>
      <c r="H495" s="16"/>
    </row>
    <row r="496" spans="2:8">
      <c r="B496" s="5"/>
      <c r="H496" s="16"/>
    </row>
    <row r="497" spans="2:8">
      <c r="B497" s="5"/>
      <c r="H497" s="16"/>
    </row>
    <row r="498" spans="2:8">
      <c r="B498" s="5"/>
      <c r="H498" s="16"/>
    </row>
    <row r="499" spans="2:8">
      <c r="B499" s="5"/>
      <c r="H499" s="16"/>
    </row>
    <row r="500" spans="2:8">
      <c r="B500" s="5"/>
      <c r="H500" s="16"/>
    </row>
    <row r="501" spans="2:8">
      <c r="B501" s="5"/>
      <c r="H501" s="16"/>
    </row>
    <row r="502" spans="2:8">
      <c r="B502" s="5"/>
      <c r="H502" s="16"/>
    </row>
    <row r="503" spans="2:8">
      <c r="B503" s="5"/>
      <c r="H503" s="16"/>
    </row>
    <row r="504" spans="2:8">
      <c r="B504" s="5"/>
      <c r="H504" s="16"/>
    </row>
    <row r="505" spans="2:8">
      <c r="B505" s="5"/>
      <c r="H505" s="16"/>
    </row>
    <row r="506" spans="2:8">
      <c r="B506" s="5"/>
      <c r="H506" s="16"/>
    </row>
    <row r="507" spans="2:8">
      <c r="B507" s="5"/>
      <c r="H507" s="16"/>
    </row>
    <row r="508" spans="2:8">
      <c r="B508" s="5"/>
      <c r="H508" s="16"/>
    </row>
    <row r="509" spans="2:8">
      <c r="B509" s="5"/>
      <c r="H509" s="16"/>
    </row>
    <row r="510" spans="2:8">
      <c r="B510" s="5"/>
      <c r="H510" s="16"/>
    </row>
    <row r="511" spans="2:8">
      <c r="B511" s="5"/>
      <c r="H511" s="16"/>
    </row>
    <row r="512" spans="2:8">
      <c r="B512" s="5"/>
      <c r="H512" s="16"/>
    </row>
    <row r="513" spans="2:8">
      <c r="B513" s="5"/>
      <c r="H513" s="16"/>
    </row>
    <row r="514" spans="2:8">
      <c r="B514" s="5"/>
      <c r="H514" s="16"/>
    </row>
    <row r="515" spans="2:8">
      <c r="B515" s="5"/>
      <c r="H515" s="16"/>
    </row>
    <row r="516" spans="2:8">
      <c r="B516" s="5"/>
      <c r="H516" s="16"/>
    </row>
    <row r="517" spans="2:8">
      <c r="B517" s="5"/>
      <c r="H517" s="16"/>
    </row>
    <row r="518" spans="2:8">
      <c r="B518" s="5"/>
      <c r="H518" s="16"/>
    </row>
    <row r="519" spans="2:8">
      <c r="B519" s="5"/>
      <c r="H519" s="16"/>
    </row>
    <row r="520" spans="2:8">
      <c r="B520" s="5"/>
      <c r="H520" s="16"/>
    </row>
    <row r="521" spans="2:8">
      <c r="B521" s="5"/>
      <c r="H521" s="16"/>
    </row>
    <row r="522" spans="2:8">
      <c r="B522" s="5"/>
      <c r="H522" s="16"/>
    </row>
    <row r="523" spans="2:8">
      <c r="B523" s="5"/>
      <c r="H523" s="16"/>
    </row>
    <row r="524" spans="2:8">
      <c r="B524" s="5"/>
      <c r="H524" s="16"/>
    </row>
    <row r="525" spans="2:8">
      <c r="B525" s="5"/>
      <c r="H525" s="16"/>
    </row>
    <row r="526" spans="2:8">
      <c r="B526" s="5"/>
      <c r="H526" s="16"/>
    </row>
    <row r="527" spans="2:8">
      <c r="B527" s="5"/>
      <c r="H527" s="16"/>
    </row>
    <row r="528" spans="2:8">
      <c r="B528" s="5"/>
      <c r="H528" s="16"/>
    </row>
    <row r="529" spans="2:8">
      <c r="B529" s="5"/>
      <c r="H529" s="16"/>
    </row>
    <row r="530" spans="2:8">
      <c r="B530" s="5"/>
      <c r="H530" s="16"/>
    </row>
    <row r="531" spans="2:8">
      <c r="B531" s="5"/>
      <c r="H531" s="16"/>
    </row>
    <row r="532" spans="2:8">
      <c r="B532" s="5"/>
      <c r="H532" s="16"/>
    </row>
    <row r="533" spans="2:8">
      <c r="B533" s="5"/>
      <c r="H533" s="16"/>
    </row>
    <row r="534" spans="2:8">
      <c r="B534" s="5"/>
      <c r="H534" s="16"/>
    </row>
    <row r="535" spans="2:8">
      <c r="B535" s="5"/>
      <c r="H535" s="16"/>
    </row>
    <row r="536" spans="2:8">
      <c r="B536" s="5"/>
      <c r="H536" s="16"/>
    </row>
    <row r="537" spans="2:8">
      <c r="B537" s="5"/>
      <c r="H537" s="16"/>
    </row>
    <row r="538" spans="2:8">
      <c r="B538" s="5"/>
      <c r="H538" s="16"/>
    </row>
    <row r="539" spans="2:8">
      <c r="B539" s="5"/>
      <c r="H539" s="16"/>
    </row>
    <row r="540" spans="2:8">
      <c r="B540" s="5"/>
      <c r="H540" s="16"/>
    </row>
    <row r="541" spans="2:8">
      <c r="B541" s="5"/>
      <c r="H541" s="16"/>
    </row>
    <row r="542" spans="2:8">
      <c r="B542" s="5"/>
      <c r="H542" s="16"/>
    </row>
    <row r="543" spans="2:8">
      <c r="B543" s="5"/>
      <c r="H543" s="16"/>
    </row>
    <row r="544" spans="2:8">
      <c r="B544" s="5"/>
      <c r="H544" s="16"/>
    </row>
    <row r="545" spans="2:8">
      <c r="B545" s="5"/>
      <c r="H545" s="16"/>
    </row>
    <row r="546" spans="2:8">
      <c r="B546" s="5"/>
      <c r="H546" s="16"/>
    </row>
    <row r="547" spans="2:8">
      <c r="B547" s="5"/>
      <c r="H547" s="16"/>
    </row>
    <row r="548" spans="2:8">
      <c r="B548" s="5"/>
      <c r="H548" s="16"/>
    </row>
    <row r="549" spans="2:8">
      <c r="B549" s="5"/>
      <c r="H549" s="16"/>
    </row>
    <row r="550" spans="2:8">
      <c r="B550" s="5"/>
      <c r="H550" s="16"/>
    </row>
    <row r="551" spans="2:8">
      <c r="B551" s="5"/>
      <c r="H551" s="16"/>
    </row>
    <row r="552" spans="2:8">
      <c r="B552" s="5"/>
      <c r="H552" s="16"/>
    </row>
    <row r="553" spans="2:8">
      <c r="B553" s="5"/>
      <c r="H553" s="16"/>
    </row>
    <row r="554" spans="2:8">
      <c r="B554" s="5"/>
      <c r="H554" s="16"/>
    </row>
    <row r="555" spans="2:8">
      <c r="B555" s="5"/>
      <c r="H555" s="16"/>
    </row>
    <row r="556" spans="2:8">
      <c r="B556" s="5"/>
      <c r="H556" s="16"/>
    </row>
    <row r="557" spans="2:8">
      <c r="B557" s="5"/>
      <c r="H557" s="16"/>
    </row>
    <row r="558" spans="2:8">
      <c r="B558" s="5"/>
      <c r="H558" s="16"/>
    </row>
    <row r="559" spans="2:8">
      <c r="B559" s="5"/>
      <c r="H559" s="16"/>
    </row>
    <row r="560" spans="2:8">
      <c r="B560" s="5"/>
      <c r="H560" s="16"/>
    </row>
    <row r="561" spans="2:8">
      <c r="B561" s="5"/>
      <c r="H561" s="16"/>
    </row>
    <row r="562" spans="2:8">
      <c r="B562" s="5"/>
      <c r="H562" s="16"/>
    </row>
    <row r="563" spans="2:8">
      <c r="B563" s="5"/>
      <c r="H563" s="16"/>
    </row>
    <row r="564" spans="2:8">
      <c r="B564" s="5"/>
      <c r="H564" s="16"/>
    </row>
    <row r="565" spans="2:8">
      <c r="B565" s="5"/>
      <c r="H565" s="16"/>
    </row>
    <row r="566" spans="2:8">
      <c r="B566" s="5"/>
      <c r="H566" s="16"/>
    </row>
    <row r="567" spans="2:8">
      <c r="B567" s="5"/>
      <c r="H567" s="16"/>
    </row>
    <row r="568" spans="2:8">
      <c r="B568" s="5"/>
      <c r="H568" s="16"/>
    </row>
    <row r="569" spans="2:8">
      <c r="B569" s="5"/>
      <c r="H569" s="16"/>
    </row>
    <row r="570" spans="2:8">
      <c r="B570" s="5"/>
      <c r="H570" s="16"/>
    </row>
    <row r="571" spans="2:8">
      <c r="B571" s="5"/>
      <c r="H571" s="16"/>
    </row>
    <row r="572" spans="2:8">
      <c r="B572" s="5"/>
      <c r="H572" s="16"/>
    </row>
    <row r="573" spans="2:8">
      <c r="B573" s="5"/>
      <c r="H573" s="16"/>
    </row>
    <row r="574" spans="2:8">
      <c r="B574" s="5"/>
      <c r="H574" s="16"/>
    </row>
    <row r="575" spans="2:8">
      <c r="B575" s="5"/>
      <c r="H575" s="16"/>
    </row>
    <row r="576" spans="2:8">
      <c r="B576" s="5"/>
      <c r="H576" s="16"/>
    </row>
    <row r="577" spans="2:8">
      <c r="B577" s="5"/>
      <c r="H577" s="16"/>
    </row>
    <row r="578" spans="2:8">
      <c r="B578" s="5"/>
      <c r="H578" s="16"/>
    </row>
    <row r="579" spans="2:8">
      <c r="B579" s="5"/>
      <c r="H579" s="16"/>
    </row>
    <row r="580" spans="2:8">
      <c r="B580" s="5"/>
      <c r="H580" s="16"/>
    </row>
    <row r="581" spans="2:8">
      <c r="B581" s="5"/>
      <c r="H581" s="16"/>
    </row>
    <row r="582" spans="2:8">
      <c r="B582" s="5"/>
      <c r="H582" s="16"/>
    </row>
    <row r="583" spans="2:8">
      <c r="B583" s="5"/>
      <c r="H583" s="16"/>
    </row>
    <row r="584" spans="2:8">
      <c r="B584" s="5"/>
      <c r="H584" s="16"/>
    </row>
    <row r="585" spans="2:8">
      <c r="B585" s="5"/>
      <c r="H585" s="16"/>
    </row>
    <row r="586" spans="2:8">
      <c r="B586" s="5"/>
      <c r="H586" s="16"/>
    </row>
    <row r="587" spans="2:8">
      <c r="B587" s="5"/>
      <c r="H587" s="16"/>
    </row>
    <row r="588" spans="2:8">
      <c r="B588" s="5"/>
      <c r="H588" s="16"/>
    </row>
    <row r="589" spans="2:8">
      <c r="B589" s="5"/>
      <c r="H589" s="16"/>
    </row>
    <row r="590" spans="2:8">
      <c r="B590" s="5"/>
      <c r="H590" s="16"/>
    </row>
    <row r="591" spans="2:8">
      <c r="B591" s="5"/>
      <c r="H591" s="16"/>
    </row>
    <row r="592" spans="2:8">
      <c r="B592" s="5"/>
      <c r="H592" s="16"/>
    </row>
    <row r="593" spans="2:8">
      <c r="B593" s="5"/>
      <c r="H593" s="16"/>
    </row>
    <row r="594" spans="2:8">
      <c r="B594" s="5"/>
      <c r="H594" s="16"/>
    </row>
    <row r="595" spans="2:8">
      <c r="B595" s="5"/>
      <c r="H595" s="16"/>
    </row>
    <row r="596" spans="2:8">
      <c r="B596" s="5"/>
      <c r="H596" s="16"/>
    </row>
    <row r="597" spans="2:8">
      <c r="B597" s="5"/>
      <c r="H597" s="16"/>
    </row>
    <row r="598" spans="2:8">
      <c r="B598" s="5"/>
      <c r="H598" s="16"/>
    </row>
    <row r="599" spans="2:8">
      <c r="B599" s="5"/>
      <c r="H599" s="16"/>
    </row>
    <row r="600" spans="2:8">
      <c r="B600" s="5"/>
      <c r="H600" s="16"/>
    </row>
    <row r="601" spans="2:8">
      <c r="B601" s="5"/>
      <c r="H601" s="16"/>
    </row>
    <row r="602" spans="2:8">
      <c r="B602" s="5"/>
      <c r="H602" s="16"/>
    </row>
    <row r="603" spans="2:8">
      <c r="B603" s="5"/>
      <c r="H603" s="16"/>
    </row>
    <row r="604" spans="2:8">
      <c r="B604" s="5"/>
      <c r="H604" s="16"/>
    </row>
    <row r="605" spans="2:8">
      <c r="B605" s="5"/>
      <c r="H605" s="16"/>
    </row>
    <row r="606" spans="2:8">
      <c r="B606" s="5"/>
      <c r="H606" s="16"/>
    </row>
    <row r="607" spans="2:8">
      <c r="B607" s="5"/>
      <c r="H607" s="16"/>
    </row>
    <row r="608" spans="2:8">
      <c r="B608" s="5"/>
      <c r="H608" s="16"/>
    </row>
    <row r="609" spans="2:8">
      <c r="B609" s="5"/>
      <c r="H609" s="16"/>
    </row>
    <row r="610" spans="2:8">
      <c r="B610" s="5"/>
      <c r="H610" s="16"/>
    </row>
    <row r="611" spans="2:8">
      <c r="B611" s="5"/>
      <c r="H611" s="16"/>
    </row>
    <row r="612" spans="2:8">
      <c r="B612" s="5"/>
      <c r="H612" s="16"/>
    </row>
    <row r="613" spans="2:8">
      <c r="B613" s="5"/>
      <c r="H613" s="16"/>
    </row>
    <row r="614" spans="2:8">
      <c r="B614" s="5"/>
      <c r="H614" s="16"/>
    </row>
    <row r="615" spans="2:8">
      <c r="B615" s="5"/>
      <c r="H615" s="16"/>
    </row>
    <row r="616" spans="2:8">
      <c r="B616" s="5"/>
      <c r="H616" s="16"/>
    </row>
    <row r="617" spans="2:8">
      <c r="B617" s="5"/>
      <c r="H617" s="16"/>
    </row>
    <row r="618" spans="2:8">
      <c r="B618" s="5"/>
      <c r="H618" s="16"/>
    </row>
    <row r="619" spans="2:8">
      <c r="B619" s="5"/>
      <c r="H619" s="16"/>
    </row>
    <row r="620" spans="2:8">
      <c r="B620" s="5"/>
      <c r="H620" s="16"/>
    </row>
    <row r="621" spans="2:8">
      <c r="B621" s="5"/>
      <c r="H621" s="16"/>
    </row>
    <row r="622" spans="2:8">
      <c r="B622" s="5"/>
      <c r="H622" s="16"/>
    </row>
    <row r="623" spans="2:8">
      <c r="B623" s="5"/>
      <c r="H623" s="16"/>
    </row>
    <row r="624" spans="2:8">
      <c r="B624" s="5"/>
      <c r="H624" s="16"/>
    </row>
    <row r="625" spans="2:8">
      <c r="B625" s="5"/>
      <c r="H625" s="16"/>
    </row>
    <row r="626" spans="2:8">
      <c r="B626" s="5"/>
      <c r="H626" s="16"/>
    </row>
    <row r="627" spans="2:8">
      <c r="B627" s="5"/>
      <c r="H627" s="16"/>
    </row>
    <row r="628" spans="2:8">
      <c r="B628" s="5"/>
      <c r="H628" s="16"/>
    </row>
    <row r="629" spans="2:8">
      <c r="B629" s="5"/>
      <c r="H629" s="16"/>
    </row>
    <row r="630" spans="2:8">
      <c r="B630" s="5"/>
      <c r="H630" s="16"/>
    </row>
    <row r="631" spans="2:8">
      <c r="B631" s="5"/>
      <c r="H631" s="16"/>
    </row>
    <row r="632" spans="2:8">
      <c r="B632" s="5"/>
      <c r="H632" s="16"/>
    </row>
    <row r="633" spans="2:8">
      <c r="B633" s="5"/>
      <c r="H633" s="16"/>
    </row>
    <row r="634" spans="2:8">
      <c r="B634" s="5"/>
      <c r="H634" s="16"/>
    </row>
    <row r="635" spans="2:8">
      <c r="B635" s="5"/>
      <c r="H635" s="16"/>
    </row>
    <row r="636" spans="2:8">
      <c r="B636" s="5"/>
      <c r="H636" s="16"/>
    </row>
    <row r="637" spans="2:8">
      <c r="B637" s="5"/>
      <c r="H637" s="16"/>
    </row>
    <row r="638" spans="2:8">
      <c r="B638" s="5"/>
      <c r="H638" s="16"/>
    </row>
    <row r="639" spans="2:8">
      <c r="B639" s="5"/>
      <c r="H639" s="16"/>
    </row>
    <row r="640" spans="2:8">
      <c r="B640" s="5"/>
      <c r="H640" s="16"/>
    </row>
    <row r="641" spans="2:8">
      <c r="B641" s="5"/>
      <c r="H641" s="16"/>
    </row>
    <row r="642" spans="2:8">
      <c r="B642" s="5"/>
      <c r="H642" s="16"/>
    </row>
    <row r="643" spans="2:8">
      <c r="B643" s="5"/>
      <c r="H643" s="16"/>
    </row>
    <row r="644" spans="2:8">
      <c r="B644" s="5"/>
      <c r="H644" s="16"/>
    </row>
    <row r="645" spans="2:8">
      <c r="B645" s="5"/>
      <c r="H645" s="16"/>
    </row>
    <row r="646" spans="2:8">
      <c r="B646" s="5"/>
      <c r="H646" s="16"/>
    </row>
    <row r="647" spans="2:8">
      <c r="B647" s="5"/>
      <c r="H647" s="16"/>
    </row>
    <row r="648" spans="2:8">
      <c r="B648" s="5"/>
      <c r="H648" s="16"/>
    </row>
    <row r="649" spans="2:8">
      <c r="B649" s="5"/>
      <c r="H649" s="16"/>
    </row>
    <row r="650" spans="2:8">
      <c r="B650" s="5"/>
      <c r="H650" s="16"/>
    </row>
    <row r="651" spans="2:8">
      <c r="B651" s="5"/>
      <c r="H651" s="16"/>
    </row>
    <row r="652" spans="2:8">
      <c r="B652" s="5"/>
      <c r="H652" s="16"/>
    </row>
    <row r="653" spans="2:8">
      <c r="B653" s="5"/>
      <c r="H653" s="16"/>
    </row>
    <row r="654" spans="2:8">
      <c r="B654" s="5"/>
      <c r="H654" s="16"/>
    </row>
    <row r="655" spans="2:8">
      <c r="B655" s="5"/>
      <c r="H655" s="16"/>
    </row>
    <row r="656" spans="2:8">
      <c r="B656" s="5"/>
      <c r="H656" s="16"/>
    </row>
    <row r="657" spans="2:8">
      <c r="B657" s="5"/>
      <c r="H657" s="16"/>
    </row>
    <row r="658" spans="2:8">
      <c r="B658" s="5"/>
      <c r="H658" s="16"/>
    </row>
    <row r="659" spans="2:8">
      <c r="B659" s="5"/>
      <c r="H659" s="16"/>
    </row>
    <row r="660" spans="2:8">
      <c r="B660" s="5"/>
      <c r="H660" s="16"/>
    </row>
    <row r="661" spans="2:8">
      <c r="B661" s="5"/>
      <c r="H661" s="16"/>
    </row>
    <row r="662" spans="2:8">
      <c r="B662" s="5"/>
      <c r="H662" s="16"/>
    </row>
    <row r="663" spans="2:8">
      <c r="B663" s="5"/>
      <c r="H663" s="16"/>
    </row>
    <row r="664" spans="2:8">
      <c r="B664" s="5"/>
      <c r="H664" s="16"/>
    </row>
    <row r="665" spans="2:8">
      <c r="B665" s="5"/>
      <c r="H665" s="16"/>
    </row>
    <row r="666" spans="2:8">
      <c r="B666" s="5"/>
      <c r="H666" s="16"/>
    </row>
    <row r="667" spans="2:8">
      <c r="B667" s="5"/>
      <c r="H667" s="16"/>
    </row>
    <row r="668" spans="2:8">
      <c r="B668" s="5"/>
      <c r="H668" s="16"/>
    </row>
    <row r="669" spans="2:8">
      <c r="B669" s="5"/>
      <c r="H669" s="16"/>
    </row>
    <row r="670" spans="2:8">
      <c r="B670" s="5"/>
      <c r="H670" s="16"/>
    </row>
    <row r="671" spans="2:8">
      <c r="B671" s="5"/>
      <c r="H671" s="16"/>
    </row>
    <row r="672" spans="2:8">
      <c r="B672" s="5"/>
      <c r="H672" s="16"/>
    </row>
    <row r="673" spans="2:8">
      <c r="B673" s="5"/>
      <c r="H673" s="16"/>
    </row>
    <row r="674" spans="2:8">
      <c r="B674" s="5"/>
      <c r="H674" s="16"/>
    </row>
    <row r="675" spans="2:8">
      <c r="B675" s="5"/>
      <c r="H675" s="16"/>
    </row>
    <row r="676" spans="2:8">
      <c r="B676" s="5"/>
      <c r="H676" s="16"/>
    </row>
    <row r="677" spans="2:8">
      <c r="B677" s="5"/>
      <c r="H677" s="16"/>
    </row>
    <row r="678" spans="2:8">
      <c r="B678" s="5"/>
      <c r="H678" s="16"/>
    </row>
    <row r="679" spans="2:8">
      <c r="B679" s="5"/>
      <c r="H679" s="16"/>
    </row>
    <row r="680" spans="2:8">
      <c r="B680" s="5"/>
      <c r="H680" s="16"/>
    </row>
    <row r="681" spans="2:8">
      <c r="B681" s="5"/>
      <c r="H681" s="16"/>
    </row>
    <row r="682" spans="2:8">
      <c r="B682" s="5"/>
      <c r="H682" s="16"/>
    </row>
    <row r="683" spans="2:8">
      <c r="B683" s="5"/>
      <c r="H683" s="16"/>
    </row>
    <row r="684" spans="2:8">
      <c r="B684" s="5"/>
      <c r="H684" s="16"/>
    </row>
    <row r="685" spans="2:8">
      <c r="B685" s="5"/>
      <c r="H685" s="16"/>
    </row>
    <row r="686" spans="2:8">
      <c r="B686" s="5"/>
      <c r="H686" s="16"/>
    </row>
    <row r="687" spans="2:8">
      <c r="B687" s="5"/>
      <c r="H687" s="16"/>
    </row>
    <row r="688" spans="2:8">
      <c r="B688" s="5"/>
      <c r="H688" s="16"/>
    </row>
    <row r="689" spans="2:8">
      <c r="B689" s="5"/>
      <c r="H689" s="16"/>
    </row>
    <row r="690" spans="2:8">
      <c r="B690" s="5"/>
      <c r="H690" s="16"/>
    </row>
    <row r="691" spans="2:8">
      <c r="B691" s="5"/>
      <c r="H691" s="16"/>
    </row>
    <row r="692" spans="2:8">
      <c r="B692" s="5"/>
      <c r="H692" s="16"/>
    </row>
    <row r="693" spans="2:8">
      <c r="B693" s="5"/>
      <c r="H693" s="16"/>
    </row>
    <row r="694" spans="2:8">
      <c r="B694" s="5"/>
      <c r="H694" s="16"/>
    </row>
    <row r="695" spans="2:8">
      <c r="B695" s="5"/>
      <c r="H695" s="16"/>
    </row>
    <row r="696" spans="2:8">
      <c r="B696" s="5"/>
      <c r="H696" s="16"/>
    </row>
    <row r="697" spans="2:8">
      <c r="B697" s="5"/>
      <c r="H697" s="16"/>
    </row>
    <row r="698" spans="2:8">
      <c r="B698" s="5"/>
      <c r="H698" s="16"/>
    </row>
    <row r="699" spans="2:8">
      <c r="B699" s="5"/>
      <c r="H699" s="16"/>
    </row>
    <row r="700" spans="2:8">
      <c r="B700" s="5"/>
      <c r="H700" s="16"/>
    </row>
    <row r="701" spans="2:8">
      <c r="B701" s="5"/>
      <c r="H701" s="16"/>
    </row>
    <row r="702" spans="2:8">
      <c r="B702" s="5"/>
      <c r="H702" s="16"/>
    </row>
    <row r="703" spans="2:8">
      <c r="B703" s="5"/>
      <c r="H703" s="16"/>
    </row>
    <row r="704" spans="2:8">
      <c r="B704" s="5"/>
      <c r="H704" s="16"/>
    </row>
    <row r="705" spans="2:8">
      <c r="B705" s="5"/>
      <c r="H705" s="16"/>
    </row>
    <row r="706" spans="2:8">
      <c r="B706" s="5"/>
      <c r="H706" s="16"/>
    </row>
    <row r="707" spans="2:8">
      <c r="B707" s="5"/>
      <c r="H707" s="16"/>
    </row>
    <row r="708" spans="2:8">
      <c r="B708" s="5"/>
      <c r="H708" s="16"/>
    </row>
    <row r="709" spans="2:8">
      <c r="B709" s="5"/>
      <c r="H709" s="16"/>
    </row>
    <row r="710" spans="2:8">
      <c r="B710" s="5"/>
      <c r="H710" s="16"/>
    </row>
    <row r="711" spans="2:8">
      <c r="B711" s="5"/>
      <c r="H711" s="16"/>
    </row>
    <row r="712" spans="2:8">
      <c r="B712" s="5"/>
      <c r="H712" s="16"/>
    </row>
    <row r="713" spans="2:8">
      <c r="B713" s="5"/>
      <c r="H713" s="16"/>
    </row>
    <row r="714" spans="2:8">
      <c r="B714" s="5"/>
      <c r="H714" s="16"/>
    </row>
    <row r="715" spans="2:8">
      <c r="B715" s="5"/>
      <c r="H715" s="16"/>
    </row>
    <row r="716" spans="2:8">
      <c r="B716" s="5"/>
      <c r="H716" s="16"/>
    </row>
    <row r="717" spans="2:8">
      <c r="B717" s="5"/>
      <c r="H717" s="16"/>
    </row>
    <row r="718" spans="2:8">
      <c r="B718" s="5"/>
      <c r="H718" s="16"/>
    </row>
    <row r="719" spans="2:8">
      <c r="B719" s="5"/>
      <c r="H719" s="16"/>
    </row>
    <row r="720" spans="2:8">
      <c r="B720" s="5"/>
      <c r="H720" s="16"/>
    </row>
    <row r="721" spans="2:8">
      <c r="B721" s="5"/>
      <c r="H721" s="16"/>
    </row>
    <row r="722" spans="2:8">
      <c r="B722" s="5"/>
      <c r="H722" s="16"/>
    </row>
    <row r="723" spans="2:8">
      <c r="B723" s="5"/>
      <c r="H723" s="16"/>
    </row>
    <row r="724" spans="2:8">
      <c r="B724" s="5"/>
      <c r="H724" s="16"/>
    </row>
    <row r="725" spans="2:8">
      <c r="B725" s="5"/>
      <c r="H725" s="16"/>
    </row>
    <row r="726" spans="2:8">
      <c r="B726" s="5"/>
      <c r="H726" s="16"/>
    </row>
    <row r="727" spans="2:8">
      <c r="B727" s="5"/>
      <c r="H727" s="16"/>
    </row>
    <row r="728" spans="2:8">
      <c r="B728" s="5"/>
      <c r="H728" s="16"/>
    </row>
    <row r="729" spans="2:8">
      <c r="B729" s="5"/>
      <c r="H729" s="16"/>
    </row>
    <row r="730" spans="2:8">
      <c r="B730" s="5"/>
      <c r="H730" s="16"/>
    </row>
    <row r="731" spans="2:8">
      <c r="B731" s="5"/>
      <c r="H731" s="16"/>
    </row>
    <row r="732" spans="2:8">
      <c r="B732" s="5"/>
      <c r="H732" s="16"/>
    </row>
    <row r="733" spans="2:8">
      <c r="B733" s="5"/>
      <c r="H733" s="16"/>
    </row>
    <row r="734" spans="2:8">
      <c r="B734" s="5"/>
      <c r="H734" s="16"/>
    </row>
    <row r="735" spans="2:8">
      <c r="B735" s="5"/>
      <c r="H735" s="16"/>
    </row>
    <row r="736" spans="2:8">
      <c r="B736" s="5"/>
      <c r="H736" s="16"/>
    </row>
    <row r="737" spans="2:8">
      <c r="B737" s="5"/>
      <c r="H737" s="16"/>
    </row>
    <row r="738" spans="2:8">
      <c r="B738" s="5"/>
      <c r="H738" s="16"/>
    </row>
    <row r="739" spans="2:8">
      <c r="B739" s="5"/>
      <c r="H739" s="16"/>
    </row>
    <row r="740" spans="2:8">
      <c r="B740" s="5"/>
      <c r="H740" s="16"/>
    </row>
    <row r="741" spans="2:8">
      <c r="B741" s="5"/>
      <c r="H741" s="16"/>
    </row>
    <row r="742" spans="2:8">
      <c r="B742" s="5"/>
      <c r="H742" s="16"/>
    </row>
    <row r="743" spans="2:8">
      <c r="B743" s="5"/>
      <c r="H743" s="16"/>
    </row>
    <row r="744" spans="2:8">
      <c r="B744" s="5"/>
      <c r="H744" s="16"/>
    </row>
    <row r="745" spans="2:8">
      <c r="B745" s="5"/>
      <c r="H745" s="16"/>
    </row>
    <row r="746" spans="2:8">
      <c r="B746" s="5"/>
      <c r="H746" s="16"/>
    </row>
    <row r="747" spans="2:8">
      <c r="B747" s="5"/>
      <c r="H747" s="16"/>
    </row>
    <row r="748" spans="2:8">
      <c r="B748" s="5"/>
      <c r="H748" s="16"/>
    </row>
    <row r="749" spans="2:8">
      <c r="B749" s="5"/>
      <c r="H749" s="16"/>
    </row>
    <row r="750" spans="2:8">
      <c r="B750" s="5"/>
      <c r="H750" s="16"/>
    </row>
    <row r="751" spans="2:8">
      <c r="B751" s="5"/>
      <c r="H751" s="16"/>
    </row>
    <row r="752" spans="2:8">
      <c r="B752" s="5"/>
      <c r="H752" s="16"/>
    </row>
    <row r="753" spans="2:8">
      <c r="B753" s="5"/>
      <c r="H753" s="16"/>
    </row>
    <row r="754" spans="2:8">
      <c r="B754" s="5"/>
      <c r="H754" s="16"/>
    </row>
    <row r="755" spans="2:8">
      <c r="B755" s="5"/>
      <c r="H755" s="16"/>
    </row>
    <row r="756" spans="2:8">
      <c r="B756" s="5"/>
      <c r="H756" s="16"/>
    </row>
    <row r="757" spans="2:8">
      <c r="B757" s="5"/>
      <c r="H757" s="16"/>
    </row>
    <row r="758" spans="2:8">
      <c r="B758" s="5"/>
      <c r="H758" s="16"/>
    </row>
    <row r="759" spans="2:8">
      <c r="B759" s="5"/>
      <c r="H759" s="16"/>
    </row>
    <row r="760" spans="2:8">
      <c r="B760" s="5"/>
      <c r="H760" s="16"/>
    </row>
    <row r="761" spans="2:8">
      <c r="B761" s="5"/>
      <c r="H761" s="16"/>
    </row>
    <row r="762" spans="2:8">
      <c r="B762" s="5"/>
      <c r="H762" s="16"/>
    </row>
    <row r="763" spans="2:8">
      <c r="B763" s="5"/>
      <c r="H763" s="16"/>
    </row>
    <row r="764" spans="2:8">
      <c r="B764" s="5"/>
      <c r="H764" s="16"/>
    </row>
    <row r="765" spans="2:8">
      <c r="B765" s="5"/>
      <c r="H765" s="16"/>
    </row>
    <row r="766" spans="2:8">
      <c r="B766" s="5"/>
      <c r="H766" s="16"/>
    </row>
    <row r="767" spans="2:8">
      <c r="B767" s="5"/>
      <c r="H767" s="16"/>
    </row>
    <row r="768" spans="2:8">
      <c r="B768" s="5"/>
      <c r="H768" s="16"/>
    </row>
    <row r="769" spans="2:8">
      <c r="B769" s="5"/>
      <c r="H769" s="16"/>
    </row>
    <row r="770" spans="2:8">
      <c r="B770" s="5"/>
      <c r="H770" s="16"/>
    </row>
    <row r="771" spans="2:8">
      <c r="B771" s="5"/>
      <c r="H771" s="16"/>
    </row>
    <row r="772" spans="2:8">
      <c r="B772" s="5"/>
      <c r="H772" s="16"/>
    </row>
    <row r="773" spans="2:8">
      <c r="B773" s="5"/>
      <c r="H773" s="16"/>
    </row>
    <row r="774" spans="2:8">
      <c r="B774" s="5"/>
      <c r="H774" s="16"/>
    </row>
    <row r="775" spans="2:8">
      <c r="B775" s="5"/>
      <c r="H775" s="16"/>
    </row>
    <row r="776" spans="2:8">
      <c r="B776" s="5"/>
      <c r="H776" s="16"/>
    </row>
    <row r="777" spans="2:8">
      <c r="B777" s="5"/>
      <c r="H777" s="16"/>
    </row>
    <row r="778" spans="2:8">
      <c r="B778" s="5"/>
      <c r="H778" s="16"/>
    </row>
    <row r="779" spans="2:8">
      <c r="B779" s="5"/>
      <c r="H779" s="16"/>
    </row>
    <row r="780" spans="2:8">
      <c r="B780" s="5"/>
      <c r="H780" s="16"/>
    </row>
    <row r="781" spans="2:8">
      <c r="B781" s="5"/>
      <c r="H781" s="16"/>
    </row>
    <row r="782" spans="2:8">
      <c r="B782" s="5"/>
      <c r="H782" s="16"/>
    </row>
    <row r="783" spans="2:8">
      <c r="B783" s="5"/>
      <c r="H783" s="16"/>
    </row>
    <row r="784" spans="2:8">
      <c r="B784" s="5"/>
      <c r="H784" s="16"/>
    </row>
    <row r="785" spans="2:8">
      <c r="B785" s="5"/>
      <c r="H785" s="16"/>
    </row>
    <row r="786" spans="2:8">
      <c r="B786" s="5"/>
      <c r="H786" s="16"/>
    </row>
    <row r="787" spans="2:8">
      <c r="B787" s="5"/>
      <c r="H787" s="16"/>
    </row>
    <row r="788" spans="2:8">
      <c r="B788" s="5"/>
      <c r="H788" s="16"/>
    </row>
    <row r="789" spans="2:8">
      <c r="B789" s="5"/>
      <c r="H789" s="16"/>
    </row>
    <row r="790" spans="2:8">
      <c r="B790" s="5"/>
      <c r="H790" s="16"/>
    </row>
    <row r="791" spans="2:8">
      <c r="B791" s="5"/>
      <c r="H791" s="16"/>
    </row>
    <row r="792" spans="2:8">
      <c r="B792" s="5"/>
      <c r="H792" s="16"/>
    </row>
    <row r="793" spans="2:8">
      <c r="B793" s="5"/>
      <c r="H793" s="16"/>
    </row>
    <row r="794" spans="2:8">
      <c r="B794" s="5"/>
      <c r="H794" s="16"/>
    </row>
    <row r="795" spans="2:8">
      <c r="B795" s="5"/>
      <c r="H795" s="16"/>
    </row>
    <row r="796" spans="2:8">
      <c r="B796" s="5"/>
      <c r="H796" s="16"/>
    </row>
    <row r="797" spans="2:8">
      <c r="B797" s="5"/>
      <c r="H797" s="16"/>
    </row>
    <row r="798" spans="2:8">
      <c r="B798" s="5"/>
      <c r="H798" s="16"/>
    </row>
    <row r="799" spans="2:8">
      <c r="B799" s="5"/>
      <c r="H799" s="16"/>
    </row>
    <row r="800" spans="2:8">
      <c r="B800" s="5"/>
      <c r="H800" s="16"/>
    </row>
    <row r="801" spans="2:8">
      <c r="B801" s="5"/>
      <c r="H801" s="16"/>
    </row>
    <row r="802" spans="2:8">
      <c r="B802" s="5"/>
      <c r="H802" s="16"/>
    </row>
    <row r="803" spans="2:8">
      <c r="B803" s="5"/>
      <c r="H803" s="16"/>
    </row>
    <row r="804" spans="2:8">
      <c r="B804" s="5"/>
      <c r="H804" s="16"/>
    </row>
    <row r="805" spans="2:8">
      <c r="B805" s="5"/>
      <c r="H805" s="16"/>
    </row>
    <row r="806" spans="2:8">
      <c r="B806" s="5"/>
      <c r="H806" s="16"/>
    </row>
    <row r="807" spans="2:8">
      <c r="B807" s="5"/>
      <c r="H807" s="16"/>
    </row>
    <row r="808" spans="2:8">
      <c r="B808" s="5"/>
      <c r="H808" s="16"/>
    </row>
    <row r="809" spans="2:8">
      <c r="B809" s="5"/>
      <c r="H809" s="16"/>
    </row>
    <row r="810" spans="2:8">
      <c r="B810" s="5"/>
      <c r="H810" s="16"/>
    </row>
    <row r="811" spans="2:8">
      <c r="B811" s="5"/>
      <c r="H811" s="16"/>
    </row>
    <row r="812" spans="2:8">
      <c r="B812" s="5"/>
      <c r="H812" s="16"/>
    </row>
    <row r="813" spans="2:8">
      <c r="B813" s="5"/>
      <c r="H813" s="16"/>
    </row>
    <row r="814" spans="2:8">
      <c r="B814" s="5"/>
      <c r="H814" s="16"/>
    </row>
    <row r="815" spans="2:8">
      <c r="B815" s="5"/>
      <c r="H815" s="16"/>
    </row>
    <row r="816" spans="2:8">
      <c r="B816" s="5"/>
      <c r="H816" s="16"/>
    </row>
    <row r="817" spans="2:8">
      <c r="B817" s="5"/>
      <c r="H817" s="16"/>
    </row>
    <row r="818" spans="2:8">
      <c r="B818" s="5"/>
      <c r="H818" s="16"/>
    </row>
    <row r="819" spans="2:8">
      <c r="B819" s="5"/>
      <c r="H819" s="16"/>
    </row>
    <row r="820" spans="2:8">
      <c r="B820" s="5"/>
      <c r="H820" s="16"/>
    </row>
    <row r="821" spans="2:8">
      <c r="B821" s="5"/>
      <c r="H821" s="16"/>
    </row>
    <row r="822" spans="2:8">
      <c r="B822" s="5"/>
      <c r="H822" s="16"/>
    </row>
    <row r="823" spans="2:8">
      <c r="B823" s="5"/>
      <c r="H823" s="16"/>
    </row>
    <row r="824" spans="2:8">
      <c r="B824" s="5"/>
      <c r="H824" s="16"/>
    </row>
    <row r="825" spans="2:8">
      <c r="B825" s="5"/>
      <c r="H825" s="16"/>
    </row>
    <row r="826" spans="2:8">
      <c r="B826" s="5"/>
      <c r="H826" s="16"/>
    </row>
    <row r="827" spans="2:8">
      <c r="B827" s="5"/>
      <c r="H827" s="16"/>
    </row>
    <row r="828" spans="2:8">
      <c r="B828" s="5"/>
      <c r="H828" s="16"/>
    </row>
    <row r="829" spans="2:8">
      <c r="B829" s="5"/>
      <c r="H829" s="16"/>
    </row>
    <row r="830" spans="2:8">
      <c r="B830" s="5"/>
      <c r="H830" s="16"/>
    </row>
    <row r="831" spans="2:8">
      <c r="B831" s="5"/>
      <c r="H831" s="16"/>
    </row>
    <row r="832" spans="2:8">
      <c r="B832" s="5"/>
      <c r="H832" s="16"/>
    </row>
    <row r="833" spans="2:8">
      <c r="B833" s="5"/>
      <c r="H833" s="16"/>
    </row>
    <row r="834" spans="2:8">
      <c r="B834" s="5"/>
      <c r="H834" s="16"/>
    </row>
    <row r="835" spans="2:8">
      <c r="B835" s="5"/>
      <c r="H835" s="16"/>
    </row>
    <row r="836" spans="2:8">
      <c r="B836" s="5"/>
      <c r="H836" s="16"/>
    </row>
    <row r="837" spans="2:8">
      <c r="B837" s="5"/>
      <c r="H837" s="16"/>
    </row>
    <row r="838" spans="2:8">
      <c r="B838" s="5"/>
      <c r="H838" s="16"/>
    </row>
    <row r="839" spans="2:8">
      <c r="B839" s="5"/>
      <c r="H839" s="16"/>
    </row>
    <row r="840" spans="2:8">
      <c r="B840" s="5"/>
      <c r="H840" s="16"/>
    </row>
    <row r="841" spans="2:8">
      <c r="B841" s="5"/>
      <c r="H841" s="16"/>
    </row>
    <row r="842" spans="2:8">
      <c r="B842" s="5"/>
      <c r="H842" s="16"/>
    </row>
    <row r="843" spans="2:8">
      <c r="B843" s="5"/>
      <c r="H843" s="16"/>
    </row>
    <row r="844" spans="2:8">
      <c r="B844" s="5"/>
      <c r="H844" s="16"/>
    </row>
    <row r="845" spans="2:8">
      <c r="B845" s="5"/>
      <c r="H845" s="16"/>
    </row>
    <row r="846" spans="2:8">
      <c r="B846" s="5"/>
      <c r="H846" s="16"/>
    </row>
    <row r="847" spans="2:8">
      <c r="B847" s="5"/>
      <c r="H847" s="16"/>
    </row>
    <row r="848" spans="2:8">
      <c r="B848" s="5"/>
      <c r="H848" s="16"/>
    </row>
    <row r="849" spans="2:8">
      <c r="B849" s="5"/>
      <c r="H849" s="16"/>
    </row>
    <row r="850" spans="2:8">
      <c r="B850" s="5"/>
      <c r="H850" s="16"/>
    </row>
    <row r="851" spans="2:8">
      <c r="B851" s="5"/>
      <c r="H851" s="16"/>
    </row>
    <row r="852" spans="2:8">
      <c r="B852" s="5"/>
      <c r="H852" s="16"/>
    </row>
    <row r="853" spans="2:8">
      <c r="B853" s="5"/>
      <c r="H853" s="16"/>
    </row>
    <row r="854" spans="2:8">
      <c r="B854" s="5"/>
      <c r="H854" s="16"/>
    </row>
    <row r="855" spans="2:8">
      <c r="B855" s="5"/>
      <c r="H855" s="16"/>
    </row>
    <row r="856" spans="2:8">
      <c r="B856" s="5"/>
      <c r="H856" s="16"/>
    </row>
    <row r="857" spans="2:8">
      <c r="B857" s="5"/>
      <c r="H857" s="16"/>
    </row>
    <row r="858" spans="2:8">
      <c r="B858" s="5"/>
      <c r="H858" s="16"/>
    </row>
    <row r="859" spans="2:8">
      <c r="B859" s="5"/>
      <c r="H859" s="16"/>
    </row>
    <row r="860" spans="2:8">
      <c r="B860" s="5"/>
      <c r="H860" s="16"/>
    </row>
    <row r="861" spans="2:8">
      <c r="B861" s="5"/>
      <c r="H861" s="16"/>
    </row>
    <row r="862" spans="2:8">
      <c r="B862" s="5"/>
      <c r="H862" s="16"/>
    </row>
    <row r="863" spans="2:8">
      <c r="B863" s="5"/>
      <c r="H863" s="16"/>
    </row>
    <row r="864" spans="2:8">
      <c r="B864" s="5"/>
      <c r="H864" s="16"/>
    </row>
    <row r="865" spans="2:8">
      <c r="B865" s="5"/>
      <c r="H865" s="16"/>
    </row>
    <row r="866" spans="2:8">
      <c r="B866" s="5"/>
      <c r="H866" s="16"/>
    </row>
    <row r="867" spans="2:8">
      <c r="B867" s="5"/>
      <c r="H867" s="16"/>
    </row>
    <row r="868" spans="2:8">
      <c r="B868" s="5"/>
      <c r="H868" s="16"/>
    </row>
    <row r="869" spans="2:8">
      <c r="B869" s="5"/>
      <c r="H869" s="16"/>
    </row>
    <row r="870" spans="2:8">
      <c r="B870" s="5"/>
      <c r="H870" s="16"/>
    </row>
    <row r="871" spans="2:8">
      <c r="B871" s="5"/>
      <c r="H871" s="16"/>
    </row>
    <row r="872" spans="2:8">
      <c r="B872" s="5"/>
      <c r="H872" s="16"/>
    </row>
    <row r="873" spans="2:8">
      <c r="B873" s="5"/>
      <c r="H873" s="16"/>
    </row>
    <row r="874" spans="2:8">
      <c r="B874" s="5"/>
      <c r="H874" s="16"/>
    </row>
    <row r="875" spans="2:8">
      <c r="B875" s="5"/>
      <c r="H875" s="16"/>
    </row>
    <row r="876" spans="2:8">
      <c r="B876" s="5"/>
      <c r="H876" s="16"/>
    </row>
    <row r="877" spans="2:8">
      <c r="B877" s="5"/>
      <c r="H877" s="16"/>
    </row>
    <row r="878" spans="2:8">
      <c r="B878" s="5"/>
      <c r="H878" s="16"/>
    </row>
    <row r="879" spans="2:8">
      <c r="B879" s="5"/>
      <c r="H879" s="16"/>
    </row>
    <row r="880" spans="2:8">
      <c r="B880" s="5"/>
      <c r="H880" s="16"/>
    </row>
    <row r="881" spans="2:8">
      <c r="B881" s="5"/>
      <c r="H881" s="16"/>
    </row>
    <row r="882" spans="2:8">
      <c r="B882" s="5"/>
      <c r="H882" s="16"/>
    </row>
    <row r="883" spans="2:8">
      <c r="B883" s="5"/>
      <c r="H883" s="16"/>
    </row>
    <row r="884" spans="2:8">
      <c r="B884" s="5"/>
      <c r="H884" s="16"/>
    </row>
    <row r="885" spans="2:8">
      <c r="B885" s="5"/>
      <c r="H885" s="16"/>
    </row>
    <row r="886" spans="2:8">
      <c r="B886" s="5"/>
      <c r="H886" s="16"/>
    </row>
    <row r="887" spans="2:8">
      <c r="B887" s="5"/>
      <c r="H887" s="16"/>
    </row>
    <row r="888" spans="2:8">
      <c r="B888" s="5"/>
      <c r="H888" s="16"/>
    </row>
    <row r="889" spans="2:8">
      <c r="B889" s="5"/>
      <c r="H889" s="16"/>
    </row>
    <row r="890" spans="2:8">
      <c r="B890" s="5"/>
      <c r="H890" s="16"/>
    </row>
    <row r="891" spans="2:8">
      <c r="B891" s="5"/>
      <c r="H891" s="16"/>
    </row>
  </sheetData>
  <mergeCells count="25">
    <mergeCell ref="C49:F49"/>
    <mergeCell ref="C44:F44"/>
    <mergeCell ref="C45:F45"/>
    <mergeCell ref="C46:F46"/>
    <mergeCell ref="C47:F47"/>
    <mergeCell ref="C48:F48"/>
    <mergeCell ref="A4:H4"/>
    <mergeCell ref="A38:F38"/>
    <mergeCell ref="C41:F41"/>
    <mergeCell ref="C42:F42"/>
    <mergeCell ref="C43:F43"/>
    <mergeCell ref="A10:F10"/>
    <mergeCell ref="A17:F17"/>
    <mergeCell ref="A23:F23"/>
    <mergeCell ref="A29:F29"/>
    <mergeCell ref="A35:F35"/>
    <mergeCell ref="G41:H41"/>
    <mergeCell ref="G42:H42"/>
    <mergeCell ref="G43:H43"/>
    <mergeCell ref="G49:H49"/>
    <mergeCell ref="G44:H44"/>
    <mergeCell ref="G45:H45"/>
    <mergeCell ref="G46:H46"/>
    <mergeCell ref="G47:H47"/>
    <mergeCell ref="G48:H48"/>
  </mergeCells>
  <phoneticPr fontId="24" type="noConversion"/>
  <dataValidations count="1">
    <dataValidation type="list" allowBlank="1" showInputMessage="1" showErrorMessage="1" sqref="B42:B48" xr:uid="{00000000-0002-0000-1100-000000000000}">
      <formula1>$L$41:$L$45</formula1>
    </dataValidation>
  </dataValidations>
  <printOptions horizontalCentered="1"/>
  <pageMargins left="0.45" right="0.45" top="0.5" bottom="0.5" header="0.3" footer="0.3"/>
  <pageSetup scale="58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L892"/>
  <sheetViews>
    <sheetView showZeros="0" zoomScale="70" zoomScaleNormal="70" workbookViewId="0">
      <selection activeCell="A10" sqref="A10:F10"/>
    </sheetView>
  </sheetViews>
  <sheetFormatPr defaultColWidth="10.875" defaultRowHeight="18.95"/>
  <cols>
    <col min="1" max="1" width="35.625" customWidth="1"/>
    <col min="2" max="2" width="14.625" style="16" customWidth="1"/>
    <col min="3" max="7" width="15.875" style="5" customWidth="1"/>
    <col min="8" max="8" width="15.875" style="17" customWidth="1"/>
    <col min="9" max="9" width="10.875" style="5"/>
    <col min="10" max="12" width="0" style="5" hidden="1" customWidth="1"/>
    <col min="13" max="16384" width="10.875" style="5"/>
  </cols>
  <sheetData>
    <row r="1" spans="1:10" customFormat="1" ht="15.95">
      <c r="A1" s="41"/>
      <c r="B1" s="42"/>
      <c r="C1" s="43"/>
      <c r="D1" s="43"/>
      <c r="E1" s="45" t="s">
        <v>25</v>
      </c>
      <c r="F1" s="43"/>
      <c r="G1" s="45" t="s">
        <v>26</v>
      </c>
      <c r="H1" s="44"/>
    </row>
    <row r="2" spans="1:10">
      <c r="A2" s="30"/>
      <c r="B2" s="18" t="s">
        <v>27</v>
      </c>
      <c r="C2" s="18" t="s">
        <v>28</v>
      </c>
      <c r="D2" s="18" t="s">
        <v>65</v>
      </c>
      <c r="E2" s="18" t="s">
        <v>30</v>
      </c>
      <c r="F2" s="18" t="s">
        <v>66</v>
      </c>
      <c r="G2" s="18" t="s">
        <v>32</v>
      </c>
      <c r="H2" s="18" t="s">
        <v>33</v>
      </c>
    </row>
    <row r="3" spans="1:10" ht="30.95" customHeight="1">
      <c r="A3" s="31" t="s">
        <v>7</v>
      </c>
      <c r="B3" s="6">
        <f>'Week 15'!H3+1</f>
        <v>45998</v>
      </c>
      <c r="C3" s="6">
        <f t="shared" ref="C3:H3" si="0">B3+1</f>
        <v>45999</v>
      </c>
      <c r="D3" s="6">
        <f t="shared" si="0"/>
        <v>46000</v>
      </c>
      <c r="E3" s="6">
        <f t="shared" si="0"/>
        <v>46001</v>
      </c>
      <c r="F3" s="6">
        <f t="shared" si="0"/>
        <v>46002</v>
      </c>
      <c r="G3" s="6">
        <f t="shared" si="0"/>
        <v>46003</v>
      </c>
      <c r="H3" s="6">
        <f t="shared" si="0"/>
        <v>46004</v>
      </c>
    </row>
    <row r="4" spans="1:10" s="7" customFormat="1">
      <c r="A4" s="181" t="s">
        <v>117</v>
      </c>
      <c r="B4" s="181"/>
      <c r="C4" s="181"/>
      <c r="D4" s="181"/>
      <c r="E4" s="181"/>
      <c r="F4" s="181"/>
      <c r="G4" s="181"/>
      <c r="H4" s="181"/>
    </row>
    <row r="5" spans="1:10" s="7" customFormat="1" ht="26.1" customHeight="1">
      <c r="A5" s="32" t="s">
        <v>8</v>
      </c>
      <c r="B5" s="27"/>
      <c r="C5" s="27"/>
      <c r="D5" s="27"/>
      <c r="E5" s="27"/>
      <c r="F5" s="27"/>
      <c r="G5" s="27">
        <v>0</v>
      </c>
      <c r="H5" s="27">
        <v>0</v>
      </c>
    </row>
    <row r="6" spans="1:10" s="7" customFormat="1" ht="26.1" customHeight="1">
      <c r="A6" s="4" t="s">
        <v>23</v>
      </c>
      <c r="B6" s="62"/>
      <c r="C6" s="62"/>
      <c r="D6" s="62"/>
      <c r="E6" s="62"/>
      <c r="F6" s="62"/>
      <c r="G6" s="62"/>
      <c r="H6" s="62"/>
    </row>
    <row r="7" spans="1:10" s="7" customFormat="1" ht="21.95" customHeight="1">
      <c r="A7" s="32" t="s">
        <v>35</v>
      </c>
      <c r="B7" s="27"/>
      <c r="C7" s="28"/>
      <c r="D7" s="28"/>
      <c r="E7" s="28"/>
      <c r="F7" s="28"/>
      <c r="G7" s="28">
        <v>0</v>
      </c>
      <c r="H7" s="27">
        <v>0</v>
      </c>
    </row>
    <row r="8" spans="1:10" s="7" customFormat="1" ht="24.95" customHeight="1" thickBot="1">
      <c r="A8" s="83" t="s">
        <v>36</v>
      </c>
      <c r="B8" s="84">
        <f t="shared" ref="B8:H8" si="1">B5+B6+B7</f>
        <v>0</v>
      </c>
      <c r="C8" s="84">
        <f t="shared" si="1"/>
        <v>0</v>
      </c>
      <c r="D8" s="84">
        <f t="shared" si="1"/>
        <v>0</v>
      </c>
      <c r="E8" s="84">
        <f t="shared" si="1"/>
        <v>0</v>
      </c>
      <c r="F8" s="84">
        <f t="shared" si="1"/>
        <v>0</v>
      </c>
      <c r="G8" s="84">
        <f t="shared" si="1"/>
        <v>0</v>
      </c>
      <c r="H8" s="84">
        <f t="shared" si="1"/>
        <v>0</v>
      </c>
    </row>
    <row r="9" spans="1:10" s="7" customFormat="1" ht="24.95" customHeight="1" thickBot="1">
      <c r="A9" s="33"/>
      <c r="B9" s="29"/>
      <c r="C9" s="29"/>
      <c r="D9" s="29"/>
      <c r="E9" s="29"/>
      <c r="F9" s="29"/>
      <c r="G9" s="63" t="s">
        <v>37</v>
      </c>
      <c r="H9" s="64">
        <f>SUM(B8:H8)</f>
        <v>0</v>
      </c>
    </row>
    <row r="10" spans="1:10" s="7" customFormat="1" ht="21" thickTop="1" thickBot="1">
      <c r="A10" s="182" t="s">
        <v>118</v>
      </c>
      <c r="B10" s="183"/>
      <c r="C10" s="183"/>
      <c r="D10" s="183"/>
      <c r="E10" s="183"/>
      <c r="F10" s="183"/>
      <c r="G10" s="65" t="s">
        <v>39</v>
      </c>
      <c r="H10" s="66">
        <v>-0.06</v>
      </c>
      <c r="I10" s="5"/>
      <c r="J10" s="26"/>
    </row>
    <row r="11" spans="1:10" s="7" customFormat="1" ht="30" customHeight="1">
      <c r="A11" s="39" t="s">
        <v>8</v>
      </c>
      <c r="B11" s="9">
        <f>B5+(B5*H10)</f>
        <v>0</v>
      </c>
      <c r="C11" s="9">
        <f>C5+(C5*H10)</f>
        <v>0</v>
      </c>
      <c r="D11" s="67"/>
      <c r="E11" s="67"/>
      <c r="F11" s="9">
        <f>F5+(F5*H10)</f>
        <v>0</v>
      </c>
      <c r="G11" s="68">
        <f>G5+(G5*H10)</f>
        <v>0</v>
      </c>
      <c r="H11" s="69">
        <f>H5+(H5*H10)</f>
        <v>0</v>
      </c>
    </row>
    <row r="12" spans="1:10" s="7" customFormat="1" ht="30" customHeight="1">
      <c r="A12" s="70" t="s">
        <v>23</v>
      </c>
      <c r="B12" s="59">
        <f>B6+(B6*H10)</f>
        <v>0</v>
      </c>
      <c r="C12" s="58">
        <f>C6+(C6*H10)</f>
        <v>0</v>
      </c>
      <c r="D12" s="58">
        <f>D6+(D6*H10)</f>
        <v>0</v>
      </c>
      <c r="E12" s="58">
        <f>E6+(E6*H10)</f>
        <v>0</v>
      </c>
      <c r="F12" s="58">
        <f>F6+(F6*H10)</f>
        <v>0</v>
      </c>
      <c r="G12" s="58">
        <f>G6+(G6*H10)</f>
        <v>0</v>
      </c>
      <c r="H12" s="58">
        <f>H6+(H6*H10)</f>
        <v>0</v>
      </c>
    </row>
    <row r="13" spans="1:10" s="7" customFormat="1" ht="30" customHeight="1">
      <c r="A13" s="3" t="s">
        <v>35</v>
      </c>
      <c r="B13" s="8">
        <f>B7+(B7*H10)</f>
        <v>0</v>
      </c>
      <c r="C13" s="8">
        <f>C7+(C7*H10)</f>
        <v>0</v>
      </c>
      <c r="D13" s="8">
        <f>D7+(D7*H10)</f>
        <v>0</v>
      </c>
      <c r="E13" s="8">
        <f>E7+(E7*H10)</f>
        <v>0</v>
      </c>
      <c r="F13" s="8">
        <f>F7+(F7*H10)</f>
        <v>0</v>
      </c>
      <c r="G13" s="8">
        <f>G7+(G7*H10)</f>
        <v>0</v>
      </c>
      <c r="H13" s="8">
        <f>H7+(H7*H10)</f>
        <v>0</v>
      </c>
    </row>
    <row r="14" spans="1:10" s="7" customFormat="1" ht="35.1" customHeight="1" thickBot="1">
      <c r="A14" s="85" t="s">
        <v>36</v>
      </c>
      <c r="B14" s="87">
        <f t="shared" ref="B14:H14" si="2">SUM(B11:B13)</f>
        <v>0</v>
      </c>
      <c r="C14" s="87">
        <f t="shared" si="2"/>
        <v>0</v>
      </c>
      <c r="D14" s="87">
        <f t="shared" si="2"/>
        <v>0</v>
      </c>
      <c r="E14" s="87">
        <f t="shared" si="2"/>
        <v>0</v>
      </c>
      <c r="F14" s="87">
        <f t="shared" si="2"/>
        <v>0</v>
      </c>
      <c r="G14" s="87">
        <f t="shared" si="2"/>
        <v>0</v>
      </c>
      <c r="H14" s="87">
        <f t="shared" si="2"/>
        <v>0</v>
      </c>
    </row>
    <row r="15" spans="1:10" s="7" customFormat="1" ht="39.950000000000003" customHeight="1" thickBot="1">
      <c r="A15" s="86" t="s">
        <v>40</v>
      </c>
      <c r="B15" s="92" t="e">
        <f t="shared" ref="B15:H15" si="3">(B14-B8)/B8</f>
        <v>#DIV/0!</v>
      </c>
      <c r="C15" s="93" t="e">
        <f t="shared" si="3"/>
        <v>#DIV/0!</v>
      </c>
      <c r="D15" s="93" t="e">
        <f t="shared" si="3"/>
        <v>#DIV/0!</v>
      </c>
      <c r="E15" s="93" t="e">
        <f t="shared" si="3"/>
        <v>#DIV/0!</v>
      </c>
      <c r="F15" s="93" t="e">
        <f t="shared" si="3"/>
        <v>#DIV/0!</v>
      </c>
      <c r="G15" s="93" t="e">
        <f t="shared" si="3"/>
        <v>#DIV/0!</v>
      </c>
      <c r="H15" s="94" t="e">
        <f t="shared" si="3"/>
        <v>#DIV/0!</v>
      </c>
      <c r="I15" s="71"/>
    </row>
    <row r="16" spans="1:10" ht="30" customHeight="1" thickBot="1">
      <c r="B16" s="88"/>
      <c r="C16" s="88"/>
      <c r="D16" s="88"/>
      <c r="E16" s="88"/>
      <c r="F16" s="89"/>
      <c r="G16" s="90" t="s">
        <v>37</v>
      </c>
      <c r="H16" s="91">
        <f>SUM(B14:H14)</f>
        <v>0</v>
      </c>
    </row>
    <row r="17" spans="1:8" s="7" customFormat="1" ht="21.95" thickTop="1" thickBot="1">
      <c r="A17" s="184" t="s">
        <v>41</v>
      </c>
      <c r="B17" s="185"/>
      <c r="C17" s="185"/>
      <c r="D17" s="185"/>
      <c r="E17" s="185"/>
      <c r="F17" s="185"/>
      <c r="G17" s="72" t="s">
        <v>42</v>
      </c>
      <c r="H17" s="66" t="e">
        <f>(H16-H9)/H9</f>
        <v>#DIV/0!</v>
      </c>
    </row>
    <row r="18" spans="1:8" s="7" customFormat="1" ht="30" customHeight="1">
      <c r="A18" s="35" t="s">
        <v>43</v>
      </c>
      <c r="B18" s="12"/>
      <c r="C18" s="73"/>
      <c r="D18" s="73"/>
      <c r="E18" s="12"/>
      <c r="F18" s="12"/>
      <c r="G18" s="24"/>
      <c r="H18" s="74"/>
    </row>
    <row r="19" spans="1:8" s="7" customFormat="1" ht="30" customHeight="1">
      <c r="A19" s="35" t="str">
        <f>'Week 15'!A31</f>
        <v>Non Meal Plan Meals</v>
      </c>
      <c r="B19" s="12"/>
      <c r="C19" s="73"/>
      <c r="D19" s="73"/>
      <c r="E19" s="12"/>
      <c r="F19" s="12"/>
      <c r="G19" s="24"/>
      <c r="H19" s="74"/>
    </row>
    <row r="20" spans="1:8" s="7" customFormat="1" ht="30" customHeight="1">
      <c r="A20" s="35" t="str">
        <f>'Week 15'!A32</f>
        <v xml:space="preserve">Meal numbers </v>
      </c>
      <c r="B20" s="95"/>
      <c r="C20" s="67"/>
      <c r="D20" s="67"/>
      <c r="E20" s="95"/>
      <c r="F20" s="95"/>
      <c r="G20" s="95"/>
      <c r="H20" s="75"/>
    </row>
    <row r="21" spans="1:8" s="7" customFormat="1" ht="39.950000000000003" customHeight="1" thickBot="1">
      <c r="A21" s="36" t="s">
        <v>45</v>
      </c>
      <c r="B21" s="77">
        <f>B18+B20</f>
        <v>0</v>
      </c>
      <c r="C21" s="96"/>
      <c r="D21" s="96"/>
      <c r="E21" s="77">
        <f>E18+E20</f>
        <v>0</v>
      </c>
      <c r="F21" s="77">
        <f>F18+F20</f>
        <v>0</v>
      </c>
      <c r="G21" s="77">
        <f>G18+G20</f>
        <v>0</v>
      </c>
      <c r="H21" s="77">
        <f>H18+H20</f>
        <v>0</v>
      </c>
    </row>
    <row r="22" spans="1:8" s="7" customFormat="1" ht="39.950000000000003" customHeight="1" thickBot="1">
      <c r="A22" s="34" t="s">
        <v>40</v>
      </c>
      <c r="B22" s="92" t="e">
        <f>(B21-B5)/B5</f>
        <v>#DIV/0!</v>
      </c>
      <c r="C22" s="93" t="e">
        <f>(C21-C5)/C5</f>
        <v>#DIV/0!</v>
      </c>
      <c r="D22" s="99"/>
      <c r="E22" s="99"/>
      <c r="F22" s="93" t="e">
        <f>(F21-F5)/F5</f>
        <v>#DIV/0!</v>
      </c>
      <c r="G22" s="93" t="e">
        <f>(G21-G5)/G5</f>
        <v>#DIV/0!</v>
      </c>
      <c r="H22" s="94" t="e">
        <f>(H21-H5)/H5</f>
        <v>#DIV/0!</v>
      </c>
    </row>
    <row r="23" spans="1:8" s="7" customFormat="1">
      <c r="A23" s="186" t="s">
        <v>46</v>
      </c>
      <c r="B23" s="187"/>
      <c r="C23" s="187"/>
      <c r="D23" s="187"/>
      <c r="E23" s="187"/>
      <c r="F23" s="188" t="s">
        <v>47</v>
      </c>
      <c r="G23" s="97"/>
      <c r="H23" s="98"/>
    </row>
    <row r="24" spans="1:8" s="7" customFormat="1" ht="30" customHeight="1">
      <c r="A24" s="35" t="s">
        <v>43</v>
      </c>
      <c r="B24" s="11"/>
      <c r="C24" s="12"/>
      <c r="D24" s="12"/>
      <c r="E24" s="12"/>
      <c r="F24" s="12"/>
      <c r="G24" s="12"/>
      <c r="H24" s="11"/>
    </row>
    <row r="25" spans="1:8" s="7" customFormat="1" ht="30" customHeight="1">
      <c r="A25" s="35" t="str">
        <f>A19</f>
        <v>Non Meal Plan Meals</v>
      </c>
      <c r="B25" s="117"/>
      <c r="C25" s="117"/>
      <c r="D25" s="117"/>
      <c r="E25" s="117"/>
      <c r="F25" s="117"/>
      <c r="G25" s="117"/>
      <c r="H25" s="117"/>
    </row>
    <row r="26" spans="1:8" s="7" customFormat="1" ht="30" customHeight="1">
      <c r="A26" s="35" t="str">
        <f>A20</f>
        <v xml:space="preserve">Meal numbers </v>
      </c>
      <c r="B26" s="11"/>
      <c r="C26" s="11"/>
      <c r="D26" s="11"/>
      <c r="E26" s="11"/>
      <c r="F26" s="11"/>
      <c r="G26" s="11"/>
      <c r="H26" s="11"/>
    </row>
    <row r="27" spans="1:8" s="7" customFormat="1" ht="39.950000000000003" customHeight="1" thickBot="1">
      <c r="A27" s="36" t="s">
        <v>50</v>
      </c>
      <c r="B27" s="100">
        <f t="shared" ref="B27:H27" si="4">SUM(B24:B26)</f>
        <v>0</v>
      </c>
      <c r="C27" s="100">
        <f t="shared" si="4"/>
        <v>0</v>
      </c>
      <c r="D27" s="100">
        <f t="shared" si="4"/>
        <v>0</v>
      </c>
      <c r="E27" s="100">
        <f t="shared" si="4"/>
        <v>0</v>
      </c>
      <c r="F27" s="100">
        <f t="shared" si="4"/>
        <v>0</v>
      </c>
      <c r="G27" s="100">
        <f t="shared" si="4"/>
        <v>0</v>
      </c>
      <c r="H27" s="100">
        <f t="shared" si="4"/>
        <v>0</v>
      </c>
    </row>
    <row r="28" spans="1:8" s="7" customFormat="1" ht="39.950000000000003" customHeight="1" thickBot="1">
      <c r="A28" s="34" t="s">
        <v>40</v>
      </c>
      <c r="B28" s="92" t="e">
        <f t="shared" ref="B28:H28" si="5">(B27-B6)/B6</f>
        <v>#DIV/0!</v>
      </c>
      <c r="C28" s="93" t="e">
        <f t="shared" si="5"/>
        <v>#DIV/0!</v>
      </c>
      <c r="D28" s="93" t="e">
        <f t="shared" si="5"/>
        <v>#DIV/0!</v>
      </c>
      <c r="E28" s="93" t="e">
        <f t="shared" si="5"/>
        <v>#DIV/0!</v>
      </c>
      <c r="F28" s="93" t="e">
        <f t="shared" si="5"/>
        <v>#DIV/0!</v>
      </c>
      <c r="G28" s="93" t="e">
        <f t="shared" si="5"/>
        <v>#DIV/0!</v>
      </c>
      <c r="H28" s="94" t="e">
        <f t="shared" si="5"/>
        <v>#DIV/0!</v>
      </c>
    </row>
    <row r="29" spans="1:8" s="7" customFormat="1">
      <c r="A29" s="189" t="s">
        <v>51</v>
      </c>
      <c r="B29" s="190"/>
      <c r="C29" s="190"/>
      <c r="D29" s="190"/>
      <c r="E29" s="190"/>
      <c r="F29" s="191" t="s">
        <v>35</v>
      </c>
      <c r="G29" s="101"/>
      <c r="H29" s="102"/>
    </row>
    <row r="30" spans="1:8" s="7" customFormat="1" ht="30" customHeight="1">
      <c r="A30" s="35" t="s">
        <v>43</v>
      </c>
      <c r="B30" s="10"/>
      <c r="C30" s="9"/>
      <c r="D30" s="9"/>
      <c r="E30" s="9"/>
      <c r="F30" s="9"/>
      <c r="G30" s="9"/>
      <c r="H30" s="10"/>
    </row>
    <row r="31" spans="1:8" s="7" customFormat="1" ht="30" customHeight="1">
      <c r="A31" s="35" t="str">
        <f>A25</f>
        <v>Non Meal Plan Meals</v>
      </c>
      <c r="B31" s="60"/>
      <c r="C31" s="60"/>
      <c r="D31" s="60"/>
      <c r="E31" s="60"/>
      <c r="F31" s="60"/>
      <c r="G31" s="60"/>
      <c r="H31" s="60"/>
    </row>
    <row r="32" spans="1:8" s="7" customFormat="1" ht="30" customHeight="1">
      <c r="A32" s="35" t="str">
        <f>A26</f>
        <v xml:space="preserve">Meal numbers </v>
      </c>
      <c r="B32" s="10"/>
      <c r="C32" s="10"/>
      <c r="D32" s="10"/>
      <c r="E32" s="10"/>
      <c r="F32" s="10"/>
      <c r="G32" s="10"/>
      <c r="H32" s="10"/>
    </row>
    <row r="33" spans="1:12" s="7" customFormat="1" ht="39.950000000000003" customHeight="1" thickBot="1">
      <c r="A33" s="36" t="s">
        <v>53</v>
      </c>
      <c r="B33" s="103">
        <f t="shared" ref="B33:H33" si="6">SUM(B30:B32)</f>
        <v>0</v>
      </c>
      <c r="C33" s="103">
        <f t="shared" si="6"/>
        <v>0</v>
      </c>
      <c r="D33" s="103">
        <f t="shared" si="6"/>
        <v>0</v>
      </c>
      <c r="E33" s="103">
        <f t="shared" si="6"/>
        <v>0</v>
      </c>
      <c r="F33" s="103">
        <f t="shared" si="6"/>
        <v>0</v>
      </c>
      <c r="G33" s="103">
        <f t="shared" si="6"/>
        <v>0</v>
      </c>
      <c r="H33" s="103">
        <f t="shared" si="6"/>
        <v>0</v>
      </c>
    </row>
    <row r="34" spans="1:12" s="7" customFormat="1" ht="39.950000000000003" customHeight="1" thickBot="1">
      <c r="A34" s="34" t="s">
        <v>40</v>
      </c>
      <c r="B34" s="92" t="e">
        <f t="shared" ref="B34:H34" si="7">(B33-B7)/B7</f>
        <v>#DIV/0!</v>
      </c>
      <c r="C34" s="93" t="e">
        <f t="shared" si="7"/>
        <v>#DIV/0!</v>
      </c>
      <c r="D34" s="93" t="e">
        <f t="shared" si="7"/>
        <v>#DIV/0!</v>
      </c>
      <c r="E34" s="93" t="e">
        <f t="shared" si="7"/>
        <v>#DIV/0!</v>
      </c>
      <c r="F34" s="93" t="e">
        <f t="shared" si="7"/>
        <v>#DIV/0!</v>
      </c>
      <c r="G34" s="93" t="e">
        <f t="shared" si="7"/>
        <v>#DIV/0!</v>
      </c>
      <c r="H34" s="94" t="e">
        <f t="shared" si="7"/>
        <v>#DIV/0!</v>
      </c>
    </row>
    <row r="35" spans="1:12" s="7" customFormat="1">
      <c r="A35" s="192" t="s">
        <v>54</v>
      </c>
      <c r="B35" s="193"/>
      <c r="C35" s="193"/>
      <c r="D35" s="193"/>
      <c r="E35" s="193"/>
      <c r="F35" s="194" t="s">
        <v>35</v>
      </c>
      <c r="G35" s="104"/>
      <c r="H35" s="105"/>
    </row>
    <row r="36" spans="1:12" s="7" customFormat="1" ht="39.950000000000003" customHeight="1" thickBot="1">
      <c r="A36" s="78" t="s">
        <v>55</v>
      </c>
      <c r="B36" s="77">
        <f t="shared" ref="B36:H36" si="8">B33+B27+B21</f>
        <v>0</v>
      </c>
      <c r="C36" s="77">
        <f t="shared" si="8"/>
        <v>0</v>
      </c>
      <c r="D36" s="77">
        <f t="shared" si="8"/>
        <v>0</v>
      </c>
      <c r="E36" s="77">
        <f t="shared" si="8"/>
        <v>0</v>
      </c>
      <c r="F36" s="77">
        <f t="shared" si="8"/>
        <v>0</v>
      </c>
      <c r="G36" s="77">
        <f t="shared" si="8"/>
        <v>0</v>
      </c>
      <c r="H36" s="77">
        <f t="shared" si="8"/>
        <v>0</v>
      </c>
    </row>
    <row r="37" spans="1:12" s="7" customFormat="1" ht="39.950000000000003" customHeight="1" thickBot="1">
      <c r="A37" s="34" t="s">
        <v>40</v>
      </c>
      <c r="B37" s="92" t="e">
        <f t="shared" ref="B37:H37" si="9">(B36-B8)/B8</f>
        <v>#DIV/0!</v>
      </c>
      <c r="C37" s="93" t="e">
        <f t="shared" si="9"/>
        <v>#DIV/0!</v>
      </c>
      <c r="D37" s="93" t="e">
        <f t="shared" si="9"/>
        <v>#DIV/0!</v>
      </c>
      <c r="E37" s="93" t="e">
        <f t="shared" si="9"/>
        <v>#DIV/0!</v>
      </c>
      <c r="F37" s="93" t="e">
        <f t="shared" si="9"/>
        <v>#DIV/0!</v>
      </c>
      <c r="G37" s="93" t="e">
        <f t="shared" si="9"/>
        <v>#DIV/0!</v>
      </c>
      <c r="H37" s="94" t="e">
        <f t="shared" si="9"/>
        <v>#DIV/0!</v>
      </c>
    </row>
    <row r="38" spans="1:12" ht="30" customHeight="1" thickBot="1">
      <c r="A38" s="195"/>
      <c r="B38" s="196"/>
      <c r="C38" s="196"/>
      <c r="D38" s="196"/>
      <c r="E38" s="196"/>
      <c r="F38" s="196"/>
      <c r="G38" s="106" t="s">
        <v>37</v>
      </c>
      <c r="H38" s="107">
        <f>SUM(B36:H36)</f>
        <v>0</v>
      </c>
    </row>
    <row r="39" spans="1:12" s="7" customFormat="1" ht="39.950000000000003" customHeight="1" thickTop="1">
      <c r="A39" s="37"/>
      <c r="B39" s="25"/>
      <c r="C39" s="25"/>
      <c r="D39" s="25"/>
      <c r="E39" s="25"/>
      <c r="F39" s="25"/>
      <c r="G39" s="79" t="s">
        <v>40</v>
      </c>
      <c r="H39" s="80" t="e">
        <f>(H38-H9)/H9</f>
        <v>#DIV/0!</v>
      </c>
    </row>
    <row r="40" spans="1:12" s="7" customFormat="1" ht="39.950000000000003" customHeight="1" thickBot="1">
      <c r="A40" s="37"/>
      <c r="B40" s="25"/>
      <c r="C40" s="25"/>
      <c r="D40" s="25"/>
      <c r="E40" s="25"/>
      <c r="F40" s="25"/>
      <c r="G40" s="81" t="s">
        <v>56</v>
      </c>
      <c r="H40" s="82" t="e">
        <f>(H38-H16)/H16</f>
        <v>#DIV/0!</v>
      </c>
    </row>
    <row r="41" spans="1:12" s="46" customFormat="1" ht="23.1" customHeight="1">
      <c r="A41" s="40"/>
      <c r="B41" s="47" t="s">
        <v>57</v>
      </c>
      <c r="C41" s="197" t="s">
        <v>58</v>
      </c>
      <c r="D41" s="197"/>
      <c r="E41" s="197"/>
      <c r="F41" s="197"/>
      <c r="G41" s="198">
        <v>2020</v>
      </c>
      <c r="H41" s="199"/>
    </row>
    <row r="42" spans="1:12" ht="30" customHeight="1">
      <c r="A42" s="1" t="s">
        <v>0</v>
      </c>
      <c r="B42" s="57" t="s">
        <v>59</v>
      </c>
      <c r="C42" s="180"/>
      <c r="D42" s="180"/>
      <c r="E42" s="180"/>
      <c r="F42" s="180"/>
      <c r="G42" s="178"/>
      <c r="H42" s="179"/>
      <c r="L42" s="7" t="s">
        <v>61</v>
      </c>
    </row>
    <row r="43" spans="1:12" ht="42" customHeight="1">
      <c r="A43" s="1" t="s">
        <v>1</v>
      </c>
      <c r="B43" s="57" t="s">
        <v>59</v>
      </c>
      <c r="C43" s="175" t="s">
        <v>119</v>
      </c>
      <c r="D43" s="175"/>
      <c r="E43" s="175"/>
      <c r="F43" s="175"/>
      <c r="G43" s="178"/>
      <c r="H43" s="179"/>
      <c r="L43" s="5" t="s">
        <v>62</v>
      </c>
    </row>
    <row r="44" spans="1:12" ht="30" customHeight="1">
      <c r="A44" s="1" t="s">
        <v>2</v>
      </c>
      <c r="B44" s="57" t="s">
        <v>59</v>
      </c>
      <c r="C44" s="175"/>
      <c r="D44" s="175"/>
      <c r="E44" s="175"/>
      <c r="F44" s="175"/>
      <c r="G44" s="176"/>
      <c r="H44" s="177"/>
      <c r="L44" s="5" t="s">
        <v>63</v>
      </c>
    </row>
    <row r="45" spans="1:12" ht="30" customHeight="1">
      <c r="A45" s="1" t="s">
        <v>3</v>
      </c>
      <c r="B45" s="57" t="s">
        <v>59</v>
      </c>
      <c r="C45" s="175"/>
      <c r="D45" s="175"/>
      <c r="E45" s="175"/>
      <c r="F45" s="175"/>
      <c r="G45" s="176"/>
      <c r="H45" s="177"/>
      <c r="L45" s="5" t="s">
        <v>64</v>
      </c>
    </row>
    <row r="46" spans="1:12" ht="30.95" customHeight="1">
      <c r="A46" s="1" t="s">
        <v>4</v>
      </c>
      <c r="B46" s="57" t="s">
        <v>59</v>
      </c>
      <c r="C46" s="221"/>
      <c r="D46" s="222"/>
      <c r="E46" s="222"/>
      <c r="F46" s="223"/>
      <c r="G46" s="176"/>
      <c r="H46" s="177"/>
    </row>
    <row r="47" spans="1:12" ht="30" customHeight="1">
      <c r="A47" s="1" t="s">
        <v>5</v>
      </c>
      <c r="B47" s="57" t="s">
        <v>59</v>
      </c>
      <c r="C47" s="216"/>
      <c r="D47" s="216"/>
      <c r="E47" s="216"/>
      <c r="F47" s="216"/>
      <c r="G47" s="176"/>
      <c r="H47" s="177"/>
    </row>
    <row r="48" spans="1:12" ht="30" customHeight="1">
      <c r="A48" s="1" t="s">
        <v>6</v>
      </c>
      <c r="B48" s="57" t="s">
        <v>59</v>
      </c>
      <c r="C48" s="216"/>
      <c r="D48" s="216"/>
      <c r="E48" s="216"/>
      <c r="F48" s="216"/>
      <c r="G48" s="176"/>
      <c r="H48" s="177"/>
    </row>
    <row r="49" spans="1:8" ht="30" customHeight="1">
      <c r="A49" s="1"/>
      <c r="B49" s="14"/>
      <c r="C49" s="175"/>
      <c r="D49" s="175"/>
      <c r="E49" s="175"/>
      <c r="F49" s="175"/>
      <c r="G49" s="176"/>
      <c r="H49" s="177"/>
    </row>
    <row r="50" spans="1:8" ht="30" customHeight="1">
      <c r="A50" s="2"/>
      <c r="B50" s="14"/>
      <c r="C50" s="175"/>
      <c r="D50" s="175"/>
      <c r="E50" s="175"/>
      <c r="F50" s="175"/>
      <c r="G50" s="176"/>
      <c r="H50" s="177"/>
    </row>
    <row r="51" spans="1:8">
      <c r="A51" s="30"/>
      <c r="B51" s="18" t="s">
        <v>98</v>
      </c>
      <c r="C51" s="18" t="s">
        <v>28</v>
      </c>
      <c r="D51" s="18" t="s">
        <v>65</v>
      </c>
      <c r="E51" s="18" t="s">
        <v>30</v>
      </c>
      <c r="F51" s="18" t="s">
        <v>66</v>
      </c>
      <c r="G51" s="18" t="s">
        <v>32</v>
      </c>
      <c r="H51" s="18" t="s">
        <v>33</v>
      </c>
    </row>
    <row r="52" spans="1:8">
      <c r="A52" s="38" t="s">
        <v>67</v>
      </c>
      <c r="B52" s="15"/>
      <c r="C52" s="20"/>
      <c r="D52" s="20"/>
      <c r="E52" s="20"/>
      <c r="F52" s="20"/>
      <c r="G52" s="20"/>
      <c r="H52" s="15"/>
    </row>
    <row r="53" spans="1:8" customFormat="1" ht="15.95">
      <c r="A53" s="48" t="s">
        <v>68</v>
      </c>
      <c r="B53" s="22"/>
      <c r="C53" s="21"/>
      <c r="D53" s="21"/>
      <c r="E53" s="21"/>
      <c r="F53" s="21"/>
      <c r="G53" s="23" t="s">
        <v>37</v>
      </c>
      <c r="H53" s="23">
        <f>SUM(B52:H52)</f>
        <v>0</v>
      </c>
    </row>
    <row r="54" spans="1:8">
      <c r="A54" s="30"/>
      <c r="B54" s="18" t="s">
        <v>98</v>
      </c>
      <c r="C54" s="18" t="s">
        <v>28</v>
      </c>
      <c r="D54" s="18" t="s">
        <v>65</v>
      </c>
      <c r="E54" s="18" t="s">
        <v>30</v>
      </c>
      <c r="F54" s="18" t="s">
        <v>66</v>
      </c>
      <c r="G54" s="18" t="s">
        <v>32</v>
      </c>
      <c r="H54" s="18" t="s">
        <v>33</v>
      </c>
    </row>
    <row r="55" spans="1:8">
      <c r="A55" s="38" t="s">
        <v>69</v>
      </c>
      <c r="B55" s="51"/>
      <c r="C55" s="52"/>
      <c r="D55" s="52"/>
      <c r="E55" s="52"/>
      <c r="F55" s="52"/>
      <c r="G55" s="20"/>
      <c r="H55" s="15"/>
    </row>
    <row r="56" spans="1:8" customFormat="1" ht="15.95">
      <c r="A56" s="49" t="s">
        <v>70</v>
      </c>
      <c r="B56" s="53"/>
      <c r="C56" s="53" t="s">
        <v>71</v>
      </c>
      <c r="D56" s="54"/>
      <c r="E56" s="54"/>
      <c r="F56" s="55"/>
      <c r="G56" s="50" t="s">
        <v>37</v>
      </c>
      <c r="H56" s="23"/>
    </row>
    <row r="57" spans="1:8">
      <c r="H57" s="16"/>
    </row>
    <row r="58" spans="1:8">
      <c r="H58" s="16"/>
    </row>
    <row r="59" spans="1:8">
      <c r="H59" s="16"/>
    </row>
    <row r="60" spans="1:8">
      <c r="H60" s="16"/>
    </row>
    <row r="61" spans="1:8">
      <c r="H61" s="16"/>
    </row>
    <row r="62" spans="1:8">
      <c r="H62" s="16"/>
    </row>
    <row r="63" spans="1:8">
      <c r="H63" s="16"/>
    </row>
    <row r="64" spans="1:8">
      <c r="B64" s="5"/>
      <c r="H64" s="16"/>
    </row>
    <row r="65" spans="2:8">
      <c r="B65" s="5"/>
      <c r="H65" s="16"/>
    </row>
    <row r="66" spans="2:8">
      <c r="B66" s="5"/>
      <c r="H66" s="16"/>
    </row>
    <row r="67" spans="2:8">
      <c r="B67" s="5"/>
      <c r="H67" s="16"/>
    </row>
    <row r="68" spans="2:8">
      <c r="B68" s="5"/>
      <c r="H68" s="16"/>
    </row>
    <row r="69" spans="2:8">
      <c r="B69" s="5"/>
      <c r="H69" s="16"/>
    </row>
    <row r="70" spans="2:8">
      <c r="B70" s="5"/>
      <c r="H70" s="16"/>
    </row>
    <row r="71" spans="2:8">
      <c r="B71" s="5"/>
      <c r="H71" s="16"/>
    </row>
    <row r="72" spans="2:8">
      <c r="B72" s="5"/>
      <c r="H72" s="16"/>
    </row>
    <row r="73" spans="2:8">
      <c r="B73" s="5"/>
      <c r="H73" s="16"/>
    </row>
    <row r="74" spans="2:8">
      <c r="B74" s="5"/>
      <c r="H74" s="16"/>
    </row>
    <row r="75" spans="2:8">
      <c r="B75" s="5"/>
      <c r="H75" s="16"/>
    </row>
    <row r="76" spans="2:8">
      <c r="B76" s="5"/>
      <c r="H76" s="16"/>
    </row>
    <row r="77" spans="2:8">
      <c r="B77" s="5"/>
      <c r="H77" s="16"/>
    </row>
    <row r="78" spans="2:8">
      <c r="B78" s="5"/>
      <c r="H78" s="16"/>
    </row>
    <row r="79" spans="2:8">
      <c r="B79" s="5"/>
      <c r="H79" s="16"/>
    </row>
    <row r="80" spans="2:8">
      <c r="B80" s="5"/>
      <c r="H80" s="16"/>
    </row>
    <row r="81" spans="2:8">
      <c r="B81" s="5"/>
      <c r="H81" s="16"/>
    </row>
    <row r="82" spans="2:8">
      <c r="B82" s="5"/>
      <c r="H82" s="16"/>
    </row>
    <row r="83" spans="2:8">
      <c r="B83" s="5"/>
      <c r="H83" s="16"/>
    </row>
    <row r="84" spans="2:8">
      <c r="B84" s="5"/>
      <c r="H84" s="16"/>
    </row>
    <row r="85" spans="2:8">
      <c r="B85" s="5"/>
      <c r="H85" s="16"/>
    </row>
    <row r="86" spans="2:8">
      <c r="B86" s="5"/>
      <c r="H86" s="16"/>
    </row>
    <row r="87" spans="2:8">
      <c r="B87" s="5"/>
      <c r="H87" s="16"/>
    </row>
    <row r="88" spans="2:8">
      <c r="B88" s="5"/>
      <c r="H88" s="16"/>
    </row>
    <row r="89" spans="2:8">
      <c r="B89" s="5"/>
      <c r="H89" s="16"/>
    </row>
    <row r="90" spans="2:8">
      <c r="B90" s="5"/>
      <c r="H90" s="16"/>
    </row>
    <row r="91" spans="2:8">
      <c r="B91" s="5"/>
      <c r="H91" s="16"/>
    </row>
    <row r="92" spans="2:8">
      <c r="B92" s="5"/>
      <c r="H92" s="16"/>
    </row>
    <row r="93" spans="2:8">
      <c r="B93" s="5"/>
      <c r="H93" s="16"/>
    </row>
    <row r="94" spans="2:8">
      <c r="B94" s="5"/>
      <c r="H94" s="16"/>
    </row>
    <row r="95" spans="2:8">
      <c r="B95" s="5"/>
      <c r="H95" s="16"/>
    </row>
    <row r="96" spans="2:8">
      <c r="B96" s="5"/>
      <c r="H96" s="16"/>
    </row>
    <row r="97" spans="2:8">
      <c r="B97" s="5"/>
      <c r="H97" s="16"/>
    </row>
    <row r="98" spans="2:8">
      <c r="B98" s="5"/>
      <c r="H98" s="16"/>
    </row>
    <row r="99" spans="2:8">
      <c r="B99" s="5"/>
      <c r="H99" s="16"/>
    </row>
    <row r="100" spans="2:8">
      <c r="B100" s="5"/>
      <c r="H100" s="16"/>
    </row>
    <row r="101" spans="2:8">
      <c r="B101" s="5"/>
      <c r="H101" s="16"/>
    </row>
    <row r="102" spans="2:8">
      <c r="B102" s="5"/>
      <c r="H102" s="16"/>
    </row>
    <row r="103" spans="2:8">
      <c r="B103" s="5"/>
      <c r="H103" s="16"/>
    </row>
    <row r="104" spans="2:8">
      <c r="B104" s="5"/>
      <c r="H104" s="16"/>
    </row>
    <row r="105" spans="2:8">
      <c r="B105" s="5"/>
      <c r="H105" s="16"/>
    </row>
    <row r="106" spans="2:8">
      <c r="B106" s="5"/>
      <c r="H106" s="16"/>
    </row>
    <row r="107" spans="2:8">
      <c r="B107" s="5"/>
      <c r="H107" s="16"/>
    </row>
    <row r="108" spans="2:8">
      <c r="B108" s="5"/>
      <c r="H108" s="16"/>
    </row>
    <row r="109" spans="2:8">
      <c r="B109" s="5"/>
      <c r="H109" s="16"/>
    </row>
    <row r="110" spans="2:8">
      <c r="B110" s="5"/>
      <c r="H110" s="16"/>
    </row>
    <row r="111" spans="2:8">
      <c r="B111" s="5"/>
      <c r="H111" s="16"/>
    </row>
    <row r="112" spans="2:8">
      <c r="B112" s="5"/>
      <c r="H112" s="16"/>
    </row>
    <row r="113" spans="2:8">
      <c r="B113" s="5"/>
      <c r="H113" s="16"/>
    </row>
    <row r="114" spans="2:8">
      <c r="B114" s="5"/>
      <c r="H114" s="16"/>
    </row>
    <row r="115" spans="2:8">
      <c r="B115" s="5"/>
      <c r="H115" s="16"/>
    </row>
    <row r="116" spans="2:8">
      <c r="B116" s="5"/>
      <c r="H116" s="16"/>
    </row>
    <row r="117" spans="2:8">
      <c r="B117" s="5"/>
      <c r="H117" s="16"/>
    </row>
    <row r="118" spans="2:8">
      <c r="B118" s="5"/>
      <c r="H118" s="16"/>
    </row>
    <row r="119" spans="2:8">
      <c r="B119" s="5"/>
      <c r="H119" s="16"/>
    </row>
    <row r="120" spans="2:8">
      <c r="B120" s="5"/>
      <c r="H120" s="16"/>
    </row>
    <row r="121" spans="2:8">
      <c r="B121" s="5"/>
      <c r="H121" s="16"/>
    </row>
    <row r="122" spans="2:8">
      <c r="B122" s="5"/>
      <c r="H122" s="16"/>
    </row>
    <row r="123" spans="2:8">
      <c r="B123" s="5"/>
      <c r="H123" s="16"/>
    </row>
    <row r="124" spans="2:8">
      <c r="B124" s="5"/>
      <c r="H124" s="16"/>
    </row>
    <row r="125" spans="2:8">
      <c r="B125" s="5"/>
      <c r="H125" s="16"/>
    </row>
    <row r="126" spans="2:8">
      <c r="B126" s="5"/>
      <c r="H126" s="16"/>
    </row>
    <row r="127" spans="2:8">
      <c r="B127" s="5"/>
      <c r="H127" s="16"/>
    </row>
    <row r="128" spans="2:8">
      <c r="B128" s="5"/>
      <c r="H128" s="16"/>
    </row>
    <row r="129" spans="2:8">
      <c r="B129" s="5"/>
      <c r="H129" s="16"/>
    </row>
    <row r="130" spans="2:8">
      <c r="B130" s="5"/>
      <c r="H130" s="16"/>
    </row>
    <row r="131" spans="2:8">
      <c r="B131" s="5"/>
      <c r="H131" s="16"/>
    </row>
    <row r="132" spans="2:8">
      <c r="B132" s="5"/>
      <c r="H132" s="16"/>
    </row>
    <row r="133" spans="2:8">
      <c r="B133" s="5"/>
      <c r="H133" s="16"/>
    </row>
    <row r="134" spans="2:8">
      <c r="B134" s="5"/>
      <c r="H134" s="16"/>
    </row>
    <row r="135" spans="2:8">
      <c r="B135" s="5"/>
      <c r="H135" s="16"/>
    </row>
    <row r="136" spans="2:8">
      <c r="B136" s="5"/>
      <c r="H136" s="16"/>
    </row>
    <row r="137" spans="2:8">
      <c r="B137" s="5"/>
      <c r="H137" s="16"/>
    </row>
    <row r="138" spans="2:8">
      <c r="B138" s="5"/>
      <c r="H138" s="16"/>
    </row>
    <row r="139" spans="2:8">
      <c r="B139" s="5"/>
      <c r="H139" s="16"/>
    </row>
    <row r="140" spans="2:8">
      <c r="B140" s="5"/>
      <c r="H140" s="16"/>
    </row>
    <row r="141" spans="2:8">
      <c r="B141" s="5"/>
      <c r="H141" s="16"/>
    </row>
    <row r="142" spans="2:8">
      <c r="B142" s="5"/>
      <c r="H142" s="16"/>
    </row>
    <row r="143" spans="2:8">
      <c r="B143" s="5"/>
      <c r="H143" s="16"/>
    </row>
    <row r="144" spans="2:8">
      <c r="B144" s="5"/>
      <c r="H144" s="16"/>
    </row>
    <row r="145" spans="2:8">
      <c r="B145" s="5"/>
      <c r="H145" s="16"/>
    </row>
    <row r="146" spans="2:8">
      <c r="B146" s="5"/>
      <c r="H146" s="16"/>
    </row>
    <row r="147" spans="2:8">
      <c r="B147" s="5"/>
      <c r="H147" s="16"/>
    </row>
    <row r="148" spans="2:8">
      <c r="B148" s="5"/>
      <c r="H148" s="16"/>
    </row>
    <row r="149" spans="2:8">
      <c r="B149" s="5"/>
      <c r="H149" s="16"/>
    </row>
    <row r="150" spans="2:8">
      <c r="B150" s="5"/>
      <c r="H150" s="16"/>
    </row>
    <row r="151" spans="2:8">
      <c r="B151" s="5"/>
      <c r="H151" s="16"/>
    </row>
    <row r="152" spans="2:8">
      <c r="B152" s="5"/>
      <c r="H152" s="16"/>
    </row>
    <row r="153" spans="2:8">
      <c r="B153" s="5"/>
      <c r="H153" s="16"/>
    </row>
    <row r="154" spans="2:8">
      <c r="B154" s="5"/>
      <c r="H154" s="16"/>
    </row>
    <row r="155" spans="2:8">
      <c r="B155" s="5"/>
      <c r="H155" s="16"/>
    </row>
    <row r="156" spans="2:8">
      <c r="B156" s="5"/>
      <c r="H156" s="16"/>
    </row>
    <row r="157" spans="2:8">
      <c r="B157" s="5"/>
      <c r="H157" s="16"/>
    </row>
    <row r="158" spans="2:8">
      <c r="B158" s="5"/>
      <c r="H158" s="16"/>
    </row>
    <row r="159" spans="2:8">
      <c r="B159" s="5"/>
      <c r="H159" s="16"/>
    </row>
    <row r="160" spans="2:8">
      <c r="B160" s="5"/>
      <c r="H160" s="16"/>
    </row>
    <row r="161" spans="2:8">
      <c r="B161" s="5"/>
      <c r="H161" s="16"/>
    </row>
    <row r="162" spans="2:8">
      <c r="B162" s="5"/>
      <c r="H162" s="16"/>
    </row>
    <row r="163" spans="2:8">
      <c r="B163" s="5"/>
      <c r="H163" s="16"/>
    </row>
    <row r="164" spans="2:8">
      <c r="B164" s="5"/>
      <c r="H164" s="16"/>
    </row>
    <row r="165" spans="2:8">
      <c r="B165" s="5"/>
      <c r="H165" s="16"/>
    </row>
    <row r="166" spans="2:8">
      <c r="B166" s="5"/>
      <c r="H166" s="16"/>
    </row>
    <row r="167" spans="2:8">
      <c r="B167" s="5"/>
      <c r="H167" s="16"/>
    </row>
    <row r="168" spans="2:8">
      <c r="B168" s="5"/>
      <c r="H168" s="16"/>
    </row>
    <row r="169" spans="2:8">
      <c r="B169" s="5"/>
      <c r="H169" s="16"/>
    </row>
    <row r="170" spans="2:8">
      <c r="B170" s="5"/>
      <c r="H170" s="16"/>
    </row>
    <row r="171" spans="2:8">
      <c r="B171" s="5"/>
      <c r="H171" s="16"/>
    </row>
    <row r="172" spans="2:8">
      <c r="B172" s="5"/>
      <c r="H172" s="16"/>
    </row>
    <row r="173" spans="2:8">
      <c r="B173" s="5"/>
      <c r="H173" s="16"/>
    </row>
    <row r="174" spans="2:8">
      <c r="B174" s="5"/>
      <c r="H174" s="16"/>
    </row>
    <row r="175" spans="2:8">
      <c r="B175" s="5"/>
      <c r="H175" s="16"/>
    </row>
    <row r="176" spans="2:8">
      <c r="B176" s="5"/>
      <c r="H176" s="16"/>
    </row>
    <row r="177" spans="2:8">
      <c r="B177" s="5"/>
      <c r="H177" s="16"/>
    </row>
    <row r="178" spans="2:8">
      <c r="B178" s="5"/>
      <c r="H178" s="16"/>
    </row>
    <row r="179" spans="2:8">
      <c r="B179" s="5"/>
      <c r="H179" s="16"/>
    </row>
    <row r="180" spans="2:8">
      <c r="B180" s="5"/>
      <c r="H180" s="16"/>
    </row>
    <row r="181" spans="2:8">
      <c r="B181" s="5"/>
      <c r="H181" s="16"/>
    </row>
    <row r="182" spans="2:8">
      <c r="B182" s="5"/>
      <c r="H182" s="16"/>
    </row>
    <row r="183" spans="2:8">
      <c r="B183" s="5"/>
      <c r="H183" s="16"/>
    </row>
    <row r="184" spans="2:8">
      <c r="B184" s="5"/>
      <c r="H184" s="16"/>
    </row>
    <row r="185" spans="2:8">
      <c r="B185" s="5"/>
      <c r="H185" s="16"/>
    </row>
    <row r="186" spans="2:8">
      <c r="B186" s="5"/>
      <c r="H186" s="16"/>
    </row>
    <row r="187" spans="2:8">
      <c r="B187" s="5"/>
      <c r="H187" s="16"/>
    </row>
    <row r="188" spans="2:8">
      <c r="B188" s="5"/>
      <c r="H188" s="16"/>
    </row>
    <row r="189" spans="2:8">
      <c r="B189" s="5"/>
      <c r="H189" s="16"/>
    </row>
    <row r="190" spans="2:8">
      <c r="B190" s="5"/>
      <c r="H190" s="16"/>
    </row>
    <row r="191" spans="2:8">
      <c r="B191" s="5"/>
      <c r="H191" s="16"/>
    </row>
    <row r="192" spans="2:8">
      <c r="B192" s="5"/>
      <c r="H192" s="16"/>
    </row>
    <row r="193" spans="2:8">
      <c r="B193" s="5"/>
      <c r="H193" s="16"/>
    </row>
    <row r="194" spans="2:8">
      <c r="B194" s="5"/>
      <c r="H194" s="16"/>
    </row>
    <row r="195" spans="2:8">
      <c r="B195" s="5"/>
      <c r="H195" s="16"/>
    </row>
    <row r="196" spans="2:8">
      <c r="B196" s="5"/>
      <c r="H196" s="16"/>
    </row>
    <row r="197" spans="2:8">
      <c r="B197" s="5"/>
      <c r="H197" s="16"/>
    </row>
    <row r="198" spans="2:8">
      <c r="B198" s="5"/>
      <c r="H198" s="16"/>
    </row>
    <row r="199" spans="2:8">
      <c r="B199" s="5"/>
      <c r="H199" s="16"/>
    </row>
    <row r="200" spans="2:8">
      <c r="B200" s="5"/>
      <c r="H200" s="16"/>
    </row>
    <row r="201" spans="2:8">
      <c r="B201" s="5"/>
      <c r="H201" s="16"/>
    </row>
    <row r="202" spans="2:8">
      <c r="B202" s="5"/>
      <c r="H202" s="16"/>
    </row>
    <row r="203" spans="2:8">
      <c r="B203" s="5"/>
      <c r="H203" s="16"/>
    </row>
    <row r="204" spans="2:8">
      <c r="B204" s="5"/>
      <c r="H204" s="16"/>
    </row>
    <row r="205" spans="2:8">
      <c r="B205" s="5"/>
      <c r="H205" s="16"/>
    </row>
    <row r="206" spans="2:8">
      <c r="B206" s="5"/>
      <c r="H206" s="16"/>
    </row>
    <row r="207" spans="2:8">
      <c r="B207" s="5"/>
      <c r="H207" s="16"/>
    </row>
    <row r="208" spans="2:8">
      <c r="B208" s="5"/>
      <c r="H208" s="16"/>
    </row>
    <row r="209" spans="2:8">
      <c r="B209" s="5"/>
      <c r="H209" s="16"/>
    </row>
    <row r="210" spans="2:8">
      <c r="B210" s="5"/>
      <c r="H210" s="16"/>
    </row>
    <row r="211" spans="2:8">
      <c r="B211" s="5"/>
      <c r="H211" s="16"/>
    </row>
    <row r="212" spans="2:8">
      <c r="B212" s="5"/>
      <c r="H212" s="16"/>
    </row>
    <row r="213" spans="2:8">
      <c r="B213" s="5"/>
      <c r="H213" s="16"/>
    </row>
    <row r="214" spans="2:8">
      <c r="B214" s="5"/>
      <c r="H214" s="16"/>
    </row>
    <row r="215" spans="2:8">
      <c r="B215" s="5"/>
      <c r="H215" s="16"/>
    </row>
    <row r="216" spans="2:8">
      <c r="B216" s="5"/>
      <c r="H216" s="16"/>
    </row>
    <row r="217" spans="2:8">
      <c r="B217" s="5"/>
      <c r="H217" s="16"/>
    </row>
    <row r="218" spans="2:8">
      <c r="B218" s="5"/>
      <c r="H218" s="16"/>
    </row>
    <row r="219" spans="2:8">
      <c r="B219" s="5"/>
      <c r="H219" s="16"/>
    </row>
    <row r="220" spans="2:8">
      <c r="B220" s="5"/>
      <c r="H220" s="16"/>
    </row>
    <row r="221" spans="2:8">
      <c r="B221" s="5"/>
      <c r="H221" s="16"/>
    </row>
    <row r="222" spans="2:8">
      <c r="B222" s="5"/>
      <c r="H222" s="16"/>
    </row>
    <row r="223" spans="2:8">
      <c r="B223" s="5"/>
      <c r="H223" s="16"/>
    </row>
    <row r="224" spans="2:8">
      <c r="B224" s="5"/>
      <c r="H224" s="16"/>
    </row>
    <row r="225" spans="2:8">
      <c r="B225" s="5"/>
      <c r="H225" s="16"/>
    </row>
    <row r="226" spans="2:8">
      <c r="B226" s="5"/>
      <c r="H226" s="16"/>
    </row>
    <row r="227" spans="2:8">
      <c r="B227" s="5"/>
      <c r="H227" s="16"/>
    </row>
    <row r="228" spans="2:8">
      <c r="B228" s="5"/>
      <c r="H228" s="16"/>
    </row>
    <row r="229" spans="2:8">
      <c r="B229" s="5"/>
      <c r="H229" s="16"/>
    </row>
    <row r="230" spans="2:8">
      <c r="B230" s="5"/>
      <c r="H230" s="16"/>
    </row>
    <row r="231" spans="2:8">
      <c r="B231" s="5"/>
      <c r="H231" s="16"/>
    </row>
    <row r="232" spans="2:8">
      <c r="B232" s="5"/>
      <c r="H232" s="16"/>
    </row>
    <row r="233" spans="2:8">
      <c r="B233" s="5"/>
      <c r="H233" s="16"/>
    </row>
    <row r="234" spans="2:8">
      <c r="B234" s="5"/>
      <c r="H234" s="16"/>
    </row>
    <row r="235" spans="2:8">
      <c r="B235" s="5"/>
      <c r="H235" s="16"/>
    </row>
    <row r="236" spans="2:8">
      <c r="B236" s="5"/>
      <c r="H236" s="16"/>
    </row>
    <row r="237" spans="2:8">
      <c r="B237" s="5"/>
      <c r="H237" s="16"/>
    </row>
    <row r="238" spans="2:8">
      <c r="B238" s="5"/>
      <c r="H238" s="16"/>
    </row>
    <row r="239" spans="2:8">
      <c r="B239" s="5"/>
      <c r="H239" s="16"/>
    </row>
    <row r="240" spans="2:8">
      <c r="B240" s="5"/>
      <c r="H240" s="16"/>
    </row>
    <row r="241" spans="2:8">
      <c r="B241" s="5"/>
      <c r="H241" s="16"/>
    </row>
    <row r="242" spans="2:8">
      <c r="B242" s="5"/>
      <c r="H242" s="16"/>
    </row>
    <row r="243" spans="2:8">
      <c r="B243" s="5"/>
      <c r="H243" s="16"/>
    </row>
    <row r="244" spans="2:8">
      <c r="B244" s="5"/>
      <c r="H244" s="16"/>
    </row>
    <row r="245" spans="2:8">
      <c r="B245" s="5"/>
      <c r="H245" s="16"/>
    </row>
    <row r="246" spans="2:8">
      <c r="B246" s="5"/>
      <c r="H246" s="16"/>
    </row>
    <row r="247" spans="2:8">
      <c r="B247" s="5"/>
      <c r="H247" s="16"/>
    </row>
    <row r="248" spans="2:8">
      <c r="B248" s="5"/>
      <c r="H248" s="16"/>
    </row>
    <row r="249" spans="2:8">
      <c r="B249" s="5"/>
      <c r="H249" s="16"/>
    </row>
    <row r="250" spans="2:8">
      <c r="B250" s="5"/>
      <c r="H250" s="16"/>
    </row>
    <row r="251" spans="2:8">
      <c r="B251" s="5"/>
      <c r="H251" s="16"/>
    </row>
    <row r="252" spans="2:8">
      <c r="B252" s="5"/>
      <c r="H252" s="16"/>
    </row>
    <row r="253" spans="2:8">
      <c r="B253" s="5"/>
      <c r="H253" s="16"/>
    </row>
    <row r="254" spans="2:8">
      <c r="B254" s="5"/>
      <c r="H254" s="16"/>
    </row>
    <row r="255" spans="2:8">
      <c r="B255" s="5"/>
      <c r="H255" s="16"/>
    </row>
    <row r="256" spans="2:8">
      <c r="B256" s="5"/>
      <c r="H256" s="16"/>
    </row>
    <row r="257" spans="2:8">
      <c r="B257" s="5"/>
      <c r="H257" s="16"/>
    </row>
    <row r="258" spans="2:8">
      <c r="B258" s="5"/>
      <c r="H258" s="16"/>
    </row>
    <row r="259" spans="2:8">
      <c r="B259" s="5"/>
      <c r="H259" s="16"/>
    </row>
    <row r="260" spans="2:8">
      <c r="B260" s="5"/>
      <c r="H260" s="16"/>
    </row>
    <row r="261" spans="2:8">
      <c r="B261" s="5"/>
      <c r="H261" s="16"/>
    </row>
    <row r="262" spans="2:8">
      <c r="B262" s="5"/>
      <c r="H262" s="16"/>
    </row>
    <row r="263" spans="2:8">
      <c r="B263" s="5"/>
      <c r="H263" s="16"/>
    </row>
    <row r="264" spans="2:8">
      <c r="B264" s="5"/>
      <c r="H264" s="16"/>
    </row>
    <row r="265" spans="2:8">
      <c r="B265" s="5"/>
      <c r="H265" s="16"/>
    </row>
    <row r="266" spans="2:8">
      <c r="B266" s="5"/>
      <c r="H266" s="16"/>
    </row>
    <row r="267" spans="2:8">
      <c r="B267" s="5"/>
      <c r="H267" s="16"/>
    </row>
    <row r="268" spans="2:8">
      <c r="B268" s="5"/>
      <c r="H268" s="16"/>
    </row>
    <row r="269" spans="2:8">
      <c r="B269" s="5"/>
      <c r="H269" s="16"/>
    </row>
    <row r="270" spans="2:8">
      <c r="B270" s="5"/>
      <c r="H270" s="16"/>
    </row>
    <row r="271" spans="2:8">
      <c r="B271" s="5"/>
      <c r="H271" s="16"/>
    </row>
    <row r="272" spans="2:8">
      <c r="B272" s="5"/>
      <c r="H272" s="16"/>
    </row>
    <row r="273" spans="2:8">
      <c r="B273" s="5"/>
      <c r="H273" s="16"/>
    </row>
    <row r="274" spans="2:8">
      <c r="B274" s="5"/>
      <c r="H274" s="16"/>
    </row>
    <row r="275" spans="2:8">
      <c r="B275" s="5"/>
      <c r="H275" s="16"/>
    </row>
    <row r="276" spans="2:8">
      <c r="B276" s="5"/>
      <c r="H276" s="16"/>
    </row>
    <row r="277" spans="2:8">
      <c r="B277" s="5"/>
      <c r="H277" s="16"/>
    </row>
    <row r="278" spans="2:8">
      <c r="B278" s="5"/>
      <c r="H278" s="16"/>
    </row>
    <row r="279" spans="2:8">
      <c r="B279" s="5"/>
      <c r="H279" s="16"/>
    </row>
    <row r="280" spans="2:8">
      <c r="B280" s="5"/>
      <c r="H280" s="16"/>
    </row>
    <row r="281" spans="2:8">
      <c r="B281" s="5"/>
      <c r="H281" s="16"/>
    </row>
    <row r="282" spans="2:8">
      <c r="B282" s="5"/>
      <c r="H282" s="16"/>
    </row>
    <row r="283" spans="2:8">
      <c r="B283" s="5"/>
      <c r="H283" s="16"/>
    </row>
    <row r="284" spans="2:8">
      <c r="B284" s="5"/>
      <c r="H284" s="16"/>
    </row>
    <row r="285" spans="2:8">
      <c r="B285" s="5"/>
      <c r="H285" s="16"/>
    </row>
    <row r="286" spans="2:8">
      <c r="B286" s="5"/>
      <c r="H286" s="16"/>
    </row>
    <row r="287" spans="2:8">
      <c r="B287" s="5"/>
      <c r="H287" s="16"/>
    </row>
    <row r="288" spans="2:8">
      <c r="B288" s="5"/>
      <c r="H288" s="16"/>
    </row>
    <row r="289" spans="2:8">
      <c r="B289" s="5"/>
      <c r="H289" s="16"/>
    </row>
    <row r="290" spans="2:8">
      <c r="B290" s="5"/>
      <c r="H290" s="16"/>
    </row>
    <row r="291" spans="2:8">
      <c r="B291" s="5"/>
      <c r="H291" s="16"/>
    </row>
    <row r="292" spans="2:8">
      <c r="B292" s="5"/>
      <c r="H292" s="16"/>
    </row>
    <row r="293" spans="2:8">
      <c r="B293" s="5"/>
      <c r="H293" s="16"/>
    </row>
    <row r="294" spans="2:8">
      <c r="B294" s="5"/>
      <c r="H294" s="16"/>
    </row>
    <row r="295" spans="2:8">
      <c r="B295" s="5"/>
      <c r="H295" s="16"/>
    </row>
    <row r="296" spans="2:8">
      <c r="B296" s="5"/>
      <c r="H296" s="16"/>
    </row>
    <row r="297" spans="2:8">
      <c r="B297" s="5"/>
      <c r="H297" s="16"/>
    </row>
    <row r="298" spans="2:8">
      <c r="B298" s="5"/>
      <c r="H298" s="16"/>
    </row>
    <row r="299" spans="2:8">
      <c r="B299" s="5"/>
      <c r="H299" s="16"/>
    </row>
    <row r="300" spans="2:8">
      <c r="B300" s="5"/>
      <c r="H300" s="16"/>
    </row>
    <row r="301" spans="2:8">
      <c r="B301" s="5"/>
      <c r="H301" s="16"/>
    </row>
    <row r="302" spans="2:8">
      <c r="B302" s="5"/>
      <c r="H302" s="16"/>
    </row>
    <row r="303" spans="2:8">
      <c r="B303" s="5"/>
      <c r="H303" s="16"/>
    </row>
    <row r="304" spans="2:8">
      <c r="B304" s="5"/>
      <c r="H304" s="16"/>
    </row>
    <row r="305" spans="2:8">
      <c r="B305" s="5"/>
      <c r="H305" s="16"/>
    </row>
    <row r="306" spans="2:8">
      <c r="B306" s="5"/>
      <c r="H306" s="16"/>
    </row>
    <row r="307" spans="2:8">
      <c r="B307" s="5"/>
      <c r="H307" s="16"/>
    </row>
    <row r="308" spans="2:8">
      <c r="B308" s="5"/>
      <c r="H308" s="16"/>
    </row>
    <row r="309" spans="2:8">
      <c r="B309" s="5"/>
      <c r="H309" s="16"/>
    </row>
    <row r="310" spans="2:8">
      <c r="B310" s="5"/>
      <c r="H310" s="16"/>
    </row>
    <row r="311" spans="2:8">
      <c r="B311" s="5"/>
      <c r="H311" s="16"/>
    </row>
    <row r="312" spans="2:8">
      <c r="B312" s="5"/>
      <c r="H312" s="16"/>
    </row>
    <row r="313" spans="2:8">
      <c r="B313" s="5"/>
      <c r="H313" s="16"/>
    </row>
    <row r="314" spans="2:8">
      <c r="B314" s="5"/>
      <c r="H314" s="16"/>
    </row>
    <row r="315" spans="2:8">
      <c r="B315" s="5"/>
      <c r="H315" s="16"/>
    </row>
    <row r="316" spans="2:8">
      <c r="B316" s="5"/>
      <c r="H316" s="16"/>
    </row>
    <row r="317" spans="2:8">
      <c r="B317" s="5"/>
      <c r="H317" s="16"/>
    </row>
    <row r="318" spans="2:8">
      <c r="B318" s="5"/>
      <c r="H318" s="16"/>
    </row>
    <row r="319" spans="2:8">
      <c r="B319" s="5"/>
      <c r="H319" s="16"/>
    </row>
    <row r="320" spans="2:8">
      <c r="B320" s="5"/>
      <c r="H320" s="16"/>
    </row>
    <row r="321" spans="2:8">
      <c r="B321" s="5"/>
      <c r="H321" s="16"/>
    </row>
    <row r="322" spans="2:8">
      <c r="B322" s="5"/>
      <c r="H322" s="16"/>
    </row>
    <row r="323" spans="2:8">
      <c r="B323" s="5"/>
      <c r="H323" s="16"/>
    </row>
    <row r="324" spans="2:8">
      <c r="B324" s="5"/>
      <c r="H324" s="16"/>
    </row>
    <row r="325" spans="2:8">
      <c r="B325" s="5"/>
      <c r="H325" s="16"/>
    </row>
    <row r="326" spans="2:8">
      <c r="B326" s="5"/>
      <c r="H326" s="16"/>
    </row>
    <row r="327" spans="2:8">
      <c r="B327" s="5"/>
      <c r="H327" s="16"/>
    </row>
    <row r="328" spans="2:8">
      <c r="B328" s="5"/>
      <c r="H328" s="16"/>
    </row>
    <row r="329" spans="2:8">
      <c r="B329" s="5"/>
      <c r="H329" s="16"/>
    </row>
    <row r="330" spans="2:8">
      <c r="B330" s="5"/>
      <c r="H330" s="16"/>
    </row>
    <row r="331" spans="2:8">
      <c r="B331" s="5"/>
      <c r="H331" s="16"/>
    </row>
    <row r="332" spans="2:8">
      <c r="B332" s="5"/>
      <c r="H332" s="16"/>
    </row>
    <row r="333" spans="2:8">
      <c r="B333" s="5"/>
      <c r="H333" s="16"/>
    </row>
    <row r="334" spans="2:8">
      <c r="B334" s="5"/>
      <c r="H334" s="16"/>
    </row>
    <row r="335" spans="2:8">
      <c r="B335" s="5"/>
      <c r="H335" s="16"/>
    </row>
    <row r="336" spans="2:8">
      <c r="B336" s="5"/>
      <c r="H336" s="16"/>
    </row>
    <row r="337" spans="2:8">
      <c r="B337" s="5"/>
      <c r="H337" s="16"/>
    </row>
    <row r="338" spans="2:8">
      <c r="B338" s="5"/>
      <c r="H338" s="16"/>
    </row>
    <row r="339" spans="2:8">
      <c r="B339" s="5"/>
      <c r="H339" s="16"/>
    </row>
    <row r="340" spans="2:8">
      <c r="B340" s="5"/>
      <c r="H340" s="16"/>
    </row>
    <row r="341" spans="2:8">
      <c r="B341" s="5"/>
      <c r="H341" s="16"/>
    </row>
    <row r="342" spans="2:8">
      <c r="B342" s="5"/>
      <c r="H342" s="16"/>
    </row>
    <row r="343" spans="2:8">
      <c r="B343" s="5"/>
      <c r="H343" s="16"/>
    </row>
    <row r="344" spans="2:8">
      <c r="B344" s="5"/>
      <c r="H344" s="16"/>
    </row>
    <row r="345" spans="2:8">
      <c r="B345" s="5"/>
      <c r="H345" s="16"/>
    </row>
    <row r="346" spans="2:8">
      <c r="B346" s="5"/>
      <c r="H346" s="16"/>
    </row>
    <row r="347" spans="2:8">
      <c r="B347" s="5"/>
      <c r="H347" s="16"/>
    </row>
    <row r="348" spans="2:8">
      <c r="B348" s="5"/>
      <c r="H348" s="16"/>
    </row>
    <row r="349" spans="2:8">
      <c r="B349" s="5"/>
      <c r="H349" s="16"/>
    </row>
    <row r="350" spans="2:8">
      <c r="B350" s="5"/>
      <c r="H350" s="16"/>
    </row>
    <row r="351" spans="2:8">
      <c r="B351" s="5"/>
      <c r="H351" s="16"/>
    </row>
    <row r="352" spans="2:8">
      <c r="B352" s="5"/>
      <c r="H352" s="16"/>
    </row>
    <row r="353" spans="2:8">
      <c r="B353" s="5"/>
      <c r="H353" s="16"/>
    </row>
    <row r="354" spans="2:8">
      <c r="B354" s="5"/>
      <c r="H354" s="16"/>
    </row>
    <row r="355" spans="2:8">
      <c r="B355" s="5"/>
      <c r="H355" s="16"/>
    </row>
    <row r="356" spans="2:8">
      <c r="B356" s="5"/>
      <c r="H356" s="16"/>
    </row>
    <row r="357" spans="2:8">
      <c r="B357" s="5"/>
      <c r="H357" s="16"/>
    </row>
    <row r="358" spans="2:8">
      <c r="B358" s="5"/>
      <c r="H358" s="16"/>
    </row>
    <row r="359" spans="2:8">
      <c r="B359" s="5"/>
      <c r="H359" s="16"/>
    </row>
    <row r="360" spans="2:8">
      <c r="B360" s="5"/>
      <c r="H360" s="16"/>
    </row>
    <row r="361" spans="2:8">
      <c r="B361" s="5"/>
      <c r="H361" s="16"/>
    </row>
    <row r="362" spans="2:8">
      <c r="B362" s="5"/>
      <c r="H362" s="16"/>
    </row>
    <row r="363" spans="2:8">
      <c r="B363" s="5"/>
      <c r="H363" s="16"/>
    </row>
    <row r="364" spans="2:8">
      <c r="B364" s="5"/>
      <c r="H364" s="16"/>
    </row>
    <row r="365" spans="2:8">
      <c r="B365" s="5"/>
      <c r="H365" s="16"/>
    </row>
    <row r="366" spans="2:8">
      <c r="B366" s="5"/>
      <c r="H366" s="16"/>
    </row>
    <row r="367" spans="2:8">
      <c r="B367" s="5"/>
      <c r="H367" s="16"/>
    </row>
    <row r="368" spans="2:8">
      <c r="B368" s="5"/>
      <c r="H368" s="16"/>
    </row>
    <row r="369" spans="2:8">
      <c r="B369" s="5"/>
      <c r="H369" s="16"/>
    </row>
    <row r="370" spans="2:8">
      <c r="B370" s="5"/>
      <c r="H370" s="16"/>
    </row>
    <row r="371" spans="2:8">
      <c r="B371" s="5"/>
      <c r="H371" s="16"/>
    </row>
    <row r="372" spans="2:8">
      <c r="B372" s="5"/>
      <c r="H372" s="16"/>
    </row>
    <row r="373" spans="2:8">
      <c r="B373" s="5"/>
      <c r="H373" s="16"/>
    </row>
    <row r="374" spans="2:8">
      <c r="B374" s="5"/>
      <c r="H374" s="16"/>
    </row>
    <row r="375" spans="2:8">
      <c r="B375" s="5"/>
      <c r="H375" s="16"/>
    </row>
    <row r="376" spans="2:8">
      <c r="B376" s="5"/>
      <c r="H376" s="16"/>
    </row>
    <row r="377" spans="2:8">
      <c r="B377" s="5"/>
      <c r="H377" s="16"/>
    </row>
    <row r="378" spans="2:8">
      <c r="B378" s="5"/>
      <c r="H378" s="16"/>
    </row>
    <row r="379" spans="2:8">
      <c r="B379" s="5"/>
      <c r="H379" s="16"/>
    </row>
    <row r="380" spans="2:8">
      <c r="B380" s="5"/>
      <c r="H380" s="16"/>
    </row>
    <row r="381" spans="2:8">
      <c r="B381" s="5"/>
      <c r="H381" s="16"/>
    </row>
    <row r="382" spans="2:8">
      <c r="B382" s="5"/>
      <c r="H382" s="16"/>
    </row>
    <row r="383" spans="2:8">
      <c r="B383" s="5"/>
      <c r="H383" s="16"/>
    </row>
    <row r="384" spans="2:8">
      <c r="B384" s="5"/>
      <c r="H384" s="16"/>
    </row>
    <row r="385" spans="2:8">
      <c r="B385" s="5"/>
      <c r="H385" s="16"/>
    </row>
    <row r="386" spans="2:8">
      <c r="B386" s="5"/>
      <c r="H386" s="16"/>
    </row>
    <row r="387" spans="2:8">
      <c r="B387" s="5"/>
      <c r="H387" s="16"/>
    </row>
    <row r="388" spans="2:8">
      <c r="B388" s="5"/>
      <c r="H388" s="16"/>
    </row>
    <row r="389" spans="2:8">
      <c r="B389" s="5"/>
      <c r="H389" s="16"/>
    </row>
    <row r="390" spans="2:8">
      <c r="B390" s="5"/>
      <c r="H390" s="16"/>
    </row>
    <row r="391" spans="2:8">
      <c r="B391" s="5"/>
      <c r="H391" s="16"/>
    </row>
    <row r="392" spans="2:8">
      <c r="B392" s="5"/>
      <c r="H392" s="16"/>
    </row>
    <row r="393" spans="2:8">
      <c r="B393" s="5"/>
      <c r="H393" s="16"/>
    </row>
    <row r="394" spans="2:8">
      <c r="B394" s="5"/>
      <c r="H394" s="16"/>
    </row>
    <row r="395" spans="2:8">
      <c r="B395" s="5"/>
      <c r="H395" s="16"/>
    </row>
    <row r="396" spans="2:8">
      <c r="B396" s="5"/>
      <c r="H396" s="16"/>
    </row>
    <row r="397" spans="2:8">
      <c r="B397" s="5"/>
      <c r="H397" s="16"/>
    </row>
    <row r="398" spans="2:8">
      <c r="B398" s="5"/>
      <c r="H398" s="16"/>
    </row>
    <row r="399" spans="2:8">
      <c r="B399" s="5"/>
      <c r="H399" s="16"/>
    </row>
    <row r="400" spans="2:8">
      <c r="B400" s="5"/>
      <c r="H400" s="16"/>
    </row>
    <row r="401" spans="2:8">
      <c r="B401" s="5"/>
      <c r="H401" s="16"/>
    </row>
    <row r="402" spans="2:8">
      <c r="B402" s="5"/>
      <c r="H402" s="16"/>
    </row>
    <row r="403" spans="2:8">
      <c r="B403" s="5"/>
      <c r="H403" s="16"/>
    </row>
    <row r="404" spans="2:8">
      <c r="B404" s="5"/>
      <c r="H404" s="16"/>
    </row>
    <row r="405" spans="2:8">
      <c r="B405" s="5"/>
      <c r="H405" s="16"/>
    </row>
    <row r="406" spans="2:8">
      <c r="B406" s="5"/>
      <c r="H406" s="16"/>
    </row>
    <row r="407" spans="2:8">
      <c r="B407" s="5"/>
      <c r="H407" s="16"/>
    </row>
    <row r="408" spans="2:8">
      <c r="B408" s="5"/>
      <c r="H408" s="16"/>
    </row>
    <row r="409" spans="2:8">
      <c r="B409" s="5"/>
      <c r="H409" s="16"/>
    </row>
    <row r="410" spans="2:8">
      <c r="B410" s="5"/>
      <c r="H410" s="16"/>
    </row>
    <row r="411" spans="2:8">
      <c r="B411" s="5"/>
      <c r="H411" s="16"/>
    </row>
    <row r="412" spans="2:8">
      <c r="B412" s="5"/>
      <c r="H412" s="16"/>
    </row>
    <row r="413" spans="2:8">
      <c r="B413" s="5"/>
      <c r="H413" s="16"/>
    </row>
    <row r="414" spans="2:8">
      <c r="B414" s="5"/>
      <c r="H414" s="16"/>
    </row>
    <row r="415" spans="2:8">
      <c r="B415" s="5"/>
      <c r="H415" s="16"/>
    </row>
    <row r="416" spans="2:8">
      <c r="B416" s="5"/>
      <c r="H416" s="16"/>
    </row>
    <row r="417" spans="2:8">
      <c r="B417" s="5"/>
      <c r="H417" s="16"/>
    </row>
    <row r="418" spans="2:8">
      <c r="B418" s="5"/>
      <c r="H418" s="16"/>
    </row>
    <row r="419" spans="2:8">
      <c r="B419" s="5"/>
      <c r="H419" s="16"/>
    </row>
    <row r="420" spans="2:8">
      <c r="B420" s="5"/>
      <c r="H420" s="16"/>
    </row>
    <row r="421" spans="2:8">
      <c r="B421" s="5"/>
      <c r="H421" s="16"/>
    </row>
    <row r="422" spans="2:8">
      <c r="B422" s="5"/>
      <c r="H422" s="16"/>
    </row>
    <row r="423" spans="2:8">
      <c r="B423" s="5"/>
      <c r="H423" s="16"/>
    </row>
    <row r="424" spans="2:8">
      <c r="B424" s="5"/>
      <c r="H424" s="16"/>
    </row>
    <row r="425" spans="2:8">
      <c r="B425" s="5"/>
      <c r="H425" s="16"/>
    </row>
    <row r="426" spans="2:8">
      <c r="B426" s="5"/>
      <c r="H426" s="16"/>
    </row>
    <row r="427" spans="2:8">
      <c r="B427" s="5"/>
      <c r="H427" s="16"/>
    </row>
    <row r="428" spans="2:8">
      <c r="B428" s="5"/>
      <c r="H428" s="16"/>
    </row>
    <row r="429" spans="2:8">
      <c r="B429" s="5"/>
      <c r="H429" s="16"/>
    </row>
    <row r="430" spans="2:8">
      <c r="B430" s="5"/>
      <c r="H430" s="16"/>
    </row>
    <row r="431" spans="2:8">
      <c r="B431" s="5"/>
      <c r="H431" s="16"/>
    </row>
    <row r="432" spans="2:8">
      <c r="B432" s="5"/>
      <c r="H432" s="16"/>
    </row>
    <row r="433" spans="2:8">
      <c r="B433" s="5"/>
      <c r="H433" s="16"/>
    </row>
    <row r="434" spans="2:8">
      <c r="B434" s="5"/>
      <c r="H434" s="16"/>
    </row>
    <row r="435" spans="2:8">
      <c r="B435" s="5"/>
      <c r="H435" s="16"/>
    </row>
    <row r="436" spans="2:8">
      <c r="B436" s="5"/>
      <c r="H436" s="16"/>
    </row>
    <row r="437" spans="2:8">
      <c r="B437" s="5"/>
      <c r="H437" s="16"/>
    </row>
    <row r="438" spans="2:8">
      <c r="B438" s="5"/>
      <c r="H438" s="16"/>
    </row>
    <row r="439" spans="2:8">
      <c r="B439" s="5"/>
      <c r="H439" s="16"/>
    </row>
    <row r="440" spans="2:8">
      <c r="B440" s="5"/>
      <c r="H440" s="16"/>
    </row>
    <row r="441" spans="2:8">
      <c r="B441" s="5"/>
      <c r="H441" s="16"/>
    </row>
    <row r="442" spans="2:8">
      <c r="B442" s="5"/>
      <c r="H442" s="16"/>
    </row>
    <row r="443" spans="2:8">
      <c r="B443" s="5"/>
      <c r="H443" s="16"/>
    </row>
    <row r="444" spans="2:8">
      <c r="B444" s="5"/>
      <c r="H444" s="16"/>
    </row>
    <row r="445" spans="2:8">
      <c r="B445" s="5"/>
      <c r="H445" s="16"/>
    </row>
    <row r="446" spans="2:8">
      <c r="B446" s="5"/>
      <c r="H446" s="16"/>
    </row>
    <row r="447" spans="2:8">
      <c r="B447" s="5"/>
      <c r="H447" s="16"/>
    </row>
    <row r="448" spans="2:8">
      <c r="B448" s="5"/>
      <c r="H448" s="16"/>
    </row>
    <row r="449" spans="2:8">
      <c r="B449" s="5"/>
      <c r="H449" s="16"/>
    </row>
    <row r="450" spans="2:8">
      <c r="B450" s="5"/>
      <c r="H450" s="16"/>
    </row>
    <row r="451" spans="2:8">
      <c r="B451" s="5"/>
      <c r="H451" s="16"/>
    </row>
    <row r="452" spans="2:8">
      <c r="B452" s="5"/>
      <c r="H452" s="16"/>
    </row>
    <row r="453" spans="2:8">
      <c r="B453" s="5"/>
      <c r="H453" s="16"/>
    </row>
    <row r="454" spans="2:8">
      <c r="B454" s="5"/>
      <c r="H454" s="16"/>
    </row>
    <row r="455" spans="2:8">
      <c r="B455" s="5"/>
      <c r="H455" s="16"/>
    </row>
    <row r="456" spans="2:8">
      <c r="B456" s="5"/>
      <c r="H456" s="16"/>
    </row>
    <row r="457" spans="2:8">
      <c r="B457" s="5"/>
      <c r="H457" s="16"/>
    </row>
    <row r="458" spans="2:8">
      <c r="B458" s="5"/>
      <c r="H458" s="16"/>
    </row>
    <row r="459" spans="2:8">
      <c r="B459" s="5"/>
      <c r="H459" s="16"/>
    </row>
    <row r="460" spans="2:8">
      <c r="B460" s="5"/>
      <c r="H460" s="16"/>
    </row>
    <row r="461" spans="2:8">
      <c r="B461" s="5"/>
      <c r="H461" s="16"/>
    </row>
    <row r="462" spans="2:8">
      <c r="B462" s="5"/>
      <c r="H462" s="16"/>
    </row>
    <row r="463" spans="2:8">
      <c r="B463" s="5"/>
      <c r="H463" s="16"/>
    </row>
    <row r="464" spans="2:8">
      <c r="B464" s="5"/>
      <c r="H464" s="16"/>
    </row>
    <row r="465" spans="2:8">
      <c r="B465" s="5"/>
      <c r="H465" s="16"/>
    </row>
    <row r="466" spans="2:8">
      <c r="B466" s="5"/>
      <c r="H466" s="16"/>
    </row>
    <row r="467" spans="2:8">
      <c r="B467" s="5"/>
      <c r="H467" s="16"/>
    </row>
    <row r="468" spans="2:8">
      <c r="B468" s="5"/>
      <c r="H468" s="16"/>
    </row>
    <row r="469" spans="2:8">
      <c r="B469" s="5"/>
      <c r="H469" s="16"/>
    </row>
    <row r="470" spans="2:8">
      <c r="B470" s="5"/>
      <c r="H470" s="16"/>
    </row>
    <row r="471" spans="2:8">
      <c r="B471" s="5"/>
      <c r="H471" s="16"/>
    </row>
    <row r="472" spans="2:8">
      <c r="B472" s="5"/>
      <c r="H472" s="16"/>
    </row>
    <row r="473" spans="2:8">
      <c r="B473" s="5"/>
      <c r="H473" s="16"/>
    </row>
    <row r="474" spans="2:8">
      <c r="B474" s="5"/>
      <c r="H474" s="16"/>
    </row>
    <row r="475" spans="2:8">
      <c r="B475" s="5"/>
      <c r="H475" s="16"/>
    </row>
    <row r="476" spans="2:8">
      <c r="B476" s="5"/>
      <c r="H476" s="16"/>
    </row>
    <row r="477" spans="2:8">
      <c r="B477" s="5"/>
      <c r="H477" s="16"/>
    </row>
    <row r="478" spans="2:8">
      <c r="B478" s="5"/>
      <c r="H478" s="16"/>
    </row>
    <row r="479" spans="2:8">
      <c r="B479" s="5"/>
      <c r="H479" s="16"/>
    </row>
    <row r="480" spans="2:8">
      <c r="B480" s="5"/>
      <c r="H480" s="16"/>
    </row>
    <row r="481" spans="2:8">
      <c r="B481" s="5"/>
      <c r="H481" s="16"/>
    </row>
    <row r="482" spans="2:8">
      <c r="B482" s="5"/>
      <c r="H482" s="16"/>
    </row>
    <row r="483" spans="2:8">
      <c r="B483" s="5"/>
      <c r="H483" s="16"/>
    </row>
    <row r="484" spans="2:8">
      <c r="B484" s="5"/>
      <c r="H484" s="16"/>
    </row>
    <row r="485" spans="2:8">
      <c r="B485" s="5"/>
      <c r="H485" s="16"/>
    </row>
    <row r="486" spans="2:8">
      <c r="B486" s="5"/>
      <c r="H486" s="16"/>
    </row>
    <row r="487" spans="2:8">
      <c r="B487" s="5"/>
      <c r="H487" s="16"/>
    </row>
    <row r="488" spans="2:8">
      <c r="B488" s="5"/>
      <c r="H488" s="16"/>
    </row>
    <row r="489" spans="2:8">
      <c r="B489" s="5"/>
      <c r="H489" s="16"/>
    </row>
    <row r="490" spans="2:8">
      <c r="B490" s="5"/>
      <c r="H490" s="16"/>
    </row>
    <row r="491" spans="2:8">
      <c r="B491" s="5"/>
      <c r="H491" s="16"/>
    </row>
    <row r="492" spans="2:8">
      <c r="B492" s="5"/>
      <c r="H492" s="16"/>
    </row>
    <row r="493" spans="2:8">
      <c r="B493" s="5"/>
      <c r="H493" s="16"/>
    </row>
    <row r="494" spans="2:8">
      <c r="B494" s="5"/>
      <c r="H494" s="16"/>
    </row>
    <row r="495" spans="2:8">
      <c r="B495" s="5"/>
      <c r="H495" s="16"/>
    </row>
    <row r="496" spans="2:8">
      <c r="B496" s="5"/>
      <c r="H496" s="16"/>
    </row>
    <row r="497" spans="2:8">
      <c r="B497" s="5"/>
      <c r="H497" s="16"/>
    </row>
    <row r="498" spans="2:8">
      <c r="B498" s="5"/>
      <c r="H498" s="16"/>
    </row>
    <row r="499" spans="2:8">
      <c r="B499" s="5"/>
      <c r="H499" s="16"/>
    </row>
    <row r="500" spans="2:8">
      <c r="B500" s="5"/>
      <c r="H500" s="16"/>
    </row>
    <row r="501" spans="2:8">
      <c r="B501" s="5"/>
      <c r="H501" s="16"/>
    </row>
    <row r="502" spans="2:8">
      <c r="B502" s="5"/>
      <c r="H502" s="16"/>
    </row>
    <row r="503" spans="2:8">
      <c r="B503" s="5"/>
      <c r="H503" s="16"/>
    </row>
    <row r="504" spans="2:8">
      <c r="B504" s="5"/>
      <c r="H504" s="16"/>
    </row>
    <row r="505" spans="2:8">
      <c r="B505" s="5"/>
      <c r="H505" s="16"/>
    </row>
    <row r="506" spans="2:8">
      <c r="B506" s="5"/>
      <c r="H506" s="16"/>
    </row>
    <row r="507" spans="2:8">
      <c r="B507" s="5"/>
      <c r="H507" s="16"/>
    </row>
    <row r="508" spans="2:8">
      <c r="B508" s="5"/>
      <c r="H508" s="16"/>
    </row>
    <row r="509" spans="2:8">
      <c r="B509" s="5"/>
      <c r="H509" s="16"/>
    </row>
    <row r="510" spans="2:8">
      <c r="B510" s="5"/>
      <c r="H510" s="16"/>
    </row>
    <row r="511" spans="2:8">
      <c r="B511" s="5"/>
      <c r="H511" s="16"/>
    </row>
    <row r="512" spans="2:8">
      <c r="B512" s="5"/>
      <c r="H512" s="16"/>
    </row>
    <row r="513" spans="2:8">
      <c r="B513" s="5"/>
      <c r="H513" s="16"/>
    </row>
    <row r="514" spans="2:8">
      <c r="B514" s="5"/>
      <c r="H514" s="16"/>
    </row>
    <row r="515" spans="2:8">
      <c r="B515" s="5"/>
      <c r="H515" s="16"/>
    </row>
    <row r="516" spans="2:8">
      <c r="B516" s="5"/>
      <c r="H516" s="16"/>
    </row>
    <row r="517" spans="2:8">
      <c r="B517" s="5"/>
      <c r="H517" s="16"/>
    </row>
    <row r="518" spans="2:8">
      <c r="B518" s="5"/>
      <c r="H518" s="16"/>
    </row>
    <row r="519" spans="2:8">
      <c r="B519" s="5"/>
      <c r="H519" s="16"/>
    </row>
    <row r="520" spans="2:8">
      <c r="B520" s="5"/>
      <c r="H520" s="16"/>
    </row>
    <row r="521" spans="2:8">
      <c r="B521" s="5"/>
      <c r="H521" s="16"/>
    </row>
    <row r="522" spans="2:8">
      <c r="B522" s="5"/>
      <c r="H522" s="16"/>
    </row>
    <row r="523" spans="2:8">
      <c r="B523" s="5"/>
      <c r="H523" s="16"/>
    </row>
    <row r="524" spans="2:8">
      <c r="B524" s="5"/>
      <c r="H524" s="16"/>
    </row>
    <row r="525" spans="2:8">
      <c r="B525" s="5"/>
      <c r="H525" s="16"/>
    </row>
    <row r="526" spans="2:8">
      <c r="B526" s="5"/>
      <c r="H526" s="16"/>
    </row>
    <row r="527" spans="2:8">
      <c r="B527" s="5"/>
      <c r="H527" s="16"/>
    </row>
    <row r="528" spans="2:8">
      <c r="B528" s="5"/>
      <c r="H528" s="16"/>
    </row>
    <row r="529" spans="2:8">
      <c r="B529" s="5"/>
      <c r="H529" s="16"/>
    </row>
    <row r="530" spans="2:8">
      <c r="B530" s="5"/>
      <c r="H530" s="16"/>
    </row>
    <row r="531" spans="2:8">
      <c r="B531" s="5"/>
      <c r="H531" s="16"/>
    </row>
    <row r="532" spans="2:8">
      <c r="B532" s="5"/>
      <c r="H532" s="16"/>
    </row>
    <row r="533" spans="2:8">
      <c r="B533" s="5"/>
      <c r="H533" s="16"/>
    </row>
    <row r="534" spans="2:8">
      <c r="B534" s="5"/>
      <c r="H534" s="16"/>
    </row>
    <row r="535" spans="2:8">
      <c r="B535" s="5"/>
      <c r="H535" s="16"/>
    </row>
    <row r="536" spans="2:8">
      <c r="B536" s="5"/>
      <c r="H536" s="16"/>
    </row>
    <row r="537" spans="2:8">
      <c r="B537" s="5"/>
      <c r="H537" s="16"/>
    </row>
    <row r="538" spans="2:8">
      <c r="B538" s="5"/>
      <c r="H538" s="16"/>
    </row>
    <row r="539" spans="2:8">
      <c r="B539" s="5"/>
      <c r="H539" s="16"/>
    </row>
    <row r="540" spans="2:8">
      <c r="B540" s="5"/>
      <c r="H540" s="16"/>
    </row>
    <row r="541" spans="2:8">
      <c r="B541" s="5"/>
      <c r="H541" s="16"/>
    </row>
    <row r="542" spans="2:8">
      <c r="B542" s="5"/>
      <c r="H542" s="16"/>
    </row>
    <row r="543" spans="2:8">
      <c r="B543" s="5"/>
      <c r="H543" s="16"/>
    </row>
    <row r="544" spans="2:8">
      <c r="B544" s="5"/>
      <c r="H544" s="16"/>
    </row>
    <row r="545" spans="2:8">
      <c r="B545" s="5"/>
      <c r="H545" s="16"/>
    </row>
    <row r="546" spans="2:8">
      <c r="B546" s="5"/>
      <c r="H546" s="16"/>
    </row>
    <row r="547" spans="2:8">
      <c r="B547" s="5"/>
      <c r="H547" s="16"/>
    </row>
    <row r="548" spans="2:8">
      <c r="B548" s="5"/>
      <c r="H548" s="16"/>
    </row>
    <row r="549" spans="2:8">
      <c r="B549" s="5"/>
      <c r="H549" s="16"/>
    </row>
    <row r="550" spans="2:8">
      <c r="B550" s="5"/>
      <c r="H550" s="16"/>
    </row>
    <row r="551" spans="2:8">
      <c r="B551" s="5"/>
      <c r="H551" s="16"/>
    </row>
    <row r="552" spans="2:8">
      <c r="B552" s="5"/>
      <c r="H552" s="16"/>
    </row>
    <row r="553" spans="2:8">
      <c r="B553" s="5"/>
      <c r="H553" s="16"/>
    </row>
    <row r="554" spans="2:8">
      <c r="B554" s="5"/>
      <c r="H554" s="16"/>
    </row>
    <row r="555" spans="2:8">
      <c r="B555" s="5"/>
      <c r="H555" s="16"/>
    </row>
    <row r="556" spans="2:8">
      <c r="B556" s="5"/>
      <c r="H556" s="16"/>
    </row>
    <row r="557" spans="2:8">
      <c r="B557" s="5"/>
      <c r="H557" s="16"/>
    </row>
    <row r="558" spans="2:8">
      <c r="B558" s="5"/>
      <c r="H558" s="16"/>
    </row>
    <row r="559" spans="2:8">
      <c r="B559" s="5"/>
      <c r="H559" s="16"/>
    </row>
    <row r="560" spans="2:8">
      <c r="B560" s="5"/>
      <c r="H560" s="16"/>
    </row>
    <row r="561" spans="2:8">
      <c r="B561" s="5"/>
      <c r="H561" s="16"/>
    </row>
    <row r="562" spans="2:8">
      <c r="B562" s="5"/>
      <c r="H562" s="16"/>
    </row>
    <row r="563" spans="2:8">
      <c r="B563" s="5"/>
      <c r="H563" s="16"/>
    </row>
    <row r="564" spans="2:8">
      <c r="B564" s="5"/>
      <c r="H564" s="16"/>
    </row>
    <row r="565" spans="2:8">
      <c r="B565" s="5"/>
      <c r="H565" s="16"/>
    </row>
    <row r="566" spans="2:8">
      <c r="B566" s="5"/>
      <c r="H566" s="16"/>
    </row>
    <row r="567" spans="2:8">
      <c r="B567" s="5"/>
      <c r="H567" s="16"/>
    </row>
    <row r="568" spans="2:8">
      <c r="B568" s="5"/>
      <c r="H568" s="16"/>
    </row>
    <row r="569" spans="2:8">
      <c r="B569" s="5"/>
      <c r="H569" s="16"/>
    </row>
    <row r="570" spans="2:8">
      <c r="B570" s="5"/>
      <c r="H570" s="16"/>
    </row>
    <row r="571" spans="2:8">
      <c r="B571" s="5"/>
      <c r="H571" s="16"/>
    </row>
    <row r="572" spans="2:8">
      <c r="B572" s="5"/>
      <c r="H572" s="16"/>
    </row>
    <row r="573" spans="2:8">
      <c r="B573" s="5"/>
      <c r="H573" s="16"/>
    </row>
    <row r="574" spans="2:8">
      <c r="B574" s="5"/>
      <c r="H574" s="16"/>
    </row>
    <row r="575" spans="2:8">
      <c r="B575" s="5"/>
      <c r="H575" s="16"/>
    </row>
    <row r="576" spans="2:8">
      <c r="B576" s="5"/>
      <c r="H576" s="16"/>
    </row>
    <row r="577" spans="2:8">
      <c r="B577" s="5"/>
      <c r="H577" s="16"/>
    </row>
    <row r="578" spans="2:8">
      <c r="B578" s="5"/>
      <c r="H578" s="16"/>
    </row>
    <row r="579" spans="2:8">
      <c r="B579" s="5"/>
      <c r="H579" s="16"/>
    </row>
    <row r="580" spans="2:8">
      <c r="B580" s="5"/>
      <c r="H580" s="16"/>
    </row>
    <row r="581" spans="2:8">
      <c r="B581" s="5"/>
      <c r="H581" s="16"/>
    </row>
    <row r="582" spans="2:8">
      <c r="B582" s="5"/>
      <c r="H582" s="16"/>
    </row>
    <row r="583" spans="2:8">
      <c r="B583" s="5"/>
      <c r="H583" s="16"/>
    </row>
    <row r="584" spans="2:8">
      <c r="B584" s="5"/>
      <c r="H584" s="16"/>
    </row>
    <row r="585" spans="2:8">
      <c r="B585" s="5"/>
      <c r="H585" s="16"/>
    </row>
    <row r="586" spans="2:8">
      <c r="B586" s="5"/>
      <c r="H586" s="16"/>
    </row>
    <row r="587" spans="2:8">
      <c r="B587" s="5"/>
      <c r="H587" s="16"/>
    </row>
    <row r="588" spans="2:8">
      <c r="B588" s="5"/>
      <c r="H588" s="16"/>
    </row>
    <row r="589" spans="2:8">
      <c r="B589" s="5"/>
      <c r="H589" s="16"/>
    </row>
    <row r="590" spans="2:8">
      <c r="B590" s="5"/>
      <c r="H590" s="16"/>
    </row>
    <row r="591" spans="2:8">
      <c r="B591" s="5"/>
      <c r="H591" s="16"/>
    </row>
    <row r="592" spans="2:8">
      <c r="B592" s="5"/>
      <c r="H592" s="16"/>
    </row>
    <row r="593" spans="2:8">
      <c r="B593" s="5"/>
      <c r="H593" s="16"/>
    </row>
    <row r="594" spans="2:8">
      <c r="B594" s="5"/>
      <c r="H594" s="16"/>
    </row>
    <row r="595" spans="2:8">
      <c r="B595" s="5"/>
      <c r="H595" s="16"/>
    </row>
    <row r="596" spans="2:8">
      <c r="B596" s="5"/>
      <c r="H596" s="16"/>
    </row>
    <row r="597" spans="2:8">
      <c r="B597" s="5"/>
      <c r="H597" s="16"/>
    </row>
    <row r="598" spans="2:8">
      <c r="B598" s="5"/>
      <c r="H598" s="16"/>
    </row>
    <row r="599" spans="2:8">
      <c r="B599" s="5"/>
      <c r="H599" s="16"/>
    </row>
    <row r="600" spans="2:8">
      <c r="B600" s="5"/>
      <c r="H600" s="16"/>
    </row>
    <row r="601" spans="2:8">
      <c r="B601" s="5"/>
      <c r="H601" s="16"/>
    </row>
    <row r="602" spans="2:8">
      <c r="B602" s="5"/>
      <c r="H602" s="16"/>
    </row>
    <row r="603" spans="2:8">
      <c r="B603" s="5"/>
      <c r="H603" s="16"/>
    </row>
    <row r="604" spans="2:8">
      <c r="B604" s="5"/>
      <c r="H604" s="16"/>
    </row>
    <row r="605" spans="2:8">
      <c r="B605" s="5"/>
      <c r="H605" s="16"/>
    </row>
    <row r="606" spans="2:8">
      <c r="B606" s="5"/>
      <c r="H606" s="16"/>
    </row>
    <row r="607" spans="2:8">
      <c r="B607" s="5"/>
      <c r="H607" s="16"/>
    </row>
    <row r="608" spans="2:8">
      <c r="B608" s="5"/>
      <c r="H608" s="16"/>
    </row>
    <row r="609" spans="2:8">
      <c r="B609" s="5"/>
      <c r="H609" s="16"/>
    </row>
    <row r="610" spans="2:8">
      <c r="B610" s="5"/>
      <c r="H610" s="16"/>
    </row>
    <row r="611" spans="2:8">
      <c r="B611" s="5"/>
      <c r="H611" s="16"/>
    </row>
    <row r="612" spans="2:8">
      <c r="B612" s="5"/>
      <c r="H612" s="16"/>
    </row>
    <row r="613" spans="2:8">
      <c r="B613" s="5"/>
      <c r="H613" s="16"/>
    </row>
    <row r="614" spans="2:8">
      <c r="B614" s="5"/>
      <c r="H614" s="16"/>
    </row>
    <row r="615" spans="2:8">
      <c r="B615" s="5"/>
      <c r="H615" s="16"/>
    </row>
    <row r="616" spans="2:8">
      <c r="B616" s="5"/>
      <c r="H616" s="16"/>
    </row>
    <row r="617" spans="2:8">
      <c r="B617" s="5"/>
      <c r="H617" s="16"/>
    </row>
    <row r="618" spans="2:8">
      <c r="B618" s="5"/>
      <c r="H618" s="16"/>
    </row>
    <row r="619" spans="2:8">
      <c r="B619" s="5"/>
      <c r="H619" s="16"/>
    </row>
    <row r="620" spans="2:8">
      <c r="B620" s="5"/>
      <c r="H620" s="16"/>
    </row>
    <row r="621" spans="2:8">
      <c r="B621" s="5"/>
      <c r="H621" s="16"/>
    </row>
    <row r="622" spans="2:8">
      <c r="B622" s="5"/>
      <c r="H622" s="16"/>
    </row>
    <row r="623" spans="2:8">
      <c r="B623" s="5"/>
      <c r="H623" s="16"/>
    </row>
    <row r="624" spans="2:8">
      <c r="B624" s="5"/>
      <c r="H624" s="16"/>
    </row>
    <row r="625" spans="2:8">
      <c r="B625" s="5"/>
      <c r="H625" s="16"/>
    </row>
    <row r="626" spans="2:8">
      <c r="B626" s="5"/>
      <c r="H626" s="16"/>
    </row>
    <row r="627" spans="2:8">
      <c r="B627" s="5"/>
      <c r="H627" s="16"/>
    </row>
    <row r="628" spans="2:8">
      <c r="B628" s="5"/>
      <c r="H628" s="16"/>
    </row>
    <row r="629" spans="2:8">
      <c r="B629" s="5"/>
      <c r="H629" s="16"/>
    </row>
    <row r="630" spans="2:8">
      <c r="B630" s="5"/>
      <c r="H630" s="16"/>
    </row>
    <row r="631" spans="2:8">
      <c r="B631" s="5"/>
      <c r="H631" s="16"/>
    </row>
    <row r="632" spans="2:8">
      <c r="B632" s="5"/>
      <c r="H632" s="16"/>
    </row>
    <row r="633" spans="2:8">
      <c r="B633" s="5"/>
      <c r="H633" s="16"/>
    </row>
    <row r="634" spans="2:8">
      <c r="B634" s="5"/>
      <c r="H634" s="16"/>
    </row>
    <row r="635" spans="2:8">
      <c r="B635" s="5"/>
      <c r="H635" s="16"/>
    </row>
    <row r="636" spans="2:8">
      <c r="B636" s="5"/>
      <c r="H636" s="16"/>
    </row>
    <row r="637" spans="2:8">
      <c r="B637" s="5"/>
      <c r="H637" s="16"/>
    </row>
    <row r="638" spans="2:8">
      <c r="B638" s="5"/>
      <c r="H638" s="16"/>
    </row>
    <row r="639" spans="2:8">
      <c r="B639" s="5"/>
      <c r="H639" s="16"/>
    </row>
    <row r="640" spans="2:8">
      <c r="B640" s="5"/>
      <c r="H640" s="16"/>
    </row>
    <row r="641" spans="2:8">
      <c r="B641" s="5"/>
      <c r="H641" s="16"/>
    </row>
    <row r="642" spans="2:8">
      <c r="B642" s="5"/>
      <c r="H642" s="16"/>
    </row>
    <row r="643" spans="2:8">
      <c r="B643" s="5"/>
      <c r="H643" s="16"/>
    </row>
    <row r="644" spans="2:8">
      <c r="B644" s="5"/>
      <c r="H644" s="16"/>
    </row>
    <row r="645" spans="2:8">
      <c r="B645" s="5"/>
      <c r="H645" s="16"/>
    </row>
    <row r="646" spans="2:8">
      <c r="B646" s="5"/>
      <c r="H646" s="16"/>
    </row>
    <row r="647" spans="2:8">
      <c r="B647" s="5"/>
      <c r="H647" s="16"/>
    </row>
    <row r="648" spans="2:8">
      <c r="B648" s="5"/>
      <c r="H648" s="16"/>
    </row>
    <row r="649" spans="2:8">
      <c r="B649" s="5"/>
      <c r="H649" s="16"/>
    </row>
    <row r="650" spans="2:8">
      <c r="B650" s="5"/>
      <c r="H650" s="16"/>
    </row>
    <row r="651" spans="2:8">
      <c r="B651" s="5"/>
      <c r="H651" s="16"/>
    </row>
    <row r="652" spans="2:8">
      <c r="B652" s="5"/>
      <c r="H652" s="16"/>
    </row>
    <row r="653" spans="2:8">
      <c r="B653" s="5"/>
      <c r="H653" s="16"/>
    </row>
    <row r="654" spans="2:8">
      <c r="B654" s="5"/>
      <c r="H654" s="16"/>
    </row>
    <row r="655" spans="2:8">
      <c r="B655" s="5"/>
      <c r="H655" s="16"/>
    </row>
    <row r="656" spans="2:8">
      <c r="B656" s="5"/>
      <c r="H656" s="16"/>
    </row>
    <row r="657" spans="2:8">
      <c r="B657" s="5"/>
      <c r="H657" s="16"/>
    </row>
    <row r="658" spans="2:8">
      <c r="B658" s="5"/>
      <c r="H658" s="16"/>
    </row>
    <row r="659" spans="2:8">
      <c r="B659" s="5"/>
      <c r="H659" s="16"/>
    </row>
    <row r="660" spans="2:8">
      <c r="B660" s="5"/>
      <c r="H660" s="16"/>
    </row>
    <row r="661" spans="2:8">
      <c r="B661" s="5"/>
      <c r="H661" s="16"/>
    </row>
    <row r="662" spans="2:8">
      <c r="B662" s="5"/>
      <c r="H662" s="16"/>
    </row>
    <row r="663" spans="2:8">
      <c r="B663" s="5"/>
      <c r="H663" s="16"/>
    </row>
    <row r="664" spans="2:8">
      <c r="B664" s="5"/>
      <c r="H664" s="16"/>
    </row>
    <row r="665" spans="2:8">
      <c r="B665" s="5"/>
      <c r="H665" s="16"/>
    </row>
    <row r="666" spans="2:8">
      <c r="B666" s="5"/>
      <c r="H666" s="16"/>
    </row>
    <row r="667" spans="2:8">
      <c r="B667" s="5"/>
      <c r="H667" s="16"/>
    </row>
    <row r="668" spans="2:8">
      <c r="B668" s="5"/>
      <c r="H668" s="16"/>
    </row>
    <row r="669" spans="2:8">
      <c r="B669" s="5"/>
      <c r="H669" s="16"/>
    </row>
    <row r="670" spans="2:8">
      <c r="B670" s="5"/>
      <c r="H670" s="16"/>
    </row>
    <row r="671" spans="2:8">
      <c r="B671" s="5"/>
      <c r="H671" s="16"/>
    </row>
    <row r="672" spans="2:8">
      <c r="B672" s="5"/>
      <c r="H672" s="16"/>
    </row>
    <row r="673" spans="2:8">
      <c r="B673" s="5"/>
      <c r="H673" s="16"/>
    </row>
    <row r="674" spans="2:8">
      <c r="B674" s="5"/>
      <c r="H674" s="16"/>
    </row>
    <row r="675" spans="2:8">
      <c r="B675" s="5"/>
      <c r="H675" s="16"/>
    </row>
    <row r="676" spans="2:8">
      <c r="B676" s="5"/>
      <c r="H676" s="16"/>
    </row>
    <row r="677" spans="2:8">
      <c r="B677" s="5"/>
      <c r="H677" s="16"/>
    </row>
    <row r="678" spans="2:8">
      <c r="B678" s="5"/>
      <c r="H678" s="16"/>
    </row>
    <row r="679" spans="2:8">
      <c r="B679" s="5"/>
      <c r="H679" s="16"/>
    </row>
    <row r="680" spans="2:8">
      <c r="B680" s="5"/>
      <c r="H680" s="16"/>
    </row>
    <row r="681" spans="2:8">
      <c r="B681" s="5"/>
      <c r="H681" s="16"/>
    </row>
    <row r="682" spans="2:8">
      <c r="B682" s="5"/>
      <c r="H682" s="16"/>
    </row>
    <row r="683" spans="2:8">
      <c r="B683" s="5"/>
      <c r="H683" s="16"/>
    </row>
    <row r="684" spans="2:8">
      <c r="B684" s="5"/>
      <c r="H684" s="16"/>
    </row>
    <row r="685" spans="2:8">
      <c r="B685" s="5"/>
      <c r="H685" s="16"/>
    </row>
    <row r="686" spans="2:8">
      <c r="B686" s="5"/>
      <c r="H686" s="16"/>
    </row>
    <row r="687" spans="2:8">
      <c r="B687" s="5"/>
      <c r="H687" s="16"/>
    </row>
    <row r="688" spans="2:8">
      <c r="B688" s="5"/>
      <c r="H688" s="16"/>
    </row>
    <row r="689" spans="2:8">
      <c r="B689" s="5"/>
      <c r="H689" s="16"/>
    </row>
    <row r="690" spans="2:8">
      <c r="B690" s="5"/>
      <c r="H690" s="16"/>
    </row>
    <row r="691" spans="2:8">
      <c r="B691" s="5"/>
      <c r="H691" s="16"/>
    </row>
    <row r="692" spans="2:8">
      <c r="B692" s="5"/>
      <c r="H692" s="16"/>
    </row>
    <row r="693" spans="2:8">
      <c r="B693" s="5"/>
      <c r="H693" s="16"/>
    </row>
    <row r="694" spans="2:8">
      <c r="B694" s="5"/>
      <c r="H694" s="16"/>
    </row>
    <row r="695" spans="2:8">
      <c r="B695" s="5"/>
      <c r="H695" s="16"/>
    </row>
    <row r="696" spans="2:8">
      <c r="B696" s="5"/>
      <c r="H696" s="16"/>
    </row>
    <row r="697" spans="2:8">
      <c r="B697" s="5"/>
      <c r="H697" s="16"/>
    </row>
    <row r="698" spans="2:8">
      <c r="B698" s="5"/>
      <c r="H698" s="16"/>
    </row>
    <row r="699" spans="2:8">
      <c r="B699" s="5"/>
      <c r="H699" s="16"/>
    </row>
    <row r="700" spans="2:8">
      <c r="B700" s="5"/>
      <c r="H700" s="16"/>
    </row>
    <row r="701" spans="2:8">
      <c r="B701" s="5"/>
      <c r="H701" s="16"/>
    </row>
    <row r="702" spans="2:8">
      <c r="B702" s="5"/>
      <c r="H702" s="16"/>
    </row>
    <row r="703" spans="2:8">
      <c r="B703" s="5"/>
      <c r="H703" s="16"/>
    </row>
    <row r="704" spans="2:8">
      <c r="B704" s="5"/>
      <c r="H704" s="16"/>
    </row>
    <row r="705" spans="2:8">
      <c r="B705" s="5"/>
      <c r="H705" s="16"/>
    </row>
    <row r="706" spans="2:8">
      <c r="B706" s="5"/>
      <c r="H706" s="16"/>
    </row>
    <row r="707" spans="2:8">
      <c r="B707" s="5"/>
      <c r="H707" s="16"/>
    </row>
    <row r="708" spans="2:8">
      <c r="B708" s="5"/>
      <c r="H708" s="16"/>
    </row>
    <row r="709" spans="2:8">
      <c r="B709" s="5"/>
      <c r="H709" s="16"/>
    </row>
    <row r="710" spans="2:8">
      <c r="B710" s="5"/>
      <c r="H710" s="16"/>
    </row>
    <row r="711" spans="2:8">
      <c r="B711" s="5"/>
      <c r="H711" s="16"/>
    </row>
    <row r="712" spans="2:8">
      <c r="B712" s="5"/>
      <c r="H712" s="16"/>
    </row>
    <row r="713" spans="2:8">
      <c r="B713" s="5"/>
      <c r="H713" s="16"/>
    </row>
    <row r="714" spans="2:8">
      <c r="B714" s="5"/>
      <c r="H714" s="16"/>
    </row>
    <row r="715" spans="2:8">
      <c r="B715" s="5"/>
      <c r="H715" s="16"/>
    </row>
    <row r="716" spans="2:8">
      <c r="B716" s="5"/>
      <c r="H716" s="16"/>
    </row>
    <row r="717" spans="2:8">
      <c r="B717" s="5"/>
      <c r="H717" s="16"/>
    </row>
    <row r="718" spans="2:8">
      <c r="B718" s="5"/>
      <c r="H718" s="16"/>
    </row>
    <row r="719" spans="2:8">
      <c r="B719" s="5"/>
      <c r="H719" s="16"/>
    </row>
    <row r="720" spans="2:8">
      <c r="B720" s="5"/>
      <c r="H720" s="16"/>
    </row>
    <row r="721" spans="2:8">
      <c r="B721" s="5"/>
      <c r="H721" s="16"/>
    </row>
    <row r="722" spans="2:8">
      <c r="B722" s="5"/>
      <c r="H722" s="16"/>
    </row>
    <row r="723" spans="2:8">
      <c r="B723" s="5"/>
      <c r="H723" s="16"/>
    </row>
    <row r="724" spans="2:8">
      <c r="B724" s="5"/>
      <c r="H724" s="16"/>
    </row>
    <row r="725" spans="2:8">
      <c r="B725" s="5"/>
      <c r="H725" s="16"/>
    </row>
    <row r="726" spans="2:8">
      <c r="B726" s="5"/>
      <c r="H726" s="16"/>
    </row>
    <row r="727" spans="2:8">
      <c r="B727" s="5"/>
      <c r="H727" s="16"/>
    </row>
    <row r="728" spans="2:8">
      <c r="B728" s="5"/>
      <c r="H728" s="16"/>
    </row>
    <row r="729" spans="2:8">
      <c r="B729" s="5"/>
      <c r="H729" s="16"/>
    </row>
    <row r="730" spans="2:8">
      <c r="B730" s="5"/>
      <c r="H730" s="16"/>
    </row>
    <row r="731" spans="2:8">
      <c r="B731" s="5"/>
      <c r="H731" s="16"/>
    </row>
    <row r="732" spans="2:8">
      <c r="B732" s="5"/>
      <c r="H732" s="16"/>
    </row>
    <row r="733" spans="2:8">
      <c r="B733" s="5"/>
      <c r="H733" s="16"/>
    </row>
    <row r="734" spans="2:8">
      <c r="B734" s="5"/>
      <c r="H734" s="16"/>
    </row>
    <row r="735" spans="2:8">
      <c r="B735" s="5"/>
      <c r="H735" s="16"/>
    </row>
    <row r="736" spans="2:8">
      <c r="B736" s="5"/>
      <c r="H736" s="16"/>
    </row>
    <row r="737" spans="2:8">
      <c r="B737" s="5"/>
      <c r="H737" s="16"/>
    </row>
    <row r="738" spans="2:8">
      <c r="B738" s="5"/>
      <c r="H738" s="16"/>
    </row>
    <row r="739" spans="2:8">
      <c r="B739" s="5"/>
      <c r="H739" s="16"/>
    </row>
    <row r="740" spans="2:8">
      <c r="B740" s="5"/>
      <c r="H740" s="16"/>
    </row>
    <row r="741" spans="2:8">
      <c r="B741" s="5"/>
      <c r="H741" s="16"/>
    </row>
    <row r="742" spans="2:8">
      <c r="B742" s="5"/>
      <c r="H742" s="16"/>
    </row>
    <row r="743" spans="2:8">
      <c r="B743" s="5"/>
      <c r="H743" s="16"/>
    </row>
    <row r="744" spans="2:8">
      <c r="B744" s="5"/>
      <c r="H744" s="16"/>
    </row>
    <row r="745" spans="2:8">
      <c r="B745" s="5"/>
      <c r="H745" s="16"/>
    </row>
    <row r="746" spans="2:8">
      <c r="B746" s="5"/>
      <c r="H746" s="16"/>
    </row>
    <row r="747" spans="2:8">
      <c r="B747" s="5"/>
      <c r="H747" s="16"/>
    </row>
    <row r="748" spans="2:8">
      <c r="B748" s="5"/>
      <c r="H748" s="16"/>
    </row>
    <row r="749" spans="2:8">
      <c r="B749" s="5"/>
      <c r="H749" s="16"/>
    </row>
    <row r="750" spans="2:8">
      <c r="B750" s="5"/>
      <c r="H750" s="16"/>
    </row>
    <row r="751" spans="2:8">
      <c r="B751" s="5"/>
      <c r="H751" s="16"/>
    </row>
    <row r="752" spans="2:8">
      <c r="B752" s="5"/>
      <c r="H752" s="16"/>
    </row>
    <row r="753" spans="2:8">
      <c r="B753" s="5"/>
      <c r="H753" s="16"/>
    </row>
    <row r="754" spans="2:8">
      <c r="B754" s="5"/>
      <c r="H754" s="16"/>
    </row>
    <row r="755" spans="2:8">
      <c r="B755" s="5"/>
      <c r="H755" s="16"/>
    </row>
    <row r="756" spans="2:8">
      <c r="B756" s="5"/>
      <c r="H756" s="16"/>
    </row>
    <row r="757" spans="2:8">
      <c r="B757" s="5"/>
      <c r="H757" s="16"/>
    </row>
    <row r="758" spans="2:8">
      <c r="B758" s="5"/>
      <c r="H758" s="16"/>
    </row>
    <row r="759" spans="2:8">
      <c r="B759" s="5"/>
      <c r="H759" s="16"/>
    </row>
    <row r="760" spans="2:8">
      <c r="B760" s="5"/>
      <c r="H760" s="16"/>
    </row>
    <row r="761" spans="2:8">
      <c r="B761" s="5"/>
      <c r="H761" s="16"/>
    </row>
    <row r="762" spans="2:8">
      <c r="B762" s="5"/>
      <c r="H762" s="16"/>
    </row>
    <row r="763" spans="2:8">
      <c r="B763" s="5"/>
      <c r="H763" s="16"/>
    </row>
    <row r="764" spans="2:8">
      <c r="B764" s="5"/>
      <c r="H764" s="16"/>
    </row>
    <row r="765" spans="2:8">
      <c r="B765" s="5"/>
      <c r="H765" s="16"/>
    </row>
    <row r="766" spans="2:8">
      <c r="B766" s="5"/>
      <c r="H766" s="16"/>
    </row>
    <row r="767" spans="2:8">
      <c r="B767" s="5"/>
      <c r="H767" s="16"/>
    </row>
    <row r="768" spans="2:8">
      <c r="B768" s="5"/>
      <c r="H768" s="16"/>
    </row>
    <row r="769" spans="2:8">
      <c r="B769" s="5"/>
      <c r="H769" s="16"/>
    </row>
    <row r="770" spans="2:8">
      <c r="B770" s="5"/>
      <c r="H770" s="16"/>
    </row>
    <row r="771" spans="2:8">
      <c r="B771" s="5"/>
      <c r="H771" s="16"/>
    </row>
    <row r="772" spans="2:8">
      <c r="B772" s="5"/>
      <c r="H772" s="16"/>
    </row>
    <row r="773" spans="2:8">
      <c r="B773" s="5"/>
      <c r="H773" s="16"/>
    </row>
    <row r="774" spans="2:8">
      <c r="B774" s="5"/>
      <c r="H774" s="16"/>
    </row>
    <row r="775" spans="2:8">
      <c r="B775" s="5"/>
      <c r="H775" s="16"/>
    </row>
    <row r="776" spans="2:8">
      <c r="B776" s="5"/>
      <c r="H776" s="16"/>
    </row>
    <row r="777" spans="2:8">
      <c r="B777" s="5"/>
      <c r="H777" s="16"/>
    </row>
    <row r="778" spans="2:8">
      <c r="B778" s="5"/>
      <c r="H778" s="16"/>
    </row>
    <row r="779" spans="2:8">
      <c r="B779" s="5"/>
      <c r="H779" s="16"/>
    </row>
    <row r="780" spans="2:8">
      <c r="B780" s="5"/>
      <c r="H780" s="16"/>
    </row>
    <row r="781" spans="2:8">
      <c r="B781" s="5"/>
      <c r="H781" s="16"/>
    </row>
    <row r="782" spans="2:8">
      <c r="B782" s="5"/>
      <c r="H782" s="16"/>
    </row>
    <row r="783" spans="2:8">
      <c r="B783" s="5"/>
      <c r="H783" s="16"/>
    </row>
    <row r="784" spans="2:8">
      <c r="B784" s="5"/>
      <c r="H784" s="16"/>
    </row>
    <row r="785" spans="2:8">
      <c r="B785" s="5"/>
      <c r="H785" s="16"/>
    </row>
    <row r="786" spans="2:8">
      <c r="B786" s="5"/>
      <c r="H786" s="16"/>
    </row>
    <row r="787" spans="2:8">
      <c r="B787" s="5"/>
      <c r="H787" s="16"/>
    </row>
    <row r="788" spans="2:8">
      <c r="B788" s="5"/>
      <c r="H788" s="16"/>
    </row>
    <row r="789" spans="2:8">
      <c r="B789" s="5"/>
      <c r="H789" s="16"/>
    </row>
    <row r="790" spans="2:8">
      <c r="B790" s="5"/>
      <c r="H790" s="16"/>
    </row>
    <row r="791" spans="2:8">
      <c r="B791" s="5"/>
      <c r="H791" s="16"/>
    </row>
    <row r="792" spans="2:8">
      <c r="B792" s="5"/>
      <c r="H792" s="16"/>
    </row>
    <row r="793" spans="2:8">
      <c r="B793" s="5"/>
      <c r="H793" s="16"/>
    </row>
    <row r="794" spans="2:8">
      <c r="B794" s="5"/>
      <c r="H794" s="16"/>
    </row>
    <row r="795" spans="2:8">
      <c r="B795" s="5"/>
      <c r="H795" s="16"/>
    </row>
    <row r="796" spans="2:8">
      <c r="B796" s="5"/>
      <c r="H796" s="16"/>
    </row>
    <row r="797" spans="2:8">
      <c r="B797" s="5"/>
      <c r="H797" s="16"/>
    </row>
    <row r="798" spans="2:8">
      <c r="B798" s="5"/>
      <c r="H798" s="16"/>
    </row>
    <row r="799" spans="2:8">
      <c r="B799" s="5"/>
      <c r="H799" s="16"/>
    </row>
    <row r="800" spans="2:8">
      <c r="B800" s="5"/>
      <c r="H800" s="16"/>
    </row>
    <row r="801" spans="2:8">
      <c r="B801" s="5"/>
      <c r="H801" s="16"/>
    </row>
    <row r="802" spans="2:8">
      <c r="B802" s="5"/>
      <c r="H802" s="16"/>
    </row>
    <row r="803" spans="2:8">
      <c r="B803" s="5"/>
      <c r="H803" s="16"/>
    </row>
    <row r="804" spans="2:8">
      <c r="B804" s="5"/>
      <c r="H804" s="16"/>
    </row>
    <row r="805" spans="2:8">
      <c r="B805" s="5"/>
      <c r="H805" s="16"/>
    </row>
    <row r="806" spans="2:8">
      <c r="B806" s="5"/>
      <c r="H806" s="16"/>
    </row>
    <row r="807" spans="2:8">
      <c r="B807" s="5"/>
      <c r="H807" s="16"/>
    </row>
    <row r="808" spans="2:8">
      <c r="B808" s="5"/>
      <c r="H808" s="16"/>
    </row>
    <row r="809" spans="2:8">
      <c r="B809" s="5"/>
      <c r="H809" s="16"/>
    </row>
    <row r="810" spans="2:8">
      <c r="B810" s="5"/>
      <c r="H810" s="16"/>
    </row>
    <row r="811" spans="2:8">
      <c r="B811" s="5"/>
      <c r="H811" s="16"/>
    </row>
    <row r="812" spans="2:8">
      <c r="B812" s="5"/>
      <c r="H812" s="16"/>
    </row>
    <row r="813" spans="2:8">
      <c r="B813" s="5"/>
      <c r="H813" s="16"/>
    </row>
    <row r="814" spans="2:8">
      <c r="B814" s="5"/>
      <c r="H814" s="16"/>
    </row>
    <row r="815" spans="2:8">
      <c r="B815" s="5"/>
      <c r="H815" s="16"/>
    </row>
    <row r="816" spans="2:8">
      <c r="B816" s="5"/>
      <c r="H816" s="16"/>
    </row>
    <row r="817" spans="2:8">
      <c r="B817" s="5"/>
      <c r="H817" s="16"/>
    </row>
    <row r="818" spans="2:8">
      <c r="B818" s="5"/>
      <c r="H818" s="16"/>
    </row>
    <row r="819" spans="2:8">
      <c r="B819" s="5"/>
      <c r="H819" s="16"/>
    </row>
    <row r="820" spans="2:8">
      <c r="B820" s="5"/>
      <c r="H820" s="16"/>
    </row>
    <row r="821" spans="2:8">
      <c r="B821" s="5"/>
      <c r="H821" s="16"/>
    </row>
    <row r="822" spans="2:8">
      <c r="B822" s="5"/>
      <c r="H822" s="16"/>
    </row>
    <row r="823" spans="2:8">
      <c r="B823" s="5"/>
      <c r="H823" s="16"/>
    </row>
    <row r="824" spans="2:8">
      <c r="B824" s="5"/>
      <c r="H824" s="16"/>
    </row>
    <row r="825" spans="2:8">
      <c r="B825" s="5"/>
      <c r="H825" s="16"/>
    </row>
    <row r="826" spans="2:8">
      <c r="B826" s="5"/>
      <c r="H826" s="16"/>
    </row>
    <row r="827" spans="2:8">
      <c r="B827" s="5"/>
      <c r="H827" s="16"/>
    </row>
    <row r="828" spans="2:8">
      <c r="B828" s="5"/>
      <c r="H828" s="16"/>
    </row>
    <row r="829" spans="2:8">
      <c r="B829" s="5"/>
      <c r="H829" s="16"/>
    </row>
    <row r="830" spans="2:8">
      <c r="B830" s="5"/>
      <c r="H830" s="16"/>
    </row>
    <row r="831" spans="2:8">
      <c r="B831" s="5"/>
      <c r="H831" s="16"/>
    </row>
    <row r="832" spans="2:8">
      <c r="B832" s="5"/>
      <c r="H832" s="16"/>
    </row>
    <row r="833" spans="2:8">
      <c r="B833" s="5"/>
      <c r="H833" s="16"/>
    </row>
    <row r="834" spans="2:8">
      <c r="B834" s="5"/>
      <c r="H834" s="16"/>
    </row>
    <row r="835" spans="2:8">
      <c r="B835" s="5"/>
      <c r="H835" s="16"/>
    </row>
    <row r="836" spans="2:8">
      <c r="B836" s="5"/>
      <c r="H836" s="16"/>
    </row>
    <row r="837" spans="2:8">
      <c r="B837" s="5"/>
      <c r="H837" s="16"/>
    </row>
    <row r="838" spans="2:8">
      <c r="B838" s="5"/>
      <c r="H838" s="16"/>
    </row>
    <row r="839" spans="2:8">
      <c r="B839" s="5"/>
      <c r="H839" s="16"/>
    </row>
    <row r="840" spans="2:8">
      <c r="B840" s="5"/>
      <c r="H840" s="16"/>
    </row>
    <row r="841" spans="2:8">
      <c r="B841" s="5"/>
      <c r="H841" s="16"/>
    </row>
    <row r="842" spans="2:8">
      <c r="B842" s="5"/>
      <c r="H842" s="16"/>
    </row>
    <row r="843" spans="2:8">
      <c r="B843" s="5"/>
      <c r="H843" s="16"/>
    </row>
    <row r="844" spans="2:8">
      <c r="B844" s="5"/>
      <c r="H844" s="16"/>
    </row>
    <row r="845" spans="2:8">
      <c r="B845" s="5"/>
      <c r="H845" s="16"/>
    </row>
    <row r="846" spans="2:8">
      <c r="B846" s="5"/>
      <c r="H846" s="16"/>
    </row>
    <row r="847" spans="2:8">
      <c r="B847" s="5"/>
      <c r="H847" s="16"/>
    </row>
    <row r="848" spans="2:8">
      <c r="B848" s="5"/>
      <c r="H848" s="16"/>
    </row>
    <row r="849" spans="2:8">
      <c r="B849" s="5"/>
      <c r="H849" s="16"/>
    </row>
    <row r="850" spans="2:8">
      <c r="B850" s="5"/>
      <c r="H850" s="16"/>
    </row>
    <row r="851" spans="2:8">
      <c r="B851" s="5"/>
      <c r="H851" s="16"/>
    </row>
    <row r="852" spans="2:8">
      <c r="B852" s="5"/>
      <c r="H852" s="16"/>
    </row>
    <row r="853" spans="2:8">
      <c r="B853" s="5"/>
      <c r="H853" s="16"/>
    </row>
    <row r="854" spans="2:8">
      <c r="B854" s="5"/>
      <c r="H854" s="16"/>
    </row>
    <row r="855" spans="2:8">
      <c r="B855" s="5"/>
      <c r="H855" s="16"/>
    </row>
    <row r="856" spans="2:8">
      <c r="B856" s="5"/>
      <c r="H856" s="16"/>
    </row>
    <row r="857" spans="2:8">
      <c r="B857" s="5"/>
      <c r="H857" s="16"/>
    </row>
    <row r="858" spans="2:8">
      <c r="B858" s="5"/>
      <c r="H858" s="16"/>
    </row>
    <row r="859" spans="2:8">
      <c r="B859" s="5"/>
      <c r="H859" s="16"/>
    </row>
    <row r="860" spans="2:8">
      <c r="B860" s="5"/>
      <c r="H860" s="16"/>
    </row>
    <row r="861" spans="2:8">
      <c r="B861" s="5"/>
      <c r="H861" s="16"/>
    </row>
    <row r="862" spans="2:8">
      <c r="B862" s="5"/>
      <c r="H862" s="16"/>
    </row>
    <row r="863" spans="2:8">
      <c r="B863" s="5"/>
      <c r="H863" s="16"/>
    </row>
    <row r="864" spans="2:8">
      <c r="B864" s="5"/>
      <c r="H864" s="16"/>
    </row>
    <row r="865" spans="2:8">
      <c r="B865" s="5"/>
      <c r="H865" s="16"/>
    </row>
    <row r="866" spans="2:8">
      <c r="B866" s="5"/>
      <c r="H866" s="16"/>
    </row>
    <row r="867" spans="2:8">
      <c r="B867" s="5"/>
      <c r="H867" s="16"/>
    </row>
    <row r="868" spans="2:8">
      <c r="B868" s="5"/>
      <c r="H868" s="16"/>
    </row>
    <row r="869" spans="2:8">
      <c r="B869" s="5"/>
      <c r="H869" s="16"/>
    </row>
    <row r="870" spans="2:8">
      <c r="B870" s="5"/>
      <c r="H870" s="16"/>
    </row>
    <row r="871" spans="2:8">
      <c r="B871" s="5"/>
      <c r="H871" s="16"/>
    </row>
    <row r="872" spans="2:8">
      <c r="B872" s="5"/>
      <c r="H872" s="16"/>
    </row>
    <row r="873" spans="2:8">
      <c r="B873" s="5"/>
      <c r="H873" s="16"/>
    </row>
    <row r="874" spans="2:8">
      <c r="B874" s="5"/>
      <c r="H874" s="16"/>
    </row>
    <row r="875" spans="2:8">
      <c r="B875" s="5"/>
      <c r="H875" s="16"/>
    </row>
    <row r="876" spans="2:8">
      <c r="B876" s="5"/>
      <c r="H876" s="16"/>
    </row>
    <row r="877" spans="2:8">
      <c r="B877" s="5"/>
      <c r="H877" s="16"/>
    </row>
    <row r="878" spans="2:8">
      <c r="B878" s="5"/>
      <c r="H878" s="16"/>
    </row>
    <row r="879" spans="2:8">
      <c r="B879" s="5"/>
      <c r="H879" s="16"/>
    </row>
    <row r="880" spans="2:8">
      <c r="B880" s="5"/>
      <c r="H880" s="16"/>
    </row>
    <row r="881" spans="2:8">
      <c r="B881" s="5"/>
      <c r="H881" s="16"/>
    </row>
    <row r="882" spans="2:8">
      <c r="B882" s="5"/>
      <c r="H882" s="16"/>
    </row>
    <row r="883" spans="2:8">
      <c r="B883" s="5"/>
      <c r="H883" s="16"/>
    </row>
    <row r="884" spans="2:8">
      <c r="B884" s="5"/>
      <c r="H884" s="16"/>
    </row>
    <row r="885" spans="2:8">
      <c r="B885" s="5"/>
      <c r="H885" s="16"/>
    </row>
    <row r="886" spans="2:8">
      <c r="B886" s="5"/>
      <c r="H886" s="16"/>
    </row>
    <row r="887" spans="2:8">
      <c r="B887" s="5"/>
      <c r="H887" s="16"/>
    </row>
    <row r="888" spans="2:8">
      <c r="B888" s="5"/>
      <c r="H888" s="16"/>
    </row>
    <row r="889" spans="2:8">
      <c r="B889" s="5"/>
      <c r="H889" s="16"/>
    </row>
    <row r="890" spans="2:8">
      <c r="B890" s="5"/>
      <c r="H890" s="16"/>
    </row>
    <row r="891" spans="2:8">
      <c r="B891" s="5"/>
      <c r="H891" s="16"/>
    </row>
    <row r="892" spans="2:8">
      <c r="B892" s="5"/>
      <c r="H892" s="16"/>
    </row>
  </sheetData>
  <mergeCells count="27">
    <mergeCell ref="C50:F50"/>
    <mergeCell ref="C44:F44"/>
    <mergeCell ref="C45:F45"/>
    <mergeCell ref="C46:F46"/>
    <mergeCell ref="C48:F48"/>
    <mergeCell ref="C49:F49"/>
    <mergeCell ref="C47:F47"/>
    <mergeCell ref="A4:H4"/>
    <mergeCell ref="A38:F38"/>
    <mergeCell ref="C41:F41"/>
    <mergeCell ref="C42:F42"/>
    <mergeCell ref="C43:F43"/>
    <mergeCell ref="A10:F10"/>
    <mergeCell ref="A17:F17"/>
    <mergeCell ref="A23:F23"/>
    <mergeCell ref="A29:F29"/>
    <mergeCell ref="A35:F35"/>
    <mergeCell ref="G41:H41"/>
    <mergeCell ref="G42:H42"/>
    <mergeCell ref="G43:H43"/>
    <mergeCell ref="G49:H49"/>
    <mergeCell ref="G50:H50"/>
    <mergeCell ref="G44:H44"/>
    <mergeCell ref="G45:H45"/>
    <mergeCell ref="G46:H46"/>
    <mergeCell ref="G47:H47"/>
    <mergeCell ref="G48:H48"/>
  </mergeCells>
  <phoneticPr fontId="24" type="noConversion"/>
  <dataValidations count="1">
    <dataValidation type="list" allowBlank="1" showInputMessage="1" showErrorMessage="1" sqref="B42:B48" xr:uid="{00000000-0002-0000-1300-000000000000}">
      <formula1>$L$41:$L$45</formula1>
    </dataValidation>
  </dataValidations>
  <pageMargins left="0.7" right="0.7" top="0.75" bottom="0.75" header="0.3" footer="0.3"/>
  <pageSetup scale="46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L892"/>
  <sheetViews>
    <sheetView showZeros="0" zoomScale="75" zoomScaleNormal="75" workbookViewId="0">
      <selection activeCell="A10" sqref="A10:F10"/>
    </sheetView>
  </sheetViews>
  <sheetFormatPr defaultColWidth="10.875" defaultRowHeight="18.95"/>
  <cols>
    <col min="1" max="1" width="35.625" customWidth="1"/>
    <col min="2" max="2" width="14.625" style="16" customWidth="1"/>
    <col min="3" max="7" width="15.875" style="5" customWidth="1"/>
    <col min="8" max="8" width="15.875" style="17" customWidth="1"/>
    <col min="9" max="9" width="10.875" style="5"/>
    <col min="10" max="12" width="0" style="5" hidden="1" customWidth="1"/>
    <col min="13" max="16384" width="10.875" style="5"/>
  </cols>
  <sheetData>
    <row r="1" spans="1:10" customFormat="1" ht="15.95">
      <c r="A1" s="41"/>
      <c r="B1" s="42"/>
      <c r="C1" s="43"/>
      <c r="D1" s="43"/>
      <c r="E1" s="45" t="s">
        <v>25</v>
      </c>
      <c r="F1" s="43"/>
      <c r="G1" s="45" t="s">
        <v>26</v>
      </c>
      <c r="H1" s="44"/>
    </row>
    <row r="2" spans="1:10">
      <c r="A2" s="30"/>
      <c r="B2" s="18" t="s">
        <v>27</v>
      </c>
      <c r="C2" s="18" t="s">
        <v>28</v>
      </c>
      <c r="D2" s="18" t="s">
        <v>65</v>
      </c>
      <c r="E2" s="18" t="s">
        <v>30</v>
      </c>
      <c r="F2" s="18" t="s">
        <v>66</v>
      </c>
      <c r="G2" s="18" t="s">
        <v>32</v>
      </c>
      <c r="H2" s="18" t="s">
        <v>33</v>
      </c>
    </row>
    <row r="3" spans="1:10" ht="21" customHeight="1">
      <c r="A3" s="31" t="s">
        <v>7</v>
      </c>
      <c r="B3" s="6">
        <f>'Week 16'!H3+1</f>
        <v>46005</v>
      </c>
      <c r="C3" s="6">
        <f t="shared" ref="C3:H3" si="0">B3+1</f>
        <v>46006</v>
      </c>
      <c r="D3" s="6">
        <f t="shared" si="0"/>
        <v>46007</v>
      </c>
      <c r="E3" s="6">
        <f t="shared" si="0"/>
        <v>46008</v>
      </c>
      <c r="F3" s="6">
        <f t="shared" si="0"/>
        <v>46009</v>
      </c>
      <c r="G3" s="6">
        <f t="shared" si="0"/>
        <v>46010</v>
      </c>
      <c r="H3" s="6">
        <f t="shared" si="0"/>
        <v>46011</v>
      </c>
    </row>
    <row r="4" spans="1:10" s="7" customFormat="1">
      <c r="A4" s="181" t="s">
        <v>92</v>
      </c>
      <c r="B4" s="181"/>
      <c r="C4" s="181"/>
      <c r="D4" s="181"/>
      <c r="E4" s="181"/>
      <c r="F4" s="181"/>
      <c r="G4" s="181"/>
      <c r="H4" s="181"/>
    </row>
    <row r="5" spans="1:10" s="7" customFormat="1" ht="26.1" customHeight="1">
      <c r="A5" s="32" t="s">
        <v>8</v>
      </c>
      <c r="B5" s="27"/>
      <c r="C5" s="27"/>
      <c r="D5" s="27"/>
      <c r="E5" s="27"/>
      <c r="F5" s="27">
        <v>0</v>
      </c>
      <c r="G5" s="27">
        <v>0</v>
      </c>
      <c r="H5" s="27">
        <v>0</v>
      </c>
    </row>
    <row r="6" spans="1:10" s="7" customFormat="1" ht="26.1" customHeight="1">
      <c r="A6" s="4" t="s">
        <v>23</v>
      </c>
      <c r="B6" s="62"/>
      <c r="C6" s="62"/>
      <c r="D6" s="62"/>
      <c r="E6" s="62">
        <v>0</v>
      </c>
      <c r="F6" s="62">
        <v>0</v>
      </c>
      <c r="G6" s="62">
        <v>0</v>
      </c>
      <c r="H6" s="62">
        <v>0</v>
      </c>
    </row>
    <row r="7" spans="1:10" s="7" customFormat="1" ht="21.95" customHeight="1">
      <c r="A7" s="32" t="s">
        <v>35</v>
      </c>
      <c r="B7" s="27"/>
      <c r="C7" s="28"/>
      <c r="D7" s="28"/>
      <c r="E7" s="28">
        <v>0</v>
      </c>
      <c r="F7" s="28">
        <v>0</v>
      </c>
      <c r="G7" s="28">
        <v>0</v>
      </c>
      <c r="H7" s="27">
        <v>0</v>
      </c>
    </row>
    <row r="8" spans="1:10" s="7" customFormat="1" ht="24.95" customHeight="1" thickBot="1">
      <c r="A8" s="83" t="s">
        <v>36</v>
      </c>
      <c r="B8" s="84">
        <f t="shared" ref="B8:H8" si="1">B5+B6+B7</f>
        <v>0</v>
      </c>
      <c r="C8" s="84">
        <f t="shared" si="1"/>
        <v>0</v>
      </c>
      <c r="D8" s="84">
        <f t="shared" si="1"/>
        <v>0</v>
      </c>
      <c r="E8" s="84">
        <f t="shared" si="1"/>
        <v>0</v>
      </c>
      <c r="F8" s="84">
        <f t="shared" si="1"/>
        <v>0</v>
      </c>
      <c r="G8" s="84">
        <f t="shared" si="1"/>
        <v>0</v>
      </c>
      <c r="H8" s="84">
        <f t="shared" si="1"/>
        <v>0</v>
      </c>
    </row>
    <row r="9" spans="1:10" s="7" customFormat="1" ht="24.95" customHeight="1" thickBot="1">
      <c r="A9" s="33"/>
      <c r="B9" s="29"/>
      <c r="C9" s="29"/>
      <c r="D9" s="29"/>
      <c r="E9" s="29"/>
      <c r="F9" s="29"/>
      <c r="G9" s="63" t="s">
        <v>37</v>
      </c>
      <c r="H9" s="64">
        <f>SUM(B8:H8)</f>
        <v>0</v>
      </c>
    </row>
    <row r="10" spans="1:10" s="7" customFormat="1" ht="21" thickTop="1" thickBot="1">
      <c r="A10" s="182" t="s">
        <v>93</v>
      </c>
      <c r="B10" s="183"/>
      <c r="C10" s="183"/>
      <c r="D10" s="183"/>
      <c r="E10" s="183"/>
      <c r="F10" s="183"/>
      <c r="G10" s="65" t="s">
        <v>39</v>
      </c>
      <c r="H10" s="66">
        <v>-0.06</v>
      </c>
      <c r="I10" s="5"/>
      <c r="J10" s="26"/>
    </row>
    <row r="11" spans="1:10" s="7" customFormat="1" ht="30" customHeight="1">
      <c r="A11" s="39" t="s">
        <v>8</v>
      </c>
      <c r="B11" s="9">
        <f>B5+(B5*H10)</f>
        <v>0</v>
      </c>
      <c r="C11" s="9">
        <f>C5+(C5*H10)</f>
        <v>0</v>
      </c>
      <c r="D11" s="67"/>
      <c r="E11" s="67"/>
      <c r="F11" s="9">
        <f>F5+(F5*H10)</f>
        <v>0</v>
      </c>
      <c r="G11" s="68">
        <f>G5+(G5*H10)</f>
        <v>0</v>
      </c>
      <c r="H11" s="69">
        <f>H5+(H5*H10)</f>
        <v>0</v>
      </c>
    </row>
    <row r="12" spans="1:10" s="7" customFormat="1" ht="30" customHeight="1">
      <c r="A12" s="70" t="s">
        <v>23</v>
      </c>
      <c r="B12" s="59">
        <f>B6+(B6*H10)</f>
        <v>0</v>
      </c>
      <c r="C12" s="58">
        <f>C6+(C6*H10)</f>
        <v>0</v>
      </c>
      <c r="D12" s="58">
        <f>D6+(D6*H10)</f>
        <v>0</v>
      </c>
      <c r="E12" s="58">
        <f>E6+(E6*H10)</f>
        <v>0</v>
      </c>
      <c r="F12" s="58">
        <f>F6+(F6*H10)</f>
        <v>0</v>
      </c>
      <c r="G12" s="58">
        <f>G6+(G6*H10)</f>
        <v>0</v>
      </c>
      <c r="H12" s="58">
        <f>H6+(H6*H10)</f>
        <v>0</v>
      </c>
    </row>
    <row r="13" spans="1:10" s="7" customFormat="1" ht="30" customHeight="1">
      <c r="A13" s="3" t="s">
        <v>35</v>
      </c>
      <c r="B13" s="8">
        <f>B7+(B7*H10)</f>
        <v>0</v>
      </c>
      <c r="C13" s="8">
        <f>C7+(C7*H10)</f>
        <v>0</v>
      </c>
      <c r="D13" s="8">
        <f>D7+(D7*H10)</f>
        <v>0</v>
      </c>
      <c r="E13" s="8">
        <f>E7+(E7*H10)</f>
        <v>0</v>
      </c>
      <c r="F13" s="8">
        <f>F7+(F7*H10)</f>
        <v>0</v>
      </c>
      <c r="G13" s="8">
        <f>G7+(G7*H10)</f>
        <v>0</v>
      </c>
      <c r="H13" s="8">
        <f>H7+(H7*H10)</f>
        <v>0</v>
      </c>
    </row>
    <row r="14" spans="1:10" s="7" customFormat="1" ht="27" customHeight="1" thickBot="1">
      <c r="A14" s="85" t="s">
        <v>36</v>
      </c>
      <c r="B14" s="87">
        <f t="shared" ref="B14:H14" si="2">B11+B12+B13</f>
        <v>0</v>
      </c>
      <c r="C14" s="87">
        <f t="shared" si="2"/>
        <v>0</v>
      </c>
      <c r="D14" s="87">
        <f t="shared" si="2"/>
        <v>0</v>
      </c>
      <c r="E14" s="87">
        <f t="shared" si="2"/>
        <v>0</v>
      </c>
      <c r="F14" s="87">
        <f t="shared" si="2"/>
        <v>0</v>
      </c>
      <c r="G14" s="87">
        <f t="shared" si="2"/>
        <v>0</v>
      </c>
      <c r="H14" s="87">
        <f t="shared" si="2"/>
        <v>0</v>
      </c>
    </row>
    <row r="15" spans="1:10" s="7" customFormat="1" ht="24.95" customHeight="1" thickBot="1">
      <c r="A15" s="86" t="s">
        <v>40</v>
      </c>
      <c r="B15" s="92" t="e">
        <f t="shared" ref="B15:H15" si="3">(B14-B8)/B8</f>
        <v>#DIV/0!</v>
      </c>
      <c r="C15" s="93" t="e">
        <f t="shared" si="3"/>
        <v>#DIV/0!</v>
      </c>
      <c r="D15" s="93" t="e">
        <f t="shared" si="3"/>
        <v>#DIV/0!</v>
      </c>
      <c r="E15" s="93" t="e">
        <f t="shared" si="3"/>
        <v>#DIV/0!</v>
      </c>
      <c r="F15" s="93" t="e">
        <f t="shared" si="3"/>
        <v>#DIV/0!</v>
      </c>
      <c r="G15" s="93" t="e">
        <f t="shared" si="3"/>
        <v>#DIV/0!</v>
      </c>
      <c r="H15" s="94" t="e">
        <f t="shared" si="3"/>
        <v>#DIV/0!</v>
      </c>
      <c r="I15" s="71"/>
    </row>
    <row r="16" spans="1:10" ht="30" customHeight="1" thickBot="1">
      <c r="B16" s="88"/>
      <c r="C16" s="88"/>
      <c r="D16" s="88"/>
      <c r="E16" s="88"/>
      <c r="F16" s="89"/>
      <c r="G16" s="90" t="s">
        <v>37</v>
      </c>
      <c r="H16" s="91">
        <f>SUM(B14:H14)</f>
        <v>0</v>
      </c>
    </row>
    <row r="17" spans="1:8" s="7" customFormat="1" ht="21.95" thickTop="1" thickBot="1">
      <c r="A17" s="184" t="s">
        <v>41</v>
      </c>
      <c r="B17" s="185"/>
      <c r="C17" s="185"/>
      <c r="D17" s="185"/>
      <c r="E17" s="185"/>
      <c r="F17" s="185"/>
      <c r="G17" s="72" t="s">
        <v>42</v>
      </c>
      <c r="H17" s="66" t="e">
        <f>(H16-H9)/H9</f>
        <v>#DIV/0!</v>
      </c>
    </row>
    <row r="18" spans="1:8" s="7" customFormat="1" ht="30" customHeight="1">
      <c r="A18" s="35" t="s">
        <v>43</v>
      </c>
      <c r="B18" s="12"/>
      <c r="C18" s="73"/>
      <c r="D18" s="73"/>
      <c r="E18" s="12"/>
      <c r="F18" s="12"/>
      <c r="G18" s="24"/>
      <c r="H18" s="74"/>
    </row>
    <row r="19" spans="1:8" s="7" customFormat="1" ht="30" customHeight="1">
      <c r="A19" s="35" t="str">
        <f>'Week 16'!A31</f>
        <v>Non Meal Plan Meals</v>
      </c>
      <c r="B19" s="12"/>
      <c r="C19" s="73"/>
      <c r="D19" s="73"/>
      <c r="E19" s="12"/>
      <c r="F19" s="12"/>
      <c r="G19" s="24"/>
      <c r="H19" s="74"/>
    </row>
    <row r="20" spans="1:8" s="7" customFormat="1" ht="30" customHeight="1">
      <c r="A20" s="35" t="str">
        <f>'Week 16'!A32</f>
        <v xml:space="preserve">Meal numbers </v>
      </c>
      <c r="B20" s="95"/>
      <c r="C20" s="73"/>
      <c r="D20" s="67"/>
      <c r="E20" s="95"/>
      <c r="F20" s="95"/>
      <c r="G20" s="95"/>
      <c r="H20" s="75"/>
    </row>
    <row r="21" spans="1:8" s="7" customFormat="1" ht="24.95" customHeight="1" thickBot="1">
      <c r="A21" s="36" t="s">
        <v>45</v>
      </c>
      <c r="B21" s="77">
        <f t="shared" ref="B21" si="4">B18+B20</f>
        <v>0</v>
      </c>
      <c r="C21" s="96"/>
      <c r="D21" s="96"/>
      <c r="E21" s="77">
        <v>354</v>
      </c>
      <c r="F21" s="77">
        <f t="shared" ref="F21:G21" si="5">F18+F20</f>
        <v>0</v>
      </c>
      <c r="G21" s="77">
        <f t="shared" si="5"/>
        <v>0</v>
      </c>
      <c r="H21" s="77">
        <f>H18+H20</f>
        <v>0</v>
      </c>
    </row>
    <row r="22" spans="1:8" s="7" customFormat="1" ht="24.95" customHeight="1" thickBot="1">
      <c r="A22" s="34" t="s">
        <v>40</v>
      </c>
      <c r="B22" s="92" t="e">
        <f>(B21-B5)/B5</f>
        <v>#DIV/0!</v>
      </c>
      <c r="C22" s="99"/>
      <c r="D22" s="99"/>
      <c r="E22" s="93" t="e">
        <f>(E21-E5)/E5</f>
        <v>#DIV/0!</v>
      </c>
      <c r="F22" s="93" t="e">
        <f>(F21-F5)/F5</f>
        <v>#DIV/0!</v>
      </c>
      <c r="G22" s="93" t="e">
        <f>(G21-G5)/G5</f>
        <v>#DIV/0!</v>
      </c>
      <c r="H22" s="94" t="e">
        <f>(H21-H5)/H5</f>
        <v>#DIV/0!</v>
      </c>
    </row>
    <row r="23" spans="1:8" s="7" customFormat="1">
      <c r="A23" s="186" t="s">
        <v>46</v>
      </c>
      <c r="B23" s="187"/>
      <c r="C23" s="187"/>
      <c r="D23" s="187"/>
      <c r="E23" s="187"/>
      <c r="F23" s="188" t="s">
        <v>47</v>
      </c>
      <c r="G23" s="97"/>
      <c r="H23" s="98"/>
    </row>
    <row r="24" spans="1:8" s="7" customFormat="1" ht="30" customHeight="1">
      <c r="A24" s="35" t="s">
        <v>43</v>
      </c>
      <c r="B24" s="11"/>
      <c r="C24" s="12"/>
      <c r="D24" s="12"/>
      <c r="E24" s="12"/>
      <c r="F24" s="12"/>
      <c r="G24" s="12"/>
      <c r="H24" s="11"/>
    </row>
    <row r="25" spans="1:8" s="7" customFormat="1" ht="30" customHeight="1">
      <c r="A25" s="35" t="str">
        <f>A19</f>
        <v>Non Meal Plan Meals</v>
      </c>
      <c r="B25" s="117"/>
      <c r="C25" s="117"/>
      <c r="D25" s="117"/>
      <c r="E25" s="117"/>
      <c r="F25" s="117"/>
      <c r="G25" s="117"/>
      <c r="H25" s="117"/>
    </row>
    <row r="26" spans="1:8" s="7" customFormat="1" ht="30" customHeight="1">
      <c r="A26" s="35" t="str">
        <f>A20</f>
        <v xml:space="preserve">Meal numbers </v>
      </c>
      <c r="B26" s="11"/>
      <c r="C26" s="11"/>
      <c r="D26" s="11"/>
      <c r="E26" s="11"/>
      <c r="F26" s="11"/>
      <c r="G26" s="11"/>
      <c r="H26" s="11"/>
    </row>
    <row r="27" spans="1:8" s="7" customFormat="1" ht="27.95" customHeight="1" thickBot="1">
      <c r="A27" s="36" t="s">
        <v>50</v>
      </c>
      <c r="B27" s="100">
        <f>B24+B25+B26</f>
        <v>0</v>
      </c>
      <c r="C27" s="100">
        <f t="shared" ref="C27:G27" si="6">C24+C25+C26</f>
        <v>0</v>
      </c>
      <c r="D27" s="100">
        <f t="shared" si="6"/>
        <v>0</v>
      </c>
      <c r="E27" s="100">
        <f t="shared" si="6"/>
        <v>0</v>
      </c>
      <c r="F27" s="100">
        <f t="shared" si="6"/>
        <v>0</v>
      </c>
      <c r="G27" s="100">
        <f t="shared" si="6"/>
        <v>0</v>
      </c>
      <c r="H27" s="100">
        <f>H24+H25+H26</f>
        <v>0</v>
      </c>
    </row>
    <row r="28" spans="1:8" s="7" customFormat="1" ht="24.95" customHeight="1" thickBot="1">
      <c r="A28" s="34" t="s">
        <v>40</v>
      </c>
      <c r="B28" s="92" t="e">
        <f t="shared" ref="B28:H28" si="7">(B27-B6)/B6</f>
        <v>#DIV/0!</v>
      </c>
      <c r="C28" s="93" t="e">
        <f t="shared" si="7"/>
        <v>#DIV/0!</v>
      </c>
      <c r="D28" s="93" t="e">
        <f t="shared" si="7"/>
        <v>#DIV/0!</v>
      </c>
      <c r="E28" s="93" t="e">
        <f t="shared" si="7"/>
        <v>#DIV/0!</v>
      </c>
      <c r="F28" s="93" t="e">
        <f t="shared" si="7"/>
        <v>#DIV/0!</v>
      </c>
      <c r="G28" s="93" t="e">
        <f t="shared" si="7"/>
        <v>#DIV/0!</v>
      </c>
      <c r="H28" s="94" t="e">
        <f t="shared" si="7"/>
        <v>#DIV/0!</v>
      </c>
    </row>
    <row r="29" spans="1:8" s="7" customFormat="1">
      <c r="A29" s="189" t="s">
        <v>51</v>
      </c>
      <c r="B29" s="190"/>
      <c r="C29" s="190"/>
      <c r="D29" s="190"/>
      <c r="E29" s="190"/>
      <c r="F29" s="191" t="s">
        <v>35</v>
      </c>
      <c r="G29" s="101"/>
      <c r="H29" s="102"/>
    </row>
    <row r="30" spans="1:8" s="7" customFormat="1" ht="30" customHeight="1">
      <c r="A30" s="35" t="s">
        <v>43</v>
      </c>
      <c r="B30" s="10"/>
      <c r="C30" s="9"/>
      <c r="D30" s="9"/>
      <c r="E30" s="9"/>
      <c r="F30" s="9"/>
      <c r="G30" s="9"/>
      <c r="H30" s="10"/>
    </row>
    <row r="31" spans="1:8" s="7" customFormat="1" ht="30" customHeight="1">
      <c r="A31" s="35" t="str">
        <f>A25</f>
        <v>Non Meal Plan Meals</v>
      </c>
      <c r="B31" s="60"/>
      <c r="C31" s="60"/>
      <c r="D31" s="60"/>
      <c r="E31" s="60"/>
      <c r="F31" s="60"/>
      <c r="G31" s="60"/>
      <c r="H31" s="60"/>
    </row>
    <row r="32" spans="1:8" s="7" customFormat="1" ht="30" customHeight="1">
      <c r="A32" s="35" t="str">
        <f>A26</f>
        <v xml:space="preserve">Meal numbers </v>
      </c>
      <c r="B32" s="10"/>
      <c r="C32" s="10"/>
      <c r="D32" s="10"/>
      <c r="E32" s="10"/>
      <c r="F32" s="10"/>
      <c r="G32" s="10"/>
      <c r="H32" s="10"/>
    </row>
    <row r="33" spans="1:12" s="7" customFormat="1" ht="30.95" customHeight="1" thickBot="1">
      <c r="A33" s="36" t="s">
        <v>53</v>
      </c>
      <c r="B33" s="103">
        <f>B30+B31+B32</f>
        <v>0</v>
      </c>
      <c r="C33" s="103">
        <f t="shared" ref="C33:G33" si="8">C30+C31+C32</f>
        <v>0</v>
      </c>
      <c r="D33" s="103">
        <f t="shared" si="8"/>
        <v>0</v>
      </c>
      <c r="E33" s="103">
        <f t="shared" si="8"/>
        <v>0</v>
      </c>
      <c r="F33" s="103">
        <f t="shared" si="8"/>
        <v>0</v>
      </c>
      <c r="G33" s="103">
        <f t="shared" si="8"/>
        <v>0</v>
      </c>
      <c r="H33" s="103">
        <f>H30+H31+H32</f>
        <v>0</v>
      </c>
    </row>
    <row r="34" spans="1:12" s="7" customFormat="1" ht="24.95" customHeight="1" thickBot="1">
      <c r="A34" s="34" t="s">
        <v>40</v>
      </c>
      <c r="B34" s="92" t="e">
        <f t="shared" ref="B34:H34" si="9">(B33-B7)/B7</f>
        <v>#DIV/0!</v>
      </c>
      <c r="C34" s="93" t="e">
        <f t="shared" si="9"/>
        <v>#DIV/0!</v>
      </c>
      <c r="D34" s="93" t="e">
        <f t="shared" si="9"/>
        <v>#DIV/0!</v>
      </c>
      <c r="E34" s="93" t="e">
        <f t="shared" si="9"/>
        <v>#DIV/0!</v>
      </c>
      <c r="F34" s="93" t="e">
        <f t="shared" si="9"/>
        <v>#DIV/0!</v>
      </c>
      <c r="G34" s="93" t="e">
        <f t="shared" si="9"/>
        <v>#DIV/0!</v>
      </c>
      <c r="H34" s="94" t="e">
        <f t="shared" si="9"/>
        <v>#DIV/0!</v>
      </c>
    </row>
    <row r="35" spans="1:12" s="7" customFormat="1">
      <c r="A35" s="192" t="s">
        <v>54</v>
      </c>
      <c r="B35" s="193"/>
      <c r="C35" s="193"/>
      <c r="D35" s="193"/>
      <c r="E35" s="193"/>
      <c r="F35" s="194" t="s">
        <v>35</v>
      </c>
      <c r="G35" s="104"/>
      <c r="H35" s="105"/>
    </row>
    <row r="36" spans="1:12" s="7" customFormat="1" ht="30.95" customHeight="1" thickBot="1">
      <c r="A36" s="78" t="s">
        <v>55</v>
      </c>
      <c r="B36" s="77">
        <f>B33+B27+B21</f>
        <v>0</v>
      </c>
      <c r="C36" s="77">
        <f t="shared" ref="C36:H36" si="10">C33+C27+C21</f>
        <v>0</v>
      </c>
      <c r="D36" s="77">
        <f t="shared" si="10"/>
        <v>0</v>
      </c>
      <c r="E36" s="77">
        <f t="shared" si="10"/>
        <v>354</v>
      </c>
      <c r="F36" s="77">
        <f t="shared" si="10"/>
        <v>0</v>
      </c>
      <c r="G36" s="77">
        <f t="shared" si="10"/>
        <v>0</v>
      </c>
      <c r="H36" s="77">
        <f t="shared" si="10"/>
        <v>0</v>
      </c>
    </row>
    <row r="37" spans="1:12" s="7" customFormat="1" ht="24.95" customHeight="1" thickBot="1">
      <c r="A37" s="34" t="s">
        <v>40</v>
      </c>
      <c r="B37" s="92" t="e">
        <f t="shared" ref="B37:H37" si="11">(B36-B8)/B8</f>
        <v>#DIV/0!</v>
      </c>
      <c r="C37" s="93" t="e">
        <f t="shared" si="11"/>
        <v>#DIV/0!</v>
      </c>
      <c r="D37" s="93" t="e">
        <f t="shared" si="11"/>
        <v>#DIV/0!</v>
      </c>
      <c r="E37" s="93" t="e">
        <f t="shared" si="11"/>
        <v>#DIV/0!</v>
      </c>
      <c r="F37" s="93" t="e">
        <f t="shared" si="11"/>
        <v>#DIV/0!</v>
      </c>
      <c r="G37" s="93" t="e">
        <f t="shared" si="11"/>
        <v>#DIV/0!</v>
      </c>
      <c r="H37" s="94" t="e">
        <f t="shared" si="11"/>
        <v>#DIV/0!</v>
      </c>
    </row>
    <row r="38" spans="1:12" ht="30" customHeight="1" thickBot="1">
      <c r="A38" s="195"/>
      <c r="B38" s="196"/>
      <c r="C38" s="196"/>
      <c r="D38" s="196"/>
      <c r="E38" s="196"/>
      <c r="F38" s="196"/>
      <c r="G38" s="106" t="s">
        <v>37</v>
      </c>
      <c r="H38" s="107">
        <f>SUM(B36:H36)</f>
        <v>354</v>
      </c>
    </row>
    <row r="39" spans="1:12" s="7" customFormat="1" ht="24.95" customHeight="1" thickTop="1">
      <c r="A39" s="37"/>
      <c r="B39" s="25"/>
      <c r="C39" s="25"/>
      <c r="D39" s="25"/>
      <c r="E39" s="25"/>
      <c r="F39" s="25"/>
      <c r="G39" s="79" t="s">
        <v>40</v>
      </c>
      <c r="H39" s="80" t="e">
        <f>(H38-H9)/H9</f>
        <v>#DIV/0!</v>
      </c>
    </row>
    <row r="40" spans="1:12" s="7" customFormat="1" ht="24.95" customHeight="1" thickBot="1">
      <c r="A40" s="37"/>
      <c r="B40" s="25"/>
      <c r="C40" s="25"/>
      <c r="D40" s="25"/>
      <c r="E40" s="25"/>
      <c r="F40" s="25"/>
      <c r="G40" s="81" t="s">
        <v>56</v>
      </c>
      <c r="H40" s="82" t="e">
        <f>(H38-H16)/H16</f>
        <v>#DIV/0!</v>
      </c>
    </row>
    <row r="41" spans="1:12" s="46" customFormat="1" ht="23.1" customHeight="1">
      <c r="A41" s="40"/>
      <c r="B41" s="47" t="s">
        <v>57</v>
      </c>
      <c r="C41" s="197" t="s">
        <v>58</v>
      </c>
      <c r="D41" s="197"/>
      <c r="E41" s="197"/>
      <c r="F41" s="197"/>
      <c r="G41" s="198">
        <v>2020</v>
      </c>
      <c r="H41" s="199"/>
    </row>
    <row r="42" spans="1:12" ht="30" customHeight="1">
      <c r="A42" s="1" t="s">
        <v>0</v>
      </c>
      <c r="B42" s="57" t="s">
        <v>59</v>
      </c>
      <c r="C42" s="215"/>
      <c r="D42" s="215"/>
      <c r="E42" s="215"/>
      <c r="F42" s="215"/>
      <c r="G42" s="178"/>
      <c r="H42" s="179"/>
      <c r="L42" s="7" t="s">
        <v>61</v>
      </c>
    </row>
    <row r="43" spans="1:12" ht="30" customHeight="1">
      <c r="A43" s="1" t="s">
        <v>1</v>
      </c>
      <c r="B43" s="57" t="s">
        <v>59</v>
      </c>
      <c r="C43" s="216"/>
      <c r="D43" s="216"/>
      <c r="E43" s="216"/>
      <c r="F43" s="216"/>
      <c r="G43" s="178"/>
      <c r="H43" s="179"/>
      <c r="L43" s="5" t="s">
        <v>62</v>
      </c>
    </row>
    <row r="44" spans="1:12" ht="30" customHeight="1">
      <c r="A44" s="1" t="s">
        <v>2</v>
      </c>
      <c r="B44" s="57" t="s">
        <v>59</v>
      </c>
      <c r="C44" s="175"/>
      <c r="D44" s="175"/>
      <c r="E44" s="175"/>
      <c r="F44" s="175"/>
      <c r="G44" s="176"/>
      <c r="H44" s="177"/>
      <c r="L44" s="5" t="s">
        <v>63</v>
      </c>
    </row>
    <row r="45" spans="1:12" ht="30" customHeight="1">
      <c r="A45" s="1" t="s">
        <v>3</v>
      </c>
      <c r="B45" s="57" t="s">
        <v>59</v>
      </c>
      <c r="C45" s="175" t="s">
        <v>120</v>
      </c>
      <c r="D45" s="175"/>
      <c r="E45" s="175"/>
      <c r="F45" s="175"/>
      <c r="G45" s="176"/>
      <c r="H45" s="177"/>
      <c r="L45" s="5" t="s">
        <v>64</v>
      </c>
    </row>
    <row r="46" spans="1:12" ht="30.95" customHeight="1">
      <c r="A46" s="1" t="s">
        <v>4</v>
      </c>
      <c r="B46" s="57" t="s">
        <v>59</v>
      </c>
      <c r="C46" s="175" t="s">
        <v>120</v>
      </c>
      <c r="D46" s="175"/>
      <c r="E46" s="175"/>
      <c r="F46" s="175"/>
      <c r="G46" s="176"/>
      <c r="H46" s="177"/>
    </row>
    <row r="47" spans="1:12" ht="30" customHeight="1">
      <c r="A47" s="1" t="s">
        <v>5</v>
      </c>
      <c r="B47" s="57" t="s">
        <v>59</v>
      </c>
      <c r="C47" s="175" t="s">
        <v>120</v>
      </c>
      <c r="D47" s="175"/>
      <c r="E47" s="175"/>
      <c r="F47" s="175"/>
      <c r="G47" s="176"/>
      <c r="H47" s="177"/>
    </row>
    <row r="48" spans="1:12" ht="30" customHeight="1">
      <c r="A48" s="1" t="s">
        <v>6</v>
      </c>
      <c r="B48" s="57" t="s">
        <v>59</v>
      </c>
      <c r="C48" s="175" t="s">
        <v>120</v>
      </c>
      <c r="D48" s="175"/>
      <c r="E48" s="175"/>
      <c r="F48" s="175"/>
      <c r="G48" s="176"/>
      <c r="H48" s="177"/>
    </row>
    <row r="49" spans="1:8" ht="30" customHeight="1">
      <c r="A49" s="1"/>
      <c r="B49" s="14"/>
      <c r="C49" s="175"/>
      <c r="D49" s="175"/>
      <c r="E49" s="175"/>
      <c r="F49" s="175"/>
      <c r="G49" s="176"/>
      <c r="H49" s="177"/>
    </row>
    <row r="50" spans="1:8" ht="30" customHeight="1">
      <c r="A50" s="2"/>
      <c r="B50" s="14"/>
      <c r="C50" s="175"/>
      <c r="D50" s="175"/>
      <c r="E50" s="175"/>
      <c r="F50" s="175"/>
      <c r="G50" s="176"/>
      <c r="H50" s="177"/>
    </row>
    <row r="51" spans="1:8">
      <c r="A51" s="30"/>
      <c r="B51" s="18" t="s">
        <v>27</v>
      </c>
      <c r="C51" s="18" t="s">
        <v>28</v>
      </c>
      <c r="D51" s="18" t="s">
        <v>65</v>
      </c>
      <c r="E51" s="18" t="s">
        <v>30</v>
      </c>
      <c r="F51" s="18" t="s">
        <v>66</v>
      </c>
      <c r="G51" s="18" t="s">
        <v>32</v>
      </c>
      <c r="H51" s="18" t="s">
        <v>33</v>
      </c>
    </row>
    <row r="52" spans="1:8">
      <c r="A52" s="38" t="s">
        <v>67</v>
      </c>
      <c r="B52" s="15"/>
      <c r="C52" s="20"/>
      <c r="D52" s="20"/>
      <c r="E52" s="20"/>
      <c r="F52" s="20"/>
      <c r="G52" s="20"/>
      <c r="H52" s="15"/>
    </row>
    <row r="53" spans="1:8" customFormat="1" ht="15.95">
      <c r="A53" s="48" t="s">
        <v>68</v>
      </c>
      <c r="B53" s="22"/>
      <c r="C53" s="21"/>
      <c r="D53" s="21"/>
      <c r="E53" s="21"/>
      <c r="F53" s="21"/>
      <c r="G53" s="23" t="s">
        <v>37</v>
      </c>
      <c r="H53" s="23">
        <f>SUM(B52:H52)</f>
        <v>0</v>
      </c>
    </row>
    <row r="54" spans="1:8">
      <c r="A54" s="30"/>
      <c r="B54" s="18" t="s">
        <v>27</v>
      </c>
      <c r="C54" s="18" t="s">
        <v>28</v>
      </c>
      <c r="D54" s="18" t="s">
        <v>65</v>
      </c>
      <c r="E54" s="18" t="s">
        <v>30</v>
      </c>
      <c r="F54" s="18" t="s">
        <v>66</v>
      </c>
      <c r="G54" s="18" t="s">
        <v>32</v>
      </c>
      <c r="H54" s="18" t="s">
        <v>33</v>
      </c>
    </row>
    <row r="55" spans="1:8">
      <c r="A55" s="38" t="s">
        <v>69</v>
      </c>
      <c r="B55" s="51"/>
      <c r="C55" s="52"/>
      <c r="D55" s="52"/>
      <c r="E55" s="52"/>
      <c r="F55" s="52"/>
      <c r="G55" s="20"/>
      <c r="H55" s="15"/>
    </row>
    <row r="56" spans="1:8" customFormat="1" ht="15.95">
      <c r="A56" s="49" t="s">
        <v>70</v>
      </c>
      <c r="B56" s="53"/>
      <c r="C56" s="53" t="s">
        <v>71</v>
      </c>
      <c r="D56" s="54"/>
      <c r="E56" s="54"/>
      <c r="F56" s="55"/>
      <c r="G56" s="50" t="s">
        <v>37</v>
      </c>
      <c r="H56" s="23"/>
    </row>
    <row r="57" spans="1:8">
      <c r="H57" s="16"/>
    </row>
    <row r="58" spans="1:8">
      <c r="H58" s="16"/>
    </row>
    <row r="59" spans="1:8">
      <c r="H59" s="16"/>
    </row>
    <row r="60" spans="1:8">
      <c r="H60" s="16"/>
    </row>
    <row r="61" spans="1:8">
      <c r="H61" s="16"/>
    </row>
    <row r="62" spans="1:8">
      <c r="H62" s="16"/>
    </row>
    <row r="63" spans="1:8">
      <c r="H63" s="16"/>
    </row>
    <row r="64" spans="1:8">
      <c r="B64" s="5"/>
      <c r="H64" s="16"/>
    </row>
    <row r="65" spans="2:8">
      <c r="B65" s="5"/>
      <c r="H65" s="16"/>
    </row>
    <row r="66" spans="2:8">
      <c r="B66" s="5"/>
      <c r="H66" s="16"/>
    </row>
    <row r="67" spans="2:8">
      <c r="B67" s="5"/>
      <c r="H67" s="16"/>
    </row>
    <row r="68" spans="2:8">
      <c r="B68" s="5"/>
      <c r="H68" s="16"/>
    </row>
    <row r="69" spans="2:8">
      <c r="B69" s="5"/>
      <c r="H69" s="16"/>
    </row>
    <row r="70" spans="2:8">
      <c r="B70" s="5"/>
      <c r="H70" s="16"/>
    </row>
    <row r="71" spans="2:8">
      <c r="B71" s="5"/>
      <c r="H71" s="16"/>
    </row>
    <row r="72" spans="2:8">
      <c r="B72" s="5"/>
      <c r="H72" s="16"/>
    </row>
    <row r="73" spans="2:8">
      <c r="B73" s="5"/>
      <c r="H73" s="16"/>
    </row>
    <row r="74" spans="2:8">
      <c r="B74" s="5"/>
      <c r="H74" s="16"/>
    </row>
    <row r="75" spans="2:8">
      <c r="B75" s="5"/>
      <c r="H75" s="16"/>
    </row>
    <row r="76" spans="2:8">
      <c r="B76" s="5"/>
      <c r="H76" s="16"/>
    </row>
    <row r="77" spans="2:8">
      <c r="B77" s="5"/>
      <c r="H77" s="16"/>
    </row>
    <row r="78" spans="2:8">
      <c r="B78" s="5"/>
      <c r="H78" s="16"/>
    </row>
    <row r="79" spans="2:8">
      <c r="B79" s="5"/>
      <c r="H79" s="16"/>
    </row>
    <row r="80" spans="2:8">
      <c r="B80" s="5"/>
      <c r="H80" s="16"/>
    </row>
    <row r="81" spans="2:8">
      <c r="B81" s="5"/>
      <c r="H81" s="16"/>
    </row>
    <row r="82" spans="2:8">
      <c r="B82" s="5"/>
      <c r="H82" s="16"/>
    </row>
    <row r="83" spans="2:8">
      <c r="B83" s="5"/>
      <c r="H83" s="16"/>
    </row>
    <row r="84" spans="2:8">
      <c r="B84" s="5"/>
      <c r="H84" s="16"/>
    </row>
    <row r="85" spans="2:8">
      <c r="B85" s="5"/>
      <c r="H85" s="16"/>
    </row>
    <row r="86" spans="2:8">
      <c r="B86" s="5"/>
      <c r="H86" s="16"/>
    </row>
    <row r="87" spans="2:8">
      <c r="B87" s="5"/>
      <c r="H87" s="16"/>
    </row>
    <row r="88" spans="2:8">
      <c r="B88" s="5"/>
      <c r="H88" s="16"/>
    </row>
    <row r="89" spans="2:8">
      <c r="B89" s="5"/>
      <c r="H89" s="16"/>
    </row>
    <row r="90" spans="2:8">
      <c r="B90" s="5"/>
      <c r="H90" s="16"/>
    </row>
    <row r="91" spans="2:8">
      <c r="B91" s="5"/>
      <c r="H91" s="16"/>
    </row>
    <row r="92" spans="2:8">
      <c r="B92" s="5"/>
      <c r="H92" s="16"/>
    </row>
    <row r="93" spans="2:8">
      <c r="B93" s="5"/>
      <c r="H93" s="16"/>
    </row>
    <row r="94" spans="2:8">
      <c r="B94" s="5"/>
      <c r="H94" s="16"/>
    </row>
    <row r="95" spans="2:8">
      <c r="B95" s="5"/>
      <c r="H95" s="16"/>
    </row>
    <row r="96" spans="2:8">
      <c r="B96" s="5"/>
      <c r="H96" s="16"/>
    </row>
    <row r="97" spans="2:8">
      <c r="B97" s="5"/>
      <c r="H97" s="16"/>
    </row>
    <row r="98" spans="2:8">
      <c r="B98" s="5"/>
      <c r="H98" s="16"/>
    </row>
    <row r="99" spans="2:8">
      <c r="B99" s="5"/>
      <c r="H99" s="16"/>
    </row>
    <row r="100" spans="2:8">
      <c r="B100" s="5"/>
      <c r="H100" s="16"/>
    </row>
    <row r="101" spans="2:8">
      <c r="B101" s="5"/>
      <c r="H101" s="16"/>
    </row>
    <row r="102" spans="2:8">
      <c r="B102" s="5"/>
      <c r="H102" s="16"/>
    </row>
    <row r="103" spans="2:8">
      <c r="B103" s="5"/>
      <c r="H103" s="16"/>
    </row>
    <row r="104" spans="2:8">
      <c r="B104" s="5"/>
      <c r="H104" s="16"/>
    </row>
    <row r="105" spans="2:8">
      <c r="B105" s="5"/>
      <c r="H105" s="16"/>
    </row>
    <row r="106" spans="2:8">
      <c r="B106" s="5"/>
      <c r="H106" s="16"/>
    </row>
    <row r="107" spans="2:8">
      <c r="B107" s="5"/>
      <c r="H107" s="16"/>
    </row>
    <row r="108" spans="2:8">
      <c r="B108" s="5"/>
      <c r="H108" s="16"/>
    </row>
    <row r="109" spans="2:8">
      <c r="B109" s="5"/>
      <c r="H109" s="16"/>
    </row>
    <row r="110" spans="2:8">
      <c r="B110" s="5"/>
      <c r="H110" s="16"/>
    </row>
    <row r="111" spans="2:8">
      <c r="B111" s="5"/>
      <c r="H111" s="16"/>
    </row>
    <row r="112" spans="2:8">
      <c r="B112" s="5"/>
      <c r="H112" s="16"/>
    </row>
    <row r="113" spans="2:8">
      <c r="B113" s="5"/>
      <c r="H113" s="16"/>
    </row>
    <row r="114" spans="2:8">
      <c r="B114" s="5"/>
      <c r="H114" s="16"/>
    </row>
    <row r="115" spans="2:8">
      <c r="B115" s="5"/>
      <c r="H115" s="16"/>
    </row>
    <row r="116" spans="2:8">
      <c r="B116" s="5"/>
      <c r="H116" s="16"/>
    </row>
    <row r="117" spans="2:8">
      <c r="B117" s="5"/>
      <c r="H117" s="16"/>
    </row>
    <row r="118" spans="2:8">
      <c r="B118" s="5"/>
      <c r="H118" s="16"/>
    </row>
    <row r="119" spans="2:8">
      <c r="B119" s="5"/>
      <c r="H119" s="16"/>
    </row>
    <row r="120" spans="2:8">
      <c r="B120" s="5"/>
      <c r="H120" s="16"/>
    </row>
    <row r="121" spans="2:8">
      <c r="B121" s="5"/>
      <c r="H121" s="16"/>
    </row>
    <row r="122" spans="2:8">
      <c r="B122" s="5"/>
      <c r="H122" s="16"/>
    </row>
    <row r="123" spans="2:8">
      <c r="B123" s="5"/>
      <c r="H123" s="16"/>
    </row>
    <row r="124" spans="2:8">
      <c r="B124" s="5"/>
      <c r="H124" s="16"/>
    </row>
    <row r="125" spans="2:8">
      <c r="B125" s="5"/>
      <c r="H125" s="16"/>
    </row>
    <row r="126" spans="2:8">
      <c r="B126" s="5"/>
      <c r="H126" s="16"/>
    </row>
    <row r="127" spans="2:8">
      <c r="B127" s="5"/>
      <c r="H127" s="16"/>
    </row>
    <row r="128" spans="2:8">
      <c r="B128" s="5"/>
      <c r="H128" s="16"/>
    </row>
    <row r="129" spans="2:8">
      <c r="B129" s="5"/>
      <c r="H129" s="16"/>
    </row>
    <row r="130" spans="2:8">
      <c r="B130" s="5"/>
      <c r="H130" s="16"/>
    </row>
    <row r="131" spans="2:8">
      <c r="B131" s="5"/>
      <c r="H131" s="16"/>
    </row>
    <row r="132" spans="2:8">
      <c r="B132" s="5"/>
      <c r="H132" s="16"/>
    </row>
    <row r="133" spans="2:8">
      <c r="B133" s="5"/>
      <c r="H133" s="16"/>
    </row>
    <row r="134" spans="2:8">
      <c r="B134" s="5"/>
      <c r="H134" s="16"/>
    </row>
    <row r="135" spans="2:8">
      <c r="B135" s="5"/>
      <c r="H135" s="16"/>
    </row>
    <row r="136" spans="2:8">
      <c r="B136" s="5"/>
      <c r="H136" s="16"/>
    </row>
    <row r="137" spans="2:8">
      <c r="B137" s="5"/>
      <c r="H137" s="16"/>
    </row>
    <row r="138" spans="2:8">
      <c r="B138" s="5"/>
      <c r="H138" s="16"/>
    </row>
    <row r="139" spans="2:8">
      <c r="B139" s="5"/>
      <c r="H139" s="16"/>
    </row>
    <row r="140" spans="2:8">
      <c r="B140" s="5"/>
      <c r="H140" s="16"/>
    </row>
    <row r="141" spans="2:8">
      <c r="B141" s="5"/>
      <c r="H141" s="16"/>
    </row>
    <row r="142" spans="2:8">
      <c r="B142" s="5"/>
      <c r="H142" s="16"/>
    </row>
    <row r="143" spans="2:8">
      <c r="B143" s="5"/>
      <c r="H143" s="16"/>
    </row>
    <row r="144" spans="2:8">
      <c r="B144" s="5"/>
      <c r="H144" s="16"/>
    </row>
    <row r="145" spans="2:8">
      <c r="B145" s="5"/>
      <c r="H145" s="16"/>
    </row>
    <row r="146" spans="2:8">
      <c r="B146" s="5"/>
      <c r="H146" s="16"/>
    </row>
    <row r="147" spans="2:8">
      <c r="B147" s="5"/>
      <c r="H147" s="16"/>
    </row>
    <row r="148" spans="2:8">
      <c r="B148" s="5"/>
      <c r="H148" s="16"/>
    </row>
    <row r="149" spans="2:8">
      <c r="B149" s="5"/>
      <c r="H149" s="16"/>
    </row>
    <row r="150" spans="2:8">
      <c r="B150" s="5"/>
      <c r="H150" s="16"/>
    </row>
    <row r="151" spans="2:8">
      <c r="B151" s="5"/>
      <c r="H151" s="16"/>
    </row>
    <row r="152" spans="2:8">
      <c r="B152" s="5"/>
      <c r="H152" s="16"/>
    </row>
    <row r="153" spans="2:8">
      <c r="B153" s="5"/>
      <c r="H153" s="16"/>
    </row>
    <row r="154" spans="2:8">
      <c r="B154" s="5"/>
      <c r="H154" s="16"/>
    </row>
    <row r="155" spans="2:8">
      <c r="B155" s="5"/>
      <c r="H155" s="16"/>
    </row>
    <row r="156" spans="2:8">
      <c r="B156" s="5"/>
      <c r="H156" s="16"/>
    </row>
    <row r="157" spans="2:8">
      <c r="B157" s="5"/>
      <c r="H157" s="16"/>
    </row>
    <row r="158" spans="2:8">
      <c r="B158" s="5"/>
      <c r="H158" s="16"/>
    </row>
    <row r="159" spans="2:8">
      <c r="B159" s="5"/>
      <c r="H159" s="16"/>
    </row>
    <row r="160" spans="2:8">
      <c r="B160" s="5"/>
      <c r="H160" s="16"/>
    </row>
    <row r="161" spans="2:8">
      <c r="B161" s="5"/>
      <c r="H161" s="16"/>
    </row>
    <row r="162" spans="2:8">
      <c r="B162" s="5"/>
      <c r="H162" s="16"/>
    </row>
    <row r="163" spans="2:8">
      <c r="B163" s="5"/>
      <c r="H163" s="16"/>
    </row>
    <row r="164" spans="2:8">
      <c r="B164" s="5"/>
      <c r="H164" s="16"/>
    </row>
    <row r="165" spans="2:8">
      <c r="B165" s="5"/>
      <c r="H165" s="16"/>
    </row>
    <row r="166" spans="2:8">
      <c r="B166" s="5"/>
      <c r="H166" s="16"/>
    </row>
    <row r="167" spans="2:8">
      <c r="B167" s="5"/>
      <c r="H167" s="16"/>
    </row>
    <row r="168" spans="2:8">
      <c r="B168" s="5"/>
      <c r="H168" s="16"/>
    </row>
    <row r="169" spans="2:8">
      <c r="B169" s="5"/>
      <c r="H169" s="16"/>
    </row>
    <row r="170" spans="2:8">
      <c r="B170" s="5"/>
      <c r="H170" s="16"/>
    </row>
    <row r="171" spans="2:8">
      <c r="B171" s="5"/>
      <c r="H171" s="16"/>
    </row>
    <row r="172" spans="2:8">
      <c r="B172" s="5"/>
      <c r="H172" s="16"/>
    </row>
    <row r="173" spans="2:8">
      <c r="B173" s="5"/>
      <c r="H173" s="16"/>
    </row>
    <row r="174" spans="2:8">
      <c r="B174" s="5"/>
      <c r="H174" s="16"/>
    </row>
    <row r="175" spans="2:8">
      <c r="B175" s="5"/>
      <c r="H175" s="16"/>
    </row>
    <row r="176" spans="2:8">
      <c r="B176" s="5"/>
      <c r="H176" s="16"/>
    </row>
    <row r="177" spans="2:8">
      <c r="B177" s="5"/>
      <c r="H177" s="16"/>
    </row>
    <row r="178" spans="2:8">
      <c r="B178" s="5"/>
      <c r="H178" s="16"/>
    </row>
    <row r="179" spans="2:8">
      <c r="B179" s="5"/>
      <c r="H179" s="16"/>
    </row>
    <row r="180" spans="2:8">
      <c r="B180" s="5"/>
      <c r="H180" s="16"/>
    </row>
    <row r="181" spans="2:8">
      <c r="B181" s="5"/>
      <c r="H181" s="16"/>
    </row>
    <row r="182" spans="2:8">
      <c r="B182" s="5"/>
      <c r="H182" s="16"/>
    </row>
    <row r="183" spans="2:8">
      <c r="B183" s="5"/>
      <c r="H183" s="16"/>
    </row>
    <row r="184" spans="2:8">
      <c r="B184" s="5"/>
      <c r="H184" s="16"/>
    </row>
    <row r="185" spans="2:8">
      <c r="B185" s="5"/>
      <c r="H185" s="16"/>
    </row>
    <row r="186" spans="2:8">
      <c r="B186" s="5"/>
      <c r="H186" s="16"/>
    </row>
    <row r="187" spans="2:8">
      <c r="B187" s="5"/>
      <c r="H187" s="16"/>
    </row>
    <row r="188" spans="2:8">
      <c r="B188" s="5"/>
      <c r="H188" s="16"/>
    </row>
    <row r="189" spans="2:8">
      <c r="B189" s="5"/>
      <c r="H189" s="16"/>
    </row>
    <row r="190" spans="2:8">
      <c r="B190" s="5"/>
      <c r="H190" s="16"/>
    </row>
    <row r="191" spans="2:8">
      <c r="B191" s="5"/>
      <c r="H191" s="16"/>
    </row>
    <row r="192" spans="2:8">
      <c r="B192" s="5"/>
      <c r="H192" s="16"/>
    </row>
    <row r="193" spans="2:8">
      <c r="B193" s="5"/>
      <c r="H193" s="16"/>
    </row>
    <row r="194" spans="2:8">
      <c r="B194" s="5"/>
      <c r="H194" s="16"/>
    </row>
    <row r="195" spans="2:8">
      <c r="B195" s="5"/>
      <c r="H195" s="16"/>
    </row>
    <row r="196" spans="2:8">
      <c r="B196" s="5"/>
      <c r="H196" s="16"/>
    </row>
    <row r="197" spans="2:8">
      <c r="B197" s="5"/>
      <c r="H197" s="16"/>
    </row>
    <row r="198" spans="2:8">
      <c r="B198" s="5"/>
      <c r="H198" s="16"/>
    </row>
    <row r="199" spans="2:8">
      <c r="B199" s="5"/>
      <c r="H199" s="16"/>
    </row>
    <row r="200" spans="2:8">
      <c r="B200" s="5"/>
      <c r="H200" s="16"/>
    </row>
    <row r="201" spans="2:8">
      <c r="B201" s="5"/>
      <c r="H201" s="16"/>
    </row>
    <row r="202" spans="2:8">
      <c r="B202" s="5"/>
      <c r="H202" s="16"/>
    </row>
    <row r="203" spans="2:8">
      <c r="B203" s="5"/>
      <c r="H203" s="16"/>
    </row>
    <row r="204" spans="2:8">
      <c r="B204" s="5"/>
      <c r="H204" s="16"/>
    </row>
    <row r="205" spans="2:8">
      <c r="B205" s="5"/>
      <c r="H205" s="16"/>
    </row>
    <row r="206" spans="2:8">
      <c r="B206" s="5"/>
      <c r="H206" s="16"/>
    </row>
    <row r="207" spans="2:8">
      <c r="B207" s="5"/>
      <c r="H207" s="16"/>
    </row>
    <row r="208" spans="2:8">
      <c r="B208" s="5"/>
      <c r="H208" s="16"/>
    </row>
    <row r="209" spans="2:8">
      <c r="B209" s="5"/>
      <c r="H209" s="16"/>
    </row>
    <row r="210" spans="2:8">
      <c r="B210" s="5"/>
      <c r="H210" s="16"/>
    </row>
    <row r="211" spans="2:8">
      <c r="B211" s="5"/>
      <c r="H211" s="16"/>
    </row>
    <row r="212" spans="2:8">
      <c r="B212" s="5"/>
      <c r="H212" s="16"/>
    </row>
    <row r="213" spans="2:8">
      <c r="B213" s="5"/>
      <c r="H213" s="16"/>
    </row>
    <row r="214" spans="2:8">
      <c r="B214" s="5"/>
      <c r="H214" s="16"/>
    </row>
    <row r="215" spans="2:8">
      <c r="B215" s="5"/>
      <c r="H215" s="16"/>
    </row>
    <row r="216" spans="2:8">
      <c r="B216" s="5"/>
      <c r="H216" s="16"/>
    </row>
    <row r="217" spans="2:8">
      <c r="B217" s="5"/>
      <c r="H217" s="16"/>
    </row>
    <row r="218" spans="2:8">
      <c r="B218" s="5"/>
      <c r="H218" s="16"/>
    </row>
    <row r="219" spans="2:8">
      <c r="B219" s="5"/>
      <c r="H219" s="16"/>
    </row>
    <row r="220" spans="2:8">
      <c r="B220" s="5"/>
      <c r="H220" s="16"/>
    </row>
    <row r="221" spans="2:8">
      <c r="B221" s="5"/>
      <c r="H221" s="16"/>
    </row>
    <row r="222" spans="2:8">
      <c r="B222" s="5"/>
      <c r="H222" s="16"/>
    </row>
    <row r="223" spans="2:8">
      <c r="B223" s="5"/>
      <c r="H223" s="16"/>
    </row>
    <row r="224" spans="2:8">
      <c r="B224" s="5"/>
      <c r="H224" s="16"/>
    </row>
    <row r="225" spans="2:8">
      <c r="B225" s="5"/>
      <c r="H225" s="16"/>
    </row>
    <row r="226" spans="2:8">
      <c r="B226" s="5"/>
      <c r="H226" s="16"/>
    </row>
    <row r="227" spans="2:8">
      <c r="B227" s="5"/>
      <c r="H227" s="16"/>
    </row>
    <row r="228" spans="2:8">
      <c r="B228" s="5"/>
      <c r="H228" s="16"/>
    </row>
    <row r="229" spans="2:8">
      <c r="B229" s="5"/>
      <c r="H229" s="16"/>
    </row>
    <row r="230" spans="2:8">
      <c r="B230" s="5"/>
      <c r="H230" s="16"/>
    </row>
    <row r="231" spans="2:8">
      <c r="B231" s="5"/>
      <c r="H231" s="16"/>
    </row>
    <row r="232" spans="2:8">
      <c r="B232" s="5"/>
      <c r="H232" s="16"/>
    </row>
    <row r="233" spans="2:8">
      <c r="B233" s="5"/>
      <c r="H233" s="16"/>
    </row>
    <row r="234" spans="2:8">
      <c r="B234" s="5"/>
      <c r="H234" s="16"/>
    </row>
    <row r="235" spans="2:8">
      <c r="B235" s="5"/>
      <c r="H235" s="16"/>
    </row>
    <row r="236" spans="2:8">
      <c r="B236" s="5"/>
      <c r="H236" s="16"/>
    </row>
    <row r="237" spans="2:8">
      <c r="B237" s="5"/>
      <c r="H237" s="16"/>
    </row>
    <row r="238" spans="2:8">
      <c r="B238" s="5"/>
      <c r="H238" s="16"/>
    </row>
    <row r="239" spans="2:8">
      <c r="B239" s="5"/>
      <c r="H239" s="16"/>
    </row>
    <row r="240" spans="2:8">
      <c r="B240" s="5"/>
      <c r="H240" s="16"/>
    </row>
    <row r="241" spans="2:8">
      <c r="B241" s="5"/>
      <c r="H241" s="16"/>
    </row>
    <row r="242" spans="2:8">
      <c r="B242" s="5"/>
      <c r="H242" s="16"/>
    </row>
    <row r="243" spans="2:8">
      <c r="B243" s="5"/>
      <c r="H243" s="16"/>
    </row>
    <row r="244" spans="2:8">
      <c r="B244" s="5"/>
      <c r="H244" s="16"/>
    </row>
    <row r="245" spans="2:8">
      <c r="B245" s="5"/>
      <c r="H245" s="16"/>
    </row>
    <row r="246" spans="2:8">
      <c r="B246" s="5"/>
      <c r="H246" s="16"/>
    </row>
    <row r="247" spans="2:8">
      <c r="B247" s="5"/>
      <c r="H247" s="16"/>
    </row>
    <row r="248" spans="2:8">
      <c r="B248" s="5"/>
      <c r="H248" s="16"/>
    </row>
    <row r="249" spans="2:8">
      <c r="B249" s="5"/>
      <c r="H249" s="16"/>
    </row>
    <row r="250" spans="2:8">
      <c r="B250" s="5"/>
      <c r="H250" s="16"/>
    </row>
    <row r="251" spans="2:8">
      <c r="B251" s="5"/>
      <c r="H251" s="16"/>
    </row>
    <row r="252" spans="2:8">
      <c r="B252" s="5"/>
      <c r="H252" s="16"/>
    </row>
    <row r="253" spans="2:8">
      <c r="B253" s="5"/>
      <c r="H253" s="16"/>
    </row>
    <row r="254" spans="2:8">
      <c r="B254" s="5"/>
      <c r="H254" s="16"/>
    </row>
    <row r="255" spans="2:8">
      <c r="B255" s="5"/>
      <c r="H255" s="16"/>
    </row>
    <row r="256" spans="2:8">
      <c r="B256" s="5"/>
      <c r="H256" s="16"/>
    </row>
    <row r="257" spans="2:8">
      <c r="B257" s="5"/>
      <c r="H257" s="16"/>
    </row>
    <row r="258" spans="2:8">
      <c r="B258" s="5"/>
      <c r="H258" s="16"/>
    </row>
    <row r="259" spans="2:8">
      <c r="B259" s="5"/>
      <c r="H259" s="16"/>
    </row>
    <row r="260" spans="2:8">
      <c r="B260" s="5"/>
      <c r="H260" s="16"/>
    </row>
    <row r="261" spans="2:8">
      <c r="B261" s="5"/>
      <c r="H261" s="16"/>
    </row>
    <row r="262" spans="2:8">
      <c r="B262" s="5"/>
      <c r="H262" s="16"/>
    </row>
    <row r="263" spans="2:8">
      <c r="B263" s="5"/>
      <c r="H263" s="16"/>
    </row>
    <row r="264" spans="2:8">
      <c r="B264" s="5"/>
      <c r="H264" s="16"/>
    </row>
    <row r="265" spans="2:8">
      <c r="B265" s="5"/>
      <c r="H265" s="16"/>
    </row>
    <row r="266" spans="2:8">
      <c r="B266" s="5"/>
      <c r="H266" s="16"/>
    </row>
    <row r="267" spans="2:8">
      <c r="B267" s="5"/>
      <c r="H267" s="16"/>
    </row>
    <row r="268" spans="2:8">
      <c r="B268" s="5"/>
      <c r="H268" s="16"/>
    </row>
    <row r="269" spans="2:8">
      <c r="B269" s="5"/>
      <c r="H269" s="16"/>
    </row>
    <row r="270" spans="2:8">
      <c r="B270" s="5"/>
      <c r="H270" s="16"/>
    </row>
    <row r="271" spans="2:8">
      <c r="B271" s="5"/>
      <c r="H271" s="16"/>
    </row>
    <row r="272" spans="2:8">
      <c r="B272" s="5"/>
      <c r="H272" s="16"/>
    </row>
    <row r="273" spans="2:8">
      <c r="B273" s="5"/>
      <c r="H273" s="16"/>
    </row>
    <row r="274" spans="2:8">
      <c r="B274" s="5"/>
      <c r="H274" s="16"/>
    </row>
    <row r="275" spans="2:8">
      <c r="B275" s="5"/>
      <c r="H275" s="16"/>
    </row>
    <row r="276" spans="2:8">
      <c r="B276" s="5"/>
      <c r="H276" s="16"/>
    </row>
    <row r="277" spans="2:8">
      <c r="B277" s="5"/>
      <c r="H277" s="16"/>
    </row>
    <row r="278" spans="2:8">
      <c r="B278" s="5"/>
      <c r="H278" s="16"/>
    </row>
    <row r="279" spans="2:8">
      <c r="B279" s="5"/>
      <c r="H279" s="16"/>
    </row>
    <row r="280" spans="2:8">
      <c r="B280" s="5"/>
      <c r="H280" s="16"/>
    </row>
    <row r="281" spans="2:8">
      <c r="B281" s="5"/>
      <c r="H281" s="16"/>
    </row>
    <row r="282" spans="2:8">
      <c r="B282" s="5"/>
      <c r="H282" s="16"/>
    </row>
    <row r="283" spans="2:8">
      <c r="B283" s="5"/>
      <c r="H283" s="16"/>
    </row>
    <row r="284" spans="2:8">
      <c r="B284" s="5"/>
      <c r="H284" s="16"/>
    </row>
    <row r="285" spans="2:8">
      <c r="B285" s="5"/>
      <c r="H285" s="16"/>
    </row>
    <row r="286" spans="2:8">
      <c r="B286" s="5"/>
      <c r="H286" s="16"/>
    </row>
    <row r="287" spans="2:8">
      <c r="B287" s="5"/>
      <c r="H287" s="16"/>
    </row>
    <row r="288" spans="2:8">
      <c r="B288" s="5"/>
      <c r="H288" s="16"/>
    </row>
    <row r="289" spans="2:8">
      <c r="B289" s="5"/>
      <c r="H289" s="16"/>
    </row>
    <row r="290" spans="2:8">
      <c r="B290" s="5"/>
      <c r="H290" s="16"/>
    </row>
    <row r="291" spans="2:8">
      <c r="B291" s="5"/>
      <c r="H291" s="16"/>
    </row>
    <row r="292" spans="2:8">
      <c r="B292" s="5"/>
      <c r="H292" s="16"/>
    </row>
    <row r="293" spans="2:8">
      <c r="B293" s="5"/>
      <c r="H293" s="16"/>
    </row>
    <row r="294" spans="2:8">
      <c r="B294" s="5"/>
      <c r="H294" s="16"/>
    </row>
    <row r="295" spans="2:8">
      <c r="B295" s="5"/>
      <c r="H295" s="16"/>
    </row>
    <row r="296" spans="2:8">
      <c r="B296" s="5"/>
      <c r="H296" s="16"/>
    </row>
    <row r="297" spans="2:8">
      <c r="B297" s="5"/>
      <c r="H297" s="16"/>
    </row>
    <row r="298" spans="2:8">
      <c r="B298" s="5"/>
      <c r="H298" s="16"/>
    </row>
    <row r="299" spans="2:8">
      <c r="B299" s="5"/>
      <c r="H299" s="16"/>
    </row>
    <row r="300" spans="2:8">
      <c r="B300" s="5"/>
      <c r="H300" s="16"/>
    </row>
    <row r="301" spans="2:8">
      <c r="B301" s="5"/>
      <c r="H301" s="16"/>
    </row>
    <row r="302" spans="2:8">
      <c r="B302" s="5"/>
      <c r="H302" s="16"/>
    </row>
    <row r="303" spans="2:8">
      <c r="B303" s="5"/>
      <c r="H303" s="16"/>
    </row>
    <row r="304" spans="2:8">
      <c r="B304" s="5"/>
      <c r="H304" s="16"/>
    </row>
    <row r="305" spans="2:8">
      <c r="B305" s="5"/>
      <c r="H305" s="16"/>
    </row>
    <row r="306" spans="2:8">
      <c r="B306" s="5"/>
      <c r="H306" s="16"/>
    </row>
    <row r="307" spans="2:8">
      <c r="B307" s="5"/>
      <c r="H307" s="16"/>
    </row>
    <row r="308" spans="2:8">
      <c r="B308" s="5"/>
      <c r="H308" s="16"/>
    </row>
    <row r="309" spans="2:8">
      <c r="B309" s="5"/>
      <c r="H309" s="16"/>
    </row>
    <row r="310" spans="2:8">
      <c r="B310" s="5"/>
      <c r="H310" s="16"/>
    </row>
    <row r="311" spans="2:8">
      <c r="B311" s="5"/>
      <c r="H311" s="16"/>
    </row>
    <row r="312" spans="2:8">
      <c r="B312" s="5"/>
      <c r="H312" s="16"/>
    </row>
    <row r="313" spans="2:8">
      <c r="B313" s="5"/>
      <c r="H313" s="16"/>
    </row>
    <row r="314" spans="2:8">
      <c r="B314" s="5"/>
      <c r="H314" s="16"/>
    </row>
    <row r="315" spans="2:8">
      <c r="B315" s="5"/>
      <c r="H315" s="16"/>
    </row>
    <row r="316" spans="2:8">
      <c r="B316" s="5"/>
      <c r="H316" s="16"/>
    </row>
    <row r="317" spans="2:8">
      <c r="B317" s="5"/>
      <c r="H317" s="16"/>
    </row>
    <row r="318" spans="2:8">
      <c r="B318" s="5"/>
      <c r="H318" s="16"/>
    </row>
    <row r="319" spans="2:8">
      <c r="B319" s="5"/>
      <c r="H319" s="16"/>
    </row>
    <row r="320" spans="2:8">
      <c r="B320" s="5"/>
      <c r="H320" s="16"/>
    </row>
    <row r="321" spans="2:8">
      <c r="B321" s="5"/>
      <c r="H321" s="16"/>
    </row>
    <row r="322" spans="2:8">
      <c r="B322" s="5"/>
      <c r="H322" s="16"/>
    </row>
    <row r="323" spans="2:8">
      <c r="B323" s="5"/>
      <c r="H323" s="16"/>
    </row>
    <row r="324" spans="2:8">
      <c r="B324" s="5"/>
      <c r="H324" s="16"/>
    </row>
    <row r="325" spans="2:8">
      <c r="B325" s="5"/>
      <c r="H325" s="16"/>
    </row>
    <row r="326" spans="2:8">
      <c r="B326" s="5"/>
      <c r="H326" s="16"/>
    </row>
    <row r="327" spans="2:8">
      <c r="B327" s="5"/>
      <c r="H327" s="16"/>
    </row>
    <row r="328" spans="2:8">
      <c r="B328" s="5"/>
      <c r="H328" s="16"/>
    </row>
    <row r="329" spans="2:8">
      <c r="B329" s="5"/>
      <c r="H329" s="16"/>
    </row>
    <row r="330" spans="2:8">
      <c r="B330" s="5"/>
      <c r="H330" s="16"/>
    </row>
    <row r="331" spans="2:8">
      <c r="B331" s="5"/>
      <c r="H331" s="16"/>
    </row>
    <row r="332" spans="2:8">
      <c r="B332" s="5"/>
      <c r="H332" s="16"/>
    </row>
    <row r="333" spans="2:8">
      <c r="B333" s="5"/>
      <c r="H333" s="16"/>
    </row>
    <row r="334" spans="2:8">
      <c r="B334" s="5"/>
      <c r="H334" s="16"/>
    </row>
    <row r="335" spans="2:8">
      <c r="B335" s="5"/>
      <c r="H335" s="16"/>
    </row>
    <row r="336" spans="2:8">
      <c r="B336" s="5"/>
      <c r="H336" s="16"/>
    </row>
    <row r="337" spans="2:8">
      <c r="B337" s="5"/>
      <c r="H337" s="16"/>
    </row>
    <row r="338" spans="2:8">
      <c r="B338" s="5"/>
      <c r="H338" s="16"/>
    </row>
    <row r="339" spans="2:8">
      <c r="B339" s="5"/>
      <c r="H339" s="16"/>
    </row>
    <row r="340" spans="2:8">
      <c r="B340" s="5"/>
      <c r="H340" s="16"/>
    </row>
    <row r="341" spans="2:8">
      <c r="B341" s="5"/>
      <c r="H341" s="16"/>
    </row>
    <row r="342" spans="2:8">
      <c r="B342" s="5"/>
      <c r="H342" s="16"/>
    </row>
    <row r="343" spans="2:8">
      <c r="B343" s="5"/>
      <c r="H343" s="16"/>
    </row>
    <row r="344" spans="2:8">
      <c r="B344" s="5"/>
      <c r="H344" s="16"/>
    </row>
    <row r="345" spans="2:8">
      <c r="B345" s="5"/>
      <c r="H345" s="16"/>
    </row>
    <row r="346" spans="2:8">
      <c r="B346" s="5"/>
      <c r="H346" s="16"/>
    </row>
    <row r="347" spans="2:8">
      <c r="B347" s="5"/>
      <c r="H347" s="16"/>
    </row>
    <row r="348" spans="2:8">
      <c r="B348" s="5"/>
      <c r="H348" s="16"/>
    </row>
    <row r="349" spans="2:8">
      <c r="B349" s="5"/>
      <c r="H349" s="16"/>
    </row>
    <row r="350" spans="2:8">
      <c r="B350" s="5"/>
      <c r="H350" s="16"/>
    </row>
    <row r="351" spans="2:8">
      <c r="B351" s="5"/>
      <c r="H351" s="16"/>
    </row>
    <row r="352" spans="2:8">
      <c r="B352" s="5"/>
      <c r="H352" s="16"/>
    </row>
    <row r="353" spans="2:8">
      <c r="B353" s="5"/>
      <c r="H353" s="16"/>
    </row>
    <row r="354" spans="2:8">
      <c r="B354" s="5"/>
      <c r="H354" s="16"/>
    </row>
    <row r="355" spans="2:8">
      <c r="B355" s="5"/>
      <c r="H355" s="16"/>
    </row>
    <row r="356" spans="2:8">
      <c r="B356" s="5"/>
      <c r="H356" s="16"/>
    </row>
    <row r="357" spans="2:8">
      <c r="B357" s="5"/>
      <c r="H357" s="16"/>
    </row>
    <row r="358" spans="2:8">
      <c r="B358" s="5"/>
      <c r="H358" s="16"/>
    </row>
    <row r="359" spans="2:8">
      <c r="B359" s="5"/>
      <c r="H359" s="16"/>
    </row>
    <row r="360" spans="2:8">
      <c r="B360" s="5"/>
      <c r="H360" s="16"/>
    </row>
    <row r="361" spans="2:8">
      <c r="B361" s="5"/>
      <c r="H361" s="16"/>
    </row>
    <row r="362" spans="2:8">
      <c r="B362" s="5"/>
      <c r="H362" s="16"/>
    </row>
    <row r="363" spans="2:8">
      <c r="B363" s="5"/>
      <c r="H363" s="16"/>
    </row>
    <row r="364" spans="2:8">
      <c r="B364" s="5"/>
      <c r="H364" s="16"/>
    </row>
    <row r="365" spans="2:8">
      <c r="B365" s="5"/>
      <c r="H365" s="16"/>
    </row>
    <row r="366" spans="2:8">
      <c r="B366" s="5"/>
      <c r="H366" s="16"/>
    </row>
    <row r="367" spans="2:8">
      <c r="B367" s="5"/>
      <c r="H367" s="16"/>
    </row>
    <row r="368" spans="2:8">
      <c r="B368" s="5"/>
      <c r="H368" s="16"/>
    </row>
    <row r="369" spans="2:8">
      <c r="B369" s="5"/>
      <c r="H369" s="16"/>
    </row>
    <row r="370" spans="2:8">
      <c r="B370" s="5"/>
      <c r="H370" s="16"/>
    </row>
    <row r="371" spans="2:8">
      <c r="B371" s="5"/>
      <c r="H371" s="16"/>
    </row>
    <row r="372" spans="2:8">
      <c r="B372" s="5"/>
      <c r="H372" s="16"/>
    </row>
    <row r="373" spans="2:8">
      <c r="B373" s="5"/>
      <c r="H373" s="16"/>
    </row>
    <row r="374" spans="2:8">
      <c r="B374" s="5"/>
      <c r="H374" s="16"/>
    </row>
    <row r="375" spans="2:8">
      <c r="B375" s="5"/>
      <c r="H375" s="16"/>
    </row>
    <row r="376" spans="2:8">
      <c r="B376" s="5"/>
      <c r="H376" s="16"/>
    </row>
    <row r="377" spans="2:8">
      <c r="B377" s="5"/>
      <c r="H377" s="16"/>
    </row>
    <row r="378" spans="2:8">
      <c r="B378" s="5"/>
      <c r="H378" s="16"/>
    </row>
    <row r="379" spans="2:8">
      <c r="B379" s="5"/>
      <c r="H379" s="16"/>
    </row>
    <row r="380" spans="2:8">
      <c r="B380" s="5"/>
      <c r="H380" s="16"/>
    </row>
    <row r="381" spans="2:8">
      <c r="B381" s="5"/>
      <c r="H381" s="16"/>
    </row>
    <row r="382" spans="2:8">
      <c r="B382" s="5"/>
      <c r="H382" s="16"/>
    </row>
    <row r="383" spans="2:8">
      <c r="B383" s="5"/>
      <c r="H383" s="16"/>
    </row>
    <row r="384" spans="2:8">
      <c r="B384" s="5"/>
      <c r="H384" s="16"/>
    </row>
    <row r="385" spans="2:8">
      <c r="B385" s="5"/>
      <c r="H385" s="16"/>
    </row>
    <row r="386" spans="2:8">
      <c r="B386" s="5"/>
      <c r="H386" s="16"/>
    </row>
    <row r="387" spans="2:8">
      <c r="B387" s="5"/>
      <c r="H387" s="16"/>
    </row>
    <row r="388" spans="2:8">
      <c r="B388" s="5"/>
      <c r="H388" s="16"/>
    </row>
    <row r="389" spans="2:8">
      <c r="B389" s="5"/>
      <c r="H389" s="16"/>
    </row>
    <row r="390" spans="2:8">
      <c r="B390" s="5"/>
      <c r="H390" s="16"/>
    </row>
    <row r="391" spans="2:8">
      <c r="B391" s="5"/>
      <c r="H391" s="16"/>
    </row>
    <row r="392" spans="2:8">
      <c r="B392" s="5"/>
      <c r="H392" s="16"/>
    </row>
    <row r="393" spans="2:8">
      <c r="B393" s="5"/>
      <c r="H393" s="16"/>
    </row>
    <row r="394" spans="2:8">
      <c r="B394" s="5"/>
      <c r="H394" s="16"/>
    </row>
    <row r="395" spans="2:8">
      <c r="B395" s="5"/>
      <c r="H395" s="16"/>
    </row>
    <row r="396" spans="2:8">
      <c r="B396" s="5"/>
      <c r="H396" s="16"/>
    </row>
    <row r="397" spans="2:8">
      <c r="B397" s="5"/>
      <c r="H397" s="16"/>
    </row>
    <row r="398" spans="2:8">
      <c r="B398" s="5"/>
      <c r="H398" s="16"/>
    </row>
    <row r="399" spans="2:8">
      <c r="B399" s="5"/>
      <c r="H399" s="16"/>
    </row>
    <row r="400" spans="2:8">
      <c r="B400" s="5"/>
      <c r="H400" s="16"/>
    </row>
    <row r="401" spans="2:8">
      <c r="B401" s="5"/>
      <c r="H401" s="16"/>
    </row>
    <row r="402" spans="2:8">
      <c r="B402" s="5"/>
      <c r="H402" s="16"/>
    </row>
    <row r="403" spans="2:8">
      <c r="B403" s="5"/>
      <c r="H403" s="16"/>
    </row>
    <row r="404" spans="2:8">
      <c r="B404" s="5"/>
      <c r="H404" s="16"/>
    </row>
    <row r="405" spans="2:8">
      <c r="B405" s="5"/>
      <c r="H405" s="16"/>
    </row>
    <row r="406" spans="2:8">
      <c r="B406" s="5"/>
      <c r="H406" s="16"/>
    </row>
    <row r="407" spans="2:8">
      <c r="B407" s="5"/>
      <c r="H407" s="16"/>
    </row>
    <row r="408" spans="2:8">
      <c r="B408" s="5"/>
      <c r="H408" s="16"/>
    </row>
    <row r="409" spans="2:8">
      <c r="B409" s="5"/>
      <c r="H409" s="16"/>
    </row>
    <row r="410" spans="2:8">
      <c r="B410" s="5"/>
      <c r="H410" s="16"/>
    </row>
    <row r="411" spans="2:8">
      <c r="B411" s="5"/>
      <c r="H411" s="16"/>
    </row>
    <row r="412" spans="2:8">
      <c r="B412" s="5"/>
      <c r="H412" s="16"/>
    </row>
    <row r="413" spans="2:8">
      <c r="B413" s="5"/>
      <c r="H413" s="16"/>
    </row>
    <row r="414" spans="2:8">
      <c r="B414" s="5"/>
      <c r="H414" s="16"/>
    </row>
    <row r="415" spans="2:8">
      <c r="B415" s="5"/>
      <c r="H415" s="16"/>
    </row>
    <row r="416" spans="2:8">
      <c r="B416" s="5"/>
      <c r="H416" s="16"/>
    </row>
    <row r="417" spans="2:8">
      <c r="B417" s="5"/>
      <c r="H417" s="16"/>
    </row>
    <row r="418" spans="2:8">
      <c r="B418" s="5"/>
      <c r="H418" s="16"/>
    </row>
    <row r="419" spans="2:8">
      <c r="B419" s="5"/>
      <c r="H419" s="16"/>
    </row>
    <row r="420" spans="2:8">
      <c r="B420" s="5"/>
      <c r="H420" s="16"/>
    </row>
    <row r="421" spans="2:8">
      <c r="B421" s="5"/>
      <c r="H421" s="16"/>
    </row>
    <row r="422" spans="2:8">
      <c r="B422" s="5"/>
      <c r="H422" s="16"/>
    </row>
    <row r="423" spans="2:8">
      <c r="B423" s="5"/>
      <c r="H423" s="16"/>
    </row>
    <row r="424" spans="2:8">
      <c r="B424" s="5"/>
      <c r="H424" s="16"/>
    </row>
    <row r="425" spans="2:8">
      <c r="B425" s="5"/>
      <c r="H425" s="16"/>
    </row>
    <row r="426" spans="2:8">
      <c r="B426" s="5"/>
      <c r="H426" s="16"/>
    </row>
    <row r="427" spans="2:8">
      <c r="B427" s="5"/>
      <c r="H427" s="16"/>
    </row>
    <row r="428" spans="2:8">
      <c r="B428" s="5"/>
      <c r="H428" s="16"/>
    </row>
    <row r="429" spans="2:8">
      <c r="B429" s="5"/>
      <c r="H429" s="16"/>
    </row>
    <row r="430" spans="2:8">
      <c r="B430" s="5"/>
      <c r="H430" s="16"/>
    </row>
    <row r="431" spans="2:8">
      <c r="B431" s="5"/>
      <c r="H431" s="16"/>
    </row>
    <row r="432" spans="2:8">
      <c r="B432" s="5"/>
      <c r="H432" s="16"/>
    </row>
    <row r="433" spans="2:8">
      <c r="B433" s="5"/>
      <c r="H433" s="16"/>
    </row>
    <row r="434" spans="2:8">
      <c r="B434" s="5"/>
      <c r="H434" s="16"/>
    </row>
    <row r="435" spans="2:8">
      <c r="B435" s="5"/>
      <c r="H435" s="16"/>
    </row>
    <row r="436" spans="2:8">
      <c r="B436" s="5"/>
      <c r="H436" s="16"/>
    </row>
    <row r="437" spans="2:8">
      <c r="B437" s="5"/>
      <c r="H437" s="16"/>
    </row>
    <row r="438" spans="2:8">
      <c r="B438" s="5"/>
      <c r="H438" s="16"/>
    </row>
    <row r="439" spans="2:8">
      <c r="B439" s="5"/>
      <c r="H439" s="16"/>
    </row>
    <row r="440" spans="2:8">
      <c r="B440" s="5"/>
      <c r="H440" s="16"/>
    </row>
    <row r="441" spans="2:8">
      <c r="B441" s="5"/>
      <c r="H441" s="16"/>
    </row>
    <row r="442" spans="2:8">
      <c r="B442" s="5"/>
      <c r="H442" s="16"/>
    </row>
    <row r="443" spans="2:8">
      <c r="B443" s="5"/>
      <c r="H443" s="16"/>
    </row>
    <row r="444" spans="2:8">
      <c r="B444" s="5"/>
      <c r="H444" s="16"/>
    </row>
    <row r="445" spans="2:8">
      <c r="B445" s="5"/>
      <c r="H445" s="16"/>
    </row>
    <row r="446" spans="2:8">
      <c r="B446" s="5"/>
      <c r="H446" s="16"/>
    </row>
    <row r="447" spans="2:8">
      <c r="B447" s="5"/>
      <c r="H447" s="16"/>
    </row>
    <row r="448" spans="2:8">
      <c r="B448" s="5"/>
      <c r="H448" s="16"/>
    </row>
    <row r="449" spans="2:8">
      <c r="B449" s="5"/>
      <c r="H449" s="16"/>
    </row>
    <row r="450" spans="2:8">
      <c r="B450" s="5"/>
      <c r="H450" s="16"/>
    </row>
    <row r="451" spans="2:8">
      <c r="B451" s="5"/>
      <c r="H451" s="16"/>
    </row>
    <row r="452" spans="2:8">
      <c r="B452" s="5"/>
      <c r="H452" s="16"/>
    </row>
    <row r="453" spans="2:8">
      <c r="B453" s="5"/>
      <c r="H453" s="16"/>
    </row>
    <row r="454" spans="2:8">
      <c r="B454" s="5"/>
      <c r="H454" s="16"/>
    </row>
    <row r="455" spans="2:8">
      <c r="B455" s="5"/>
      <c r="H455" s="16"/>
    </row>
    <row r="456" spans="2:8">
      <c r="B456" s="5"/>
      <c r="H456" s="16"/>
    </row>
    <row r="457" spans="2:8">
      <c r="B457" s="5"/>
      <c r="H457" s="16"/>
    </row>
    <row r="458" spans="2:8">
      <c r="B458" s="5"/>
      <c r="H458" s="16"/>
    </row>
    <row r="459" spans="2:8">
      <c r="B459" s="5"/>
      <c r="H459" s="16"/>
    </row>
    <row r="460" spans="2:8">
      <c r="B460" s="5"/>
      <c r="H460" s="16"/>
    </row>
    <row r="461" spans="2:8">
      <c r="B461" s="5"/>
      <c r="H461" s="16"/>
    </row>
    <row r="462" spans="2:8">
      <c r="B462" s="5"/>
      <c r="H462" s="16"/>
    </row>
    <row r="463" spans="2:8">
      <c r="B463" s="5"/>
      <c r="H463" s="16"/>
    </row>
    <row r="464" spans="2:8">
      <c r="B464" s="5"/>
      <c r="H464" s="16"/>
    </row>
    <row r="465" spans="2:8">
      <c r="B465" s="5"/>
      <c r="H465" s="16"/>
    </row>
    <row r="466" spans="2:8">
      <c r="B466" s="5"/>
      <c r="H466" s="16"/>
    </row>
    <row r="467" spans="2:8">
      <c r="B467" s="5"/>
      <c r="H467" s="16"/>
    </row>
    <row r="468" spans="2:8">
      <c r="B468" s="5"/>
      <c r="H468" s="16"/>
    </row>
    <row r="469" spans="2:8">
      <c r="B469" s="5"/>
      <c r="H469" s="16"/>
    </row>
    <row r="470" spans="2:8">
      <c r="B470" s="5"/>
      <c r="H470" s="16"/>
    </row>
    <row r="471" spans="2:8">
      <c r="B471" s="5"/>
      <c r="H471" s="16"/>
    </row>
    <row r="472" spans="2:8">
      <c r="B472" s="5"/>
      <c r="H472" s="16"/>
    </row>
    <row r="473" spans="2:8">
      <c r="B473" s="5"/>
      <c r="H473" s="16"/>
    </row>
    <row r="474" spans="2:8">
      <c r="B474" s="5"/>
      <c r="H474" s="16"/>
    </row>
    <row r="475" spans="2:8">
      <c r="B475" s="5"/>
      <c r="H475" s="16"/>
    </row>
    <row r="476" spans="2:8">
      <c r="B476" s="5"/>
      <c r="H476" s="16"/>
    </row>
    <row r="477" spans="2:8">
      <c r="B477" s="5"/>
      <c r="H477" s="16"/>
    </row>
    <row r="478" spans="2:8">
      <c r="B478" s="5"/>
      <c r="H478" s="16"/>
    </row>
    <row r="479" spans="2:8">
      <c r="B479" s="5"/>
      <c r="H479" s="16"/>
    </row>
    <row r="480" spans="2:8">
      <c r="B480" s="5"/>
      <c r="H480" s="16"/>
    </row>
    <row r="481" spans="2:8">
      <c r="B481" s="5"/>
      <c r="H481" s="16"/>
    </row>
    <row r="482" spans="2:8">
      <c r="B482" s="5"/>
      <c r="H482" s="16"/>
    </row>
    <row r="483" spans="2:8">
      <c r="B483" s="5"/>
      <c r="H483" s="16"/>
    </row>
    <row r="484" spans="2:8">
      <c r="B484" s="5"/>
      <c r="H484" s="16"/>
    </row>
    <row r="485" spans="2:8">
      <c r="B485" s="5"/>
      <c r="H485" s="16"/>
    </row>
    <row r="486" spans="2:8">
      <c r="B486" s="5"/>
      <c r="H486" s="16"/>
    </row>
    <row r="487" spans="2:8">
      <c r="B487" s="5"/>
      <c r="H487" s="16"/>
    </row>
    <row r="488" spans="2:8">
      <c r="B488" s="5"/>
      <c r="H488" s="16"/>
    </row>
    <row r="489" spans="2:8">
      <c r="B489" s="5"/>
      <c r="H489" s="16"/>
    </row>
    <row r="490" spans="2:8">
      <c r="B490" s="5"/>
      <c r="H490" s="16"/>
    </row>
    <row r="491" spans="2:8">
      <c r="B491" s="5"/>
      <c r="H491" s="16"/>
    </row>
    <row r="492" spans="2:8">
      <c r="B492" s="5"/>
      <c r="H492" s="16"/>
    </row>
    <row r="493" spans="2:8">
      <c r="B493" s="5"/>
      <c r="H493" s="16"/>
    </row>
    <row r="494" spans="2:8">
      <c r="B494" s="5"/>
      <c r="H494" s="16"/>
    </row>
    <row r="495" spans="2:8">
      <c r="B495" s="5"/>
      <c r="H495" s="16"/>
    </row>
    <row r="496" spans="2:8">
      <c r="B496" s="5"/>
      <c r="H496" s="16"/>
    </row>
    <row r="497" spans="2:8">
      <c r="B497" s="5"/>
      <c r="H497" s="16"/>
    </row>
    <row r="498" spans="2:8">
      <c r="B498" s="5"/>
      <c r="H498" s="16"/>
    </row>
    <row r="499" spans="2:8">
      <c r="B499" s="5"/>
      <c r="H499" s="16"/>
    </row>
    <row r="500" spans="2:8">
      <c r="B500" s="5"/>
      <c r="H500" s="16"/>
    </row>
    <row r="501" spans="2:8">
      <c r="B501" s="5"/>
      <c r="H501" s="16"/>
    </row>
    <row r="502" spans="2:8">
      <c r="B502" s="5"/>
      <c r="H502" s="16"/>
    </row>
    <row r="503" spans="2:8">
      <c r="B503" s="5"/>
      <c r="H503" s="16"/>
    </row>
    <row r="504" spans="2:8">
      <c r="B504" s="5"/>
      <c r="H504" s="16"/>
    </row>
    <row r="505" spans="2:8">
      <c r="B505" s="5"/>
      <c r="H505" s="16"/>
    </row>
    <row r="506" spans="2:8">
      <c r="B506" s="5"/>
      <c r="H506" s="16"/>
    </row>
    <row r="507" spans="2:8">
      <c r="B507" s="5"/>
      <c r="H507" s="16"/>
    </row>
    <row r="508" spans="2:8">
      <c r="B508" s="5"/>
      <c r="H508" s="16"/>
    </row>
    <row r="509" spans="2:8">
      <c r="B509" s="5"/>
      <c r="H509" s="16"/>
    </row>
    <row r="510" spans="2:8">
      <c r="B510" s="5"/>
      <c r="H510" s="16"/>
    </row>
    <row r="511" spans="2:8">
      <c r="B511" s="5"/>
      <c r="H511" s="16"/>
    </row>
    <row r="512" spans="2:8">
      <c r="B512" s="5"/>
      <c r="H512" s="16"/>
    </row>
    <row r="513" spans="2:8">
      <c r="B513" s="5"/>
      <c r="H513" s="16"/>
    </row>
    <row r="514" spans="2:8">
      <c r="B514" s="5"/>
      <c r="H514" s="16"/>
    </row>
    <row r="515" spans="2:8">
      <c r="B515" s="5"/>
      <c r="H515" s="16"/>
    </row>
    <row r="516" spans="2:8">
      <c r="B516" s="5"/>
      <c r="H516" s="16"/>
    </row>
    <row r="517" spans="2:8">
      <c r="B517" s="5"/>
      <c r="H517" s="16"/>
    </row>
    <row r="518" spans="2:8">
      <c r="B518" s="5"/>
      <c r="H518" s="16"/>
    </row>
    <row r="519" spans="2:8">
      <c r="B519" s="5"/>
      <c r="H519" s="16"/>
    </row>
    <row r="520" spans="2:8">
      <c r="B520" s="5"/>
      <c r="H520" s="16"/>
    </row>
    <row r="521" spans="2:8">
      <c r="B521" s="5"/>
      <c r="H521" s="16"/>
    </row>
    <row r="522" spans="2:8">
      <c r="B522" s="5"/>
      <c r="H522" s="16"/>
    </row>
    <row r="523" spans="2:8">
      <c r="B523" s="5"/>
      <c r="H523" s="16"/>
    </row>
    <row r="524" spans="2:8">
      <c r="B524" s="5"/>
      <c r="H524" s="16"/>
    </row>
    <row r="525" spans="2:8">
      <c r="B525" s="5"/>
      <c r="H525" s="16"/>
    </row>
    <row r="526" spans="2:8">
      <c r="B526" s="5"/>
      <c r="H526" s="16"/>
    </row>
    <row r="527" spans="2:8">
      <c r="B527" s="5"/>
      <c r="H527" s="16"/>
    </row>
    <row r="528" spans="2:8">
      <c r="B528" s="5"/>
      <c r="H528" s="16"/>
    </row>
    <row r="529" spans="2:8">
      <c r="B529" s="5"/>
      <c r="H529" s="16"/>
    </row>
    <row r="530" spans="2:8">
      <c r="B530" s="5"/>
      <c r="H530" s="16"/>
    </row>
    <row r="531" spans="2:8">
      <c r="B531" s="5"/>
      <c r="H531" s="16"/>
    </row>
    <row r="532" spans="2:8">
      <c r="B532" s="5"/>
      <c r="H532" s="16"/>
    </row>
    <row r="533" spans="2:8">
      <c r="B533" s="5"/>
      <c r="H533" s="16"/>
    </row>
    <row r="534" spans="2:8">
      <c r="B534" s="5"/>
      <c r="H534" s="16"/>
    </row>
    <row r="535" spans="2:8">
      <c r="B535" s="5"/>
      <c r="H535" s="16"/>
    </row>
    <row r="536" spans="2:8">
      <c r="B536" s="5"/>
      <c r="H536" s="16"/>
    </row>
    <row r="537" spans="2:8">
      <c r="B537" s="5"/>
      <c r="H537" s="16"/>
    </row>
    <row r="538" spans="2:8">
      <c r="B538" s="5"/>
      <c r="H538" s="16"/>
    </row>
    <row r="539" spans="2:8">
      <c r="B539" s="5"/>
      <c r="H539" s="16"/>
    </row>
    <row r="540" spans="2:8">
      <c r="B540" s="5"/>
      <c r="H540" s="16"/>
    </row>
    <row r="541" spans="2:8">
      <c r="B541" s="5"/>
      <c r="H541" s="16"/>
    </row>
    <row r="542" spans="2:8">
      <c r="B542" s="5"/>
      <c r="H542" s="16"/>
    </row>
    <row r="543" spans="2:8">
      <c r="B543" s="5"/>
      <c r="H543" s="16"/>
    </row>
    <row r="544" spans="2:8">
      <c r="B544" s="5"/>
      <c r="H544" s="16"/>
    </row>
    <row r="545" spans="2:8">
      <c r="B545" s="5"/>
      <c r="H545" s="16"/>
    </row>
    <row r="546" spans="2:8">
      <c r="B546" s="5"/>
      <c r="H546" s="16"/>
    </row>
    <row r="547" spans="2:8">
      <c r="B547" s="5"/>
      <c r="H547" s="16"/>
    </row>
    <row r="548" spans="2:8">
      <c r="B548" s="5"/>
      <c r="H548" s="16"/>
    </row>
    <row r="549" spans="2:8">
      <c r="B549" s="5"/>
      <c r="H549" s="16"/>
    </row>
    <row r="550" spans="2:8">
      <c r="B550" s="5"/>
      <c r="H550" s="16"/>
    </row>
    <row r="551" spans="2:8">
      <c r="B551" s="5"/>
      <c r="H551" s="16"/>
    </row>
    <row r="552" spans="2:8">
      <c r="B552" s="5"/>
      <c r="H552" s="16"/>
    </row>
    <row r="553" spans="2:8">
      <c r="B553" s="5"/>
      <c r="H553" s="16"/>
    </row>
    <row r="554" spans="2:8">
      <c r="B554" s="5"/>
      <c r="H554" s="16"/>
    </row>
    <row r="555" spans="2:8">
      <c r="B555" s="5"/>
      <c r="H555" s="16"/>
    </row>
    <row r="556" spans="2:8">
      <c r="B556" s="5"/>
      <c r="H556" s="16"/>
    </row>
    <row r="557" spans="2:8">
      <c r="B557" s="5"/>
      <c r="H557" s="16"/>
    </row>
    <row r="558" spans="2:8">
      <c r="B558" s="5"/>
      <c r="H558" s="16"/>
    </row>
    <row r="559" spans="2:8">
      <c r="B559" s="5"/>
      <c r="H559" s="16"/>
    </row>
    <row r="560" spans="2:8">
      <c r="B560" s="5"/>
      <c r="H560" s="16"/>
    </row>
    <row r="561" spans="2:8">
      <c r="B561" s="5"/>
      <c r="H561" s="16"/>
    </row>
    <row r="562" spans="2:8">
      <c r="B562" s="5"/>
      <c r="H562" s="16"/>
    </row>
    <row r="563" spans="2:8">
      <c r="B563" s="5"/>
      <c r="H563" s="16"/>
    </row>
    <row r="564" spans="2:8">
      <c r="B564" s="5"/>
      <c r="H564" s="16"/>
    </row>
    <row r="565" spans="2:8">
      <c r="B565" s="5"/>
      <c r="H565" s="16"/>
    </row>
    <row r="566" spans="2:8">
      <c r="B566" s="5"/>
      <c r="H566" s="16"/>
    </row>
    <row r="567" spans="2:8">
      <c r="B567" s="5"/>
      <c r="H567" s="16"/>
    </row>
    <row r="568" spans="2:8">
      <c r="B568" s="5"/>
      <c r="H568" s="16"/>
    </row>
    <row r="569" spans="2:8">
      <c r="B569" s="5"/>
      <c r="H569" s="16"/>
    </row>
    <row r="570" spans="2:8">
      <c r="B570" s="5"/>
      <c r="H570" s="16"/>
    </row>
    <row r="571" spans="2:8">
      <c r="B571" s="5"/>
      <c r="H571" s="16"/>
    </row>
    <row r="572" spans="2:8">
      <c r="B572" s="5"/>
      <c r="H572" s="16"/>
    </row>
    <row r="573" spans="2:8">
      <c r="B573" s="5"/>
      <c r="H573" s="16"/>
    </row>
    <row r="574" spans="2:8">
      <c r="B574" s="5"/>
      <c r="H574" s="16"/>
    </row>
    <row r="575" spans="2:8">
      <c r="B575" s="5"/>
      <c r="H575" s="16"/>
    </row>
    <row r="576" spans="2:8">
      <c r="B576" s="5"/>
      <c r="H576" s="16"/>
    </row>
    <row r="577" spans="2:8">
      <c r="B577" s="5"/>
      <c r="H577" s="16"/>
    </row>
    <row r="578" spans="2:8">
      <c r="B578" s="5"/>
      <c r="H578" s="16"/>
    </row>
    <row r="579" spans="2:8">
      <c r="B579" s="5"/>
      <c r="H579" s="16"/>
    </row>
    <row r="580" spans="2:8">
      <c r="B580" s="5"/>
      <c r="H580" s="16"/>
    </row>
    <row r="581" spans="2:8">
      <c r="B581" s="5"/>
      <c r="H581" s="16"/>
    </row>
    <row r="582" spans="2:8">
      <c r="B582" s="5"/>
      <c r="H582" s="16"/>
    </row>
    <row r="583" spans="2:8">
      <c r="B583" s="5"/>
      <c r="H583" s="16"/>
    </row>
    <row r="584" spans="2:8">
      <c r="B584" s="5"/>
      <c r="H584" s="16"/>
    </row>
    <row r="585" spans="2:8">
      <c r="B585" s="5"/>
      <c r="H585" s="16"/>
    </row>
    <row r="586" spans="2:8">
      <c r="B586" s="5"/>
      <c r="H586" s="16"/>
    </row>
    <row r="587" spans="2:8">
      <c r="B587" s="5"/>
      <c r="H587" s="16"/>
    </row>
    <row r="588" spans="2:8">
      <c r="B588" s="5"/>
      <c r="H588" s="16"/>
    </row>
    <row r="589" spans="2:8">
      <c r="B589" s="5"/>
      <c r="H589" s="16"/>
    </row>
    <row r="590" spans="2:8">
      <c r="B590" s="5"/>
      <c r="H590" s="16"/>
    </row>
    <row r="591" spans="2:8">
      <c r="B591" s="5"/>
      <c r="H591" s="16"/>
    </row>
    <row r="592" spans="2:8">
      <c r="B592" s="5"/>
      <c r="H592" s="16"/>
    </row>
    <row r="593" spans="2:8">
      <c r="B593" s="5"/>
      <c r="H593" s="16"/>
    </row>
    <row r="594" spans="2:8">
      <c r="B594" s="5"/>
      <c r="H594" s="16"/>
    </row>
    <row r="595" spans="2:8">
      <c r="B595" s="5"/>
      <c r="H595" s="16"/>
    </row>
    <row r="596" spans="2:8">
      <c r="B596" s="5"/>
      <c r="H596" s="16"/>
    </row>
    <row r="597" spans="2:8">
      <c r="B597" s="5"/>
      <c r="H597" s="16"/>
    </row>
    <row r="598" spans="2:8">
      <c r="B598" s="5"/>
      <c r="H598" s="16"/>
    </row>
    <row r="599" spans="2:8">
      <c r="B599" s="5"/>
      <c r="H599" s="16"/>
    </row>
    <row r="600" spans="2:8">
      <c r="B600" s="5"/>
      <c r="H600" s="16"/>
    </row>
    <row r="601" spans="2:8">
      <c r="B601" s="5"/>
      <c r="H601" s="16"/>
    </row>
    <row r="602" spans="2:8">
      <c r="B602" s="5"/>
      <c r="H602" s="16"/>
    </row>
    <row r="603" spans="2:8">
      <c r="B603" s="5"/>
      <c r="H603" s="16"/>
    </row>
    <row r="604" spans="2:8">
      <c r="B604" s="5"/>
      <c r="H604" s="16"/>
    </row>
    <row r="605" spans="2:8">
      <c r="B605" s="5"/>
      <c r="H605" s="16"/>
    </row>
    <row r="606" spans="2:8">
      <c r="B606" s="5"/>
      <c r="H606" s="16"/>
    </row>
    <row r="607" spans="2:8">
      <c r="B607" s="5"/>
      <c r="H607" s="16"/>
    </row>
    <row r="608" spans="2:8">
      <c r="B608" s="5"/>
      <c r="H608" s="16"/>
    </row>
    <row r="609" spans="2:8">
      <c r="B609" s="5"/>
      <c r="H609" s="16"/>
    </row>
    <row r="610" spans="2:8">
      <c r="B610" s="5"/>
      <c r="H610" s="16"/>
    </row>
    <row r="611" spans="2:8">
      <c r="B611" s="5"/>
      <c r="H611" s="16"/>
    </row>
    <row r="612" spans="2:8">
      <c r="B612" s="5"/>
      <c r="H612" s="16"/>
    </row>
    <row r="613" spans="2:8">
      <c r="B613" s="5"/>
      <c r="H613" s="16"/>
    </row>
    <row r="614" spans="2:8">
      <c r="B614" s="5"/>
      <c r="H614" s="16"/>
    </row>
    <row r="615" spans="2:8">
      <c r="B615" s="5"/>
      <c r="H615" s="16"/>
    </row>
    <row r="616" spans="2:8">
      <c r="B616" s="5"/>
      <c r="H616" s="16"/>
    </row>
    <row r="617" spans="2:8">
      <c r="B617" s="5"/>
      <c r="H617" s="16"/>
    </row>
    <row r="618" spans="2:8">
      <c r="B618" s="5"/>
      <c r="H618" s="16"/>
    </row>
    <row r="619" spans="2:8">
      <c r="B619" s="5"/>
      <c r="H619" s="16"/>
    </row>
    <row r="620" spans="2:8">
      <c r="B620" s="5"/>
      <c r="H620" s="16"/>
    </row>
    <row r="621" spans="2:8">
      <c r="B621" s="5"/>
      <c r="H621" s="16"/>
    </row>
    <row r="622" spans="2:8">
      <c r="B622" s="5"/>
      <c r="H622" s="16"/>
    </row>
    <row r="623" spans="2:8">
      <c r="B623" s="5"/>
      <c r="H623" s="16"/>
    </row>
    <row r="624" spans="2:8">
      <c r="B624" s="5"/>
      <c r="H624" s="16"/>
    </row>
    <row r="625" spans="2:8">
      <c r="B625" s="5"/>
      <c r="H625" s="16"/>
    </row>
    <row r="626" spans="2:8">
      <c r="B626" s="5"/>
      <c r="H626" s="16"/>
    </row>
    <row r="627" spans="2:8">
      <c r="B627" s="5"/>
      <c r="H627" s="16"/>
    </row>
    <row r="628" spans="2:8">
      <c r="B628" s="5"/>
      <c r="H628" s="16"/>
    </row>
    <row r="629" spans="2:8">
      <c r="B629" s="5"/>
      <c r="H629" s="16"/>
    </row>
    <row r="630" spans="2:8">
      <c r="B630" s="5"/>
      <c r="H630" s="16"/>
    </row>
    <row r="631" spans="2:8">
      <c r="B631" s="5"/>
      <c r="H631" s="16"/>
    </row>
    <row r="632" spans="2:8">
      <c r="B632" s="5"/>
      <c r="H632" s="16"/>
    </row>
    <row r="633" spans="2:8">
      <c r="B633" s="5"/>
      <c r="H633" s="16"/>
    </row>
    <row r="634" spans="2:8">
      <c r="B634" s="5"/>
      <c r="H634" s="16"/>
    </row>
    <row r="635" spans="2:8">
      <c r="B635" s="5"/>
      <c r="H635" s="16"/>
    </row>
    <row r="636" spans="2:8">
      <c r="B636" s="5"/>
      <c r="H636" s="16"/>
    </row>
    <row r="637" spans="2:8">
      <c r="B637" s="5"/>
      <c r="H637" s="16"/>
    </row>
    <row r="638" spans="2:8">
      <c r="B638" s="5"/>
      <c r="H638" s="16"/>
    </row>
    <row r="639" spans="2:8">
      <c r="B639" s="5"/>
      <c r="H639" s="16"/>
    </row>
    <row r="640" spans="2:8">
      <c r="B640" s="5"/>
      <c r="H640" s="16"/>
    </row>
    <row r="641" spans="2:8">
      <c r="B641" s="5"/>
      <c r="H641" s="16"/>
    </row>
    <row r="642" spans="2:8">
      <c r="B642" s="5"/>
      <c r="H642" s="16"/>
    </row>
    <row r="643" spans="2:8">
      <c r="B643" s="5"/>
      <c r="H643" s="16"/>
    </row>
    <row r="644" spans="2:8">
      <c r="B644" s="5"/>
      <c r="H644" s="16"/>
    </row>
    <row r="645" spans="2:8">
      <c r="B645" s="5"/>
      <c r="H645" s="16"/>
    </row>
    <row r="646" spans="2:8">
      <c r="B646" s="5"/>
      <c r="H646" s="16"/>
    </row>
    <row r="647" spans="2:8">
      <c r="B647" s="5"/>
      <c r="H647" s="16"/>
    </row>
    <row r="648" spans="2:8">
      <c r="B648" s="5"/>
      <c r="H648" s="16"/>
    </row>
    <row r="649" spans="2:8">
      <c r="B649" s="5"/>
      <c r="H649" s="16"/>
    </row>
    <row r="650" spans="2:8">
      <c r="B650" s="5"/>
      <c r="H650" s="16"/>
    </row>
    <row r="651" spans="2:8">
      <c r="B651" s="5"/>
      <c r="H651" s="16"/>
    </row>
    <row r="652" spans="2:8">
      <c r="B652" s="5"/>
      <c r="H652" s="16"/>
    </row>
    <row r="653" spans="2:8">
      <c r="B653" s="5"/>
      <c r="H653" s="16"/>
    </row>
    <row r="654" spans="2:8">
      <c r="B654" s="5"/>
      <c r="H654" s="16"/>
    </row>
    <row r="655" spans="2:8">
      <c r="B655" s="5"/>
      <c r="H655" s="16"/>
    </row>
    <row r="656" spans="2:8">
      <c r="B656" s="5"/>
      <c r="H656" s="16"/>
    </row>
    <row r="657" spans="2:8">
      <c r="B657" s="5"/>
      <c r="H657" s="16"/>
    </row>
    <row r="658" spans="2:8">
      <c r="B658" s="5"/>
      <c r="H658" s="16"/>
    </row>
    <row r="659" spans="2:8">
      <c r="B659" s="5"/>
      <c r="H659" s="16"/>
    </row>
    <row r="660" spans="2:8">
      <c r="B660" s="5"/>
      <c r="H660" s="16"/>
    </row>
    <row r="661" spans="2:8">
      <c r="B661" s="5"/>
      <c r="H661" s="16"/>
    </row>
    <row r="662" spans="2:8">
      <c r="B662" s="5"/>
      <c r="H662" s="16"/>
    </row>
    <row r="663" spans="2:8">
      <c r="B663" s="5"/>
      <c r="H663" s="16"/>
    </row>
    <row r="664" spans="2:8">
      <c r="B664" s="5"/>
      <c r="H664" s="16"/>
    </row>
    <row r="665" spans="2:8">
      <c r="B665" s="5"/>
      <c r="H665" s="16"/>
    </row>
    <row r="666" spans="2:8">
      <c r="B666" s="5"/>
      <c r="H666" s="16"/>
    </row>
    <row r="667" spans="2:8">
      <c r="B667" s="5"/>
      <c r="H667" s="16"/>
    </row>
    <row r="668" spans="2:8">
      <c r="B668" s="5"/>
      <c r="H668" s="16"/>
    </row>
    <row r="669" spans="2:8">
      <c r="B669" s="5"/>
      <c r="H669" s="16"/>
    </row>
    <row r="670" spans="2:8">
      <c r="B670" s="5"/>
      <c r="H670" s="16"/>
    </row>
    <row r="671" spans="2:8">
      <c r="B671" s="5"/>
      <c r="H671" s="16"/>
    </row>
    <row r="672" spans="2:8">
      <c r="B672" s="5"/>
      <c r="H672" s="16"/>
    </row>
    <row r="673" spans="2:8">
      <c r="B673" s="5"/>
      <c r="H673" s="16"/>
    </row>
    <row r="674" spans="2:8">
      <c r="B674" s="5"/>
      <c r="H674" s="16"/>
    </row>
    <row r="675" spans="2:8">
      <c r="B675" s="5"/>
      <c r="H675" s="16"/>
    </row>
    <row r="676" spans="2:8">
      <c r="B676" s="5"/>
      <c r="H676" s="16"/>
    </row>
    <row r="677" spans="2:8">
      <c r="B677" s="5"/>
      <c r="H677" s="16"/>
    </row>
    <row r="678" spans="2:8">
      <c r="B678" s="5"/>
      <c r="H678" s="16"/>
    </row>
    <row r="679" spans="2:8">
      <c r="B679" s="5"/>
      <c r="H679" s="16"/>
    </row>
    <row r="680" spans="2:8">
      <c r="B680" s="5"/>
      <c r="H680" s="16"/>
    </row>
    <row r="681" spans="2:8">
      <c r="B681" s="5"/>
      <c r="H681" s="16"/>
    </row>
    <row r="682" spans="2:8">
      <c r="B682" s="5"/>
      <c r="H682" s="16"/>
    </row>
    <row r="683" spans="2:8">
      <c r="B683" s="5"/>
      <c r="H683" s="16"/>
    </row>
    <row r="684" spans="2:8">
      <c r="B684" s="5"/>
      <c r="H684" s="16"/>
    </row>
    <row r="685" spans="2:8">
      <c r="B685" s="5"/>
      <c r="H685" s="16"/>
    </row>
    <row r="686" spans="2:8">
      <c r="B686" s="5"/>
      <c r="H686" s="16"/>
    </row>
    <row r="687" spans="2:8">
      <c r="B687" s="5"/>
      <c r="H687" s="16"/>
    </row>
    <row r="688" spans="2:8">
      <c r="B688" s="5"/>
      <c r="H688" s="16"/>
    </row>
    <row r="689" spans="2:8">
      <c r="B689" s="5"/>
      <c r="H689" s="16"/>
    </row>
    <row r="690" spans="2:8">
      <c r="B690" s="5"/>
      <c r="H690" s="16"/>
    </row>
    <row r="691" spans="2:8">
      <c r="B691" s="5"/>
      <c r="H691" s="16"/>
    </row>
    <row r="692" spans="2:8">
      <c r="B692" s="5"/>
      <c r="H692" s="16"/>
    </row>
    <row r="693" spans="2:8">
      <c r="B693" s="5"/>
      <c r="H693" s="16"/>
    </row>
    <row r="694" spans="2:8">
      <c r="B694" s="5"/>
      <c r="H694" s="16"/>
    </row>
    <row r="695" spans="2:8">
      <c r="B695" s="5"/>
      <c r="H695" s="16"/>
    </row>
    <row r="696" spans="2:8">
      <c r="B696" s="5"/>
      <c r="H696" s="16"/>
    </row>
    <row r="697" spans="2:8">
      <c r="B697" s="5"/>
      <c r="H697" s="16"/>
    </row>
    <row r="698" spans="2:8">
      <c r="B698" s="5"/>
      <c r="H698" s="16"/>
    </row>
    <row r="699" spans="2:8">
      <c r="B699" s="5"/>
      <c r="H699" s="16"/>
    </row>
    <row r="700" spans="2:8">
      <c r="B700" s="5"/>
      <c r="H700" s="16"/>
    </row>
    <row r="701" spans="2:8">
      <c r="B701" s="5"/>
      <c r="H701" s="16"/>
    </row>
    <row r="702" spans="2:8">
      <c r="B702" s="5"/>
      <c r="H702" s="16"/>
    </row>
    <row r="703" spans="2:8">
      <c r="B703" s="5"/>
      <c r="H703" s="16"/>
    </row>
    <row r="704" spans="2:8">
      <c r="B704" s="5"/>
      <c r="H704" s="16"/>
    </row>
    <row r="705" spans="2:8">
      <c r="B705" s="5"/>
      <c r="H705" s="16"/>
    </row>
    <row r="706" spans="2:8">
      <c r="B706" s="5"/>
      <c r="H706" s="16"/>
    </row>
    <row r="707" spans="2:8">
      <c r="B707" s="5"/>
      <c r="H707" s="16"/>
    </row>
    <row r="708" spans="2:8">
      <c r="B708" s="5"/>
      <c r="H708" s="16"/>
    </row>
    <row r="709" spans="2:8">
      <c r="B709" s="5"/>
      <c r="H709" s="16"/>
    </row>
    <row r="710" spans="2:8">
      <c r="B710" s="5"/>
      <c r="H710" s="16"/>
    </row>
    <row r="711" spans="2:8">
      <c r="B711" s="5"/>
      <c r="H711" s="16"/>
    </row>
    <row r="712" spans="2:8">
      <c r="B712" s="5"/>
      <c r="H712" s="16"/>
    </row>
    <row r="713" spans="2:8">
      <c r="B713" s="5"/>
      <c r="H713" s="16"/>
    </row>
    <row r="714" spans="2:8">
      <c r="B714" s="5"/>
      <c r="H714" s="16"/>
    </row>
    <row r="715" spans="2:8">
      <c r="B715" s="5"/>
      <c r="H715" s="16"/>
    </row>
    <row r="716" spans="2:8">
      <c r="B716" s="5"/>
      <c r="H716" s="16"/>
    </row>
    <row r="717" spans="2:8">
      <c r="B717" s="5"/>
      <c r="H717" s="16"/>
    </row>
    <row r="718" spans="2:8">
      <c r="B718" s="5"/>
      <c r="H718" s="16"/>
    </row>
    <row r="719" spans="2:8">
      <c r="B719" s="5"/>
      <c r="H719" s="16"/>
    </row>
    <row r="720" spans="2:8">
      <c r="B720" s="5"/>
      <c r="H720" s="16"/>
    </row>
    <row r="721" spans="2:8">
      <c r="B721" s="5"/>
      <c r="H721" s="16"/>
    </row>
    <row r="722" spans="2:8">
      <c r="B722" s="5"/>
      <c r="H722" s="16"/>
    </row>
    <row r="723" spans="2:8">
      <c r="B723" s="5"/>
      <c r="H723" s="16"/>
    </row>
    <row r="724" spans="2:8">
      <c r="B724" s="5"/>
      <c r="H724" s="16"/>
    </row>
    <row r="725" spans="2:8">
      <c r="B725" s="5"/>
      <c r="H725" s="16"/>
    </row>
    <row r="726" spans="2:8">
      <c r="B726" s="5"/>
      <c r="H726" s="16"/>
    </row>
    <row r="727" spans="2:8">
      <c r="B727" s="5"/>
      <c r="H727" s="16"/>
    </row>
    <row r="728" spans="2:8">
      <c r="B728" s="5"/>
      <c r="H728" s="16"/>
    </row>
    <row r="729" spans="2:8">
      <c r="B729" s="5"/>
      <c r="H729" s="16"/>
    </row>
    <row r="730" spans="2:8">
      <c r="B730" s="5"/>
      <c r="H730" s="16"/>
    </row>
    <row r="731" spans="2:8">
      <c r="B731" s="5"/>
      <c r="H731" s="16"/>
    </row>
    <row r="732" spans="2:8">
      <c r="B732" s="5"/>
      <c r="H732" s="16"/>
    </row>
    <row r="733" spans="2:8">
      <c r="B733" s="5"/>
      <c r="H733" s="16"/>
    </row>
    <row r="734" spans="2:8">
      <c r="B734" s="5"/>
      <c r="H734" s="16"/>
    </row>
    <row r="735" spans="2:8">
      <c r="B735" s="5"/>
      <c r="H735" s="16"/>
    </row>
    <row r="736" spans="2:8">
      <c r="B736" s="5"/>
      <c r="H736" s="16"/>
    </row>
    <row r="737" spans="2:8">
      <c r="B737" s="5"/>
      <c r="H737" s="16"/>
    </row>
    <row r="738" spans="2:8">
      <c r="B738" s="5"/>
      <c r="H738" s="16"/>
    </row>
    <row r="739" spans="2:8">
      <c r="B739" s="5"/>
      <c r="H739" s="16"/>
    </row>
    <row r="740" spans="2:8">
      <c r="B740" s="5"/>
      <c r="H740" s="16"/>
    </row>
    <row r="741" spans="2:8">
      <c r="B741" s="5"/>
      <c r="H741" s="16"/>
    </row>
    <row r="742" spans="2:8">
      <c r="B742" s="5"/>
      <c r="H742" s="16"/>
    </row>
    <row r="743" spans="2:8">
      <c r="B743" s="5"/>
      <c r="H743" s="16"/>
    </row>
    <row r="744" spans="2:8">
      <c r="B744" s="5"/>
      <c r="H744" s="16"/>
    </row>
    <row r="745" spans="2:8">
      <c r="B745" s="5"/>
      <c r="H745" s="16"/>
    </row>
    <row r="746" spans="2:8">
      <c r="B746" s="5"/>
      <c r="H746" s="16"/>
    </row>
    <row r="747" spans="2:8">
      <c r="B747" s="5"/>
      <c r="H747" s="16"/>
    </row>
    <row r="748" spans="2:8">
      <c r="B748" s="5"/>
      <c r="H748" s="16"/>
    </row>
    <row r="749" spans="2:8">
      <c r="B749" s="5"/>
      <c r="H749" s="16"/>
    </row>
    <row r="750" spans="2:8">
      <c r="B750" s="5"/>
      <c r="H750" s="16"/>
    </row>
    <row r="751" spans="2:8">
      <c r="B751" s="5"/>
      <c r="H751" s="16"/>
    </row>
    <row r="752" spans="2:8">
      <c r="B752" s="5"/>
      <c r="H752" s="16"/>
    </row>
    <row r="753" spans="2:8">
      <c r="B753" s="5"/>
      <c r="H753" s="16"/>
    </row>
    <row r="754" spans="2:8">
      <c r="B754" s="5"/>
      <c r="H754" s="16"/>
    </row>
    <row r="755" spans="2:8">
      <c r="B755" s="5"/>
      <c r="H755" s="16"/>
    </row>
    <row r="756" spans="2:8">
      <c r="B756" s="5"/>
      <c r="H756" s="16"/>
    </row>
    <row r="757" spans="2:8">
      <c r="B757" s="5"/>
      <c r="H757" s="16"/>
    </row>
    <row r="758" spans="2:8">
      <c r="B758" s="5"/>
      <c r="H758" s="16"/>
    </row>
    <row r="759" spans="2:8">
      <c r="B759" s="5"/>
      <c r="H759" s="16"/>
    </row>
    <row r="760" spans="2:8">
      <c r="B760" s="5"/>
      <c r="H760" s="16"/>
    </row>
    <row r="761" spans="2:8">
      <c r="B761" s="5"/>
      <c r="H761" s="16"/>
    </row>
    <row r="762" spans="2:8">
      <c r="B762" s="5"/>
      <c r="H762" s="16"/>
    </row>
    <row r="763" spans="2:8">
      <c r="B763" s="5"/>
      <c r="H763" s="16"/>
    </row>
    <row r="764" spans="2:8">
      <c r="B764" s="5"/>
      <c r="H764" s="16"/>
    </row>
    <row r="765" spans="2:8">
      <c r="B765" s="5"/>
      <c r="H765" s="16"/>
    </row>
    <row r="766" spans="2:8">
      <c r="B766" s="5"/>
      <c r="H766" s="16"/>
    </row>
    <row r="767" spans="2:8">
      <c r="B767" s="5"/>
      <c r="H767" s="16"/>
    </row>
    <row r="768" spans="2:8">
      <c r="B768" s="5"/>
      <c r="H768" s="16"/>
    </row>
    <row r="769" spans="2:8">
      <c r="B769" s="5"/>
      <c r="H769" s="16"/>
    </row>
    <row r="770" spans="2:8">
      <c r="B770" s="5"/>
      <c r="H770" s="16"/>
    </row>
    <row r="771" spans="2:8">
      <c r="B771" s="5"/>
      <c r="H771" s="16"/>
    </row>
    <row r="772" spans="2:8">
      <c r="B772" s="5"/>
      <c r="H772" s="16"/>
    </row>
    <row r="773" spans="2:8">
      <c r="B773" s="5"/>
      <c r="H773" s="16"/>
    </row>
    <row r="774" spans="2:8">
      <c r="B774" s="5"/>
      <c r="H774" s="16"/>
    </row>
    <row r="775" spans="2:8">
      <c r="B775" s="5"/>
      <c r="H775" s="16"/>
    </row>
    <row r="776" spans="2:8">
      <c r="B776" s="5"/>
      <c r="H776" s="16"/>
    </row>
    <row r="777" spans="2:8">
      <c r="B777" s="5"/>
      <c r="H777" s="16"/>
    </row>
    <row r="778" spans="2:8">
      <c r="B778" s="5"/>
      <c r="H778" s="16"/>
    </row>
    <row r="779" spans="2:8">
      <c r="B779" s="5"/>
      <c r="H779" s="16"/>
    </row>
    <row r="780" spans="2:8">
      <c r="B780" s="5"/>
      <c r="H780" s="16"/>
    </row>
    <row r="781" spans="2:8">
      <c r="B781" s="5"/>
      <c r="H781" s="16"/>
    </row>
    <row r="782" spans="2:8">
      <c r="B782" s="5"/>
      <c r="H782" s="16"/>
    </row>
    <row r="783" spans="2:8">
      <c r="B783" s="5"/>
      <c r="H783" s="16"/>
    </row>
    <row r="784" spans="2:8">
      <c r="B784" s="5"/>
      <c r="H784" s="16"/>
    </row>
    <row r="785" spans="2:8">
      <c r="B785" s="5"/>
      <c r="H785" s="16"/>
    </row>
    <row r="786" spans="2:8">
      <c r="B786" s="5"/>
      <c r="H786" s="16"/>
    </row>
    <row r="787" spans="2:8">
      <c r="B787" s="5"/>
      <c r="H787" s="16"/>
    </row>
    <row r="788" spans="2:8">
      <c r="B788" s="5"/>
      <c r="H788" s="16"/>
    </row>
    <row r="789" spans="2:8">
      <c r="B789" s="5"/>
      <c r="H789" s="16"/>
    </row>
    <row r="790" spans="2:8">
      <c r="B790" s="5"/>
      <c r="H790" s="16"/>
    </row>
    <row r="791" spans="2:8">
      <c r="B791" s="5"/>
      <c r="H791" s="16"/>
    </row>
    <row r="792" spans="2:8">
      <c r="B792" s="5"/>
      <c r="H792" s="16"/>
    </row>
    <row r="793" spans="2:8">
      <c r="B793" s="5"/>
      <c r="H793" s="16"/>
    </row>
    <row r="794" spans="2:8">
      <c r="B794" s="5"/>
      <c r="H794" s="16"/>
    </row>
    <row r="795" spans="2:8">
      <c r="B795" s="5"/>
      <c r="H795" s="16"/>
    </row>
    <row r="796" spans="2:8">
      <c r="B796" s="5"/>
      <c r="H796" s="16"/>
    </row>
    <row r="797" spans="2:8">
      <c r="B797" s="5"/>
      <c r="H797" s="16"/>
    </row>
    <row r="798" spans="2:8">
      <c r="B798" s="5"/>
      <c r="H798" s="16"/>
    </row>
    <row r="799" spans="2:8">
      <c r="B799" s="5"/>
      <c r="H799" s="16"/>
    </row>
    <row r="800" spans="2:8">
      <c r="B800" s="5"/>
      <c r="H800" s="16"/>
    </row>
    <row r="801" spans="2:8">
      <c r="B801" s="5"/>
      <c r="H801" s="16"/>
    </row>
    <row r="802" spans="2:8">
      <c r="B802" s="5"/>
      <c r="H802" s="16"/>
    </row>
    <row r="803" spans="2:8">
      <c r="B803" s="5"/>
      <c r="H803" s="16"/>
    </row>
    <row r="804" spans="2:8">
      <c r="B804" s="5"/>
      <c r="H804" s="16"/>
    </row>
    <row r="805" spans="2:8">
      <c r="B805" s="5"/>
      <c r="H805" s="16"/>
    </row>
    <row r="806" spans="2:8">
      <c r="B806" s="5"/>
      <c r="H806" s="16"/>
    </row>
    <row r="807" spans="2:8">
      <c r="B807" s="5"/>
      <c r="H807" s="16"/>
    </row>
    <row r="808" spans="2:8">
      <c r="B808" s="5"/>
      <c r="H808" s="16"/>
    </row>
    <row r="809" spans="2:8">
      <c r="B809" s="5"/>
      <c r="H809" s="16"/>
    </row>
    <row r="810" spans="2:8">
      <c r="B810" s="5"/>
      <c r="H810" s="16"/>
    </row>
    <row r="811" spans="2:8">
      <c r="B811" s="5"/>
      <c r="H811" s="16"/>
    </row>
    <row r="812" spans="2:8">
      <c r="B812" s="5"/>
      <c r="H812" s="16"/>
    </row>
    <row r="813" spans="2:8">
      <c r="B813" s="5"/>
      <c r="H813" s="16"/>
    </row>
    <row r="814" spans="2:8">
      <c r="B814" s="5"/>
      <c r="H814" s="16"/>
    </row>
    <row r="815" spans="2:8">
      <c r="B815" s="5"/>
      <c r="H815" s="16"/>
    </row>
    <row r="816" spans="2:8">
      <c r="B816" s="5"/>
      <c r="H816" s="16"/>
    </row>
    <row r="817" spans="2:8">
      <c r="B817" s="5"/>
      <c r="H817" s="16"/>
    </row>
    <row r="818" spans="2:8">
      <c r="B818" s="5"/>
      <c r="H818" s="16"/>
    </row>
    <row r="819" spans="2:8">
      <c r="B819" s="5"/>
      <c r="H819" s="16"/>
    </row>
    <row r="820" spans="2:8">
      <c r="B820" s="5"/>
      <c r="H820" s="16"/>
    </row>
    <row r="821" spans="2:8">
      <c r="B821" s="5"/>
      <c r="H821" s="16"/>
    </row>
    <row r="822" spans="2:8">
      <c r="B822" s="5"/>
      <c r="H822" s="16"/>
    </row>
    <row r="823" spans="2:8">
      <c r="B823" s="5"/>
      <c r="H823" s="16"/>
    </row>
    <row r="824" spans="2:8">
      <c r="B824" s="5"/>
      <c r="H824" s="16"/>
    </row>
    <row r="825" spans="2:8">
      <c r="B825" s="5"/>
      <c r="H825" s="16"/>
    </row>
    <row r="826" spans="2:8">
      <c r="B826" s="5"/>
      <c r="H826" s="16"/>
    </row>
    <row r="827" spans="2:8">
      <c r="B827" s="5"/>
      <c r="H827" s="16"/>
    </row>
    <row r="828" spans="2:8">
      <c r="B828" s="5"/>
      <c r="H828" s="16"/>
    </row>
    <row r="829" spans="2:8">
      <c r="B829" s="5"/>
      <c r="H829" s="16"/>
    </row>
    <row r="830" spans="2:8">
      <c r="B830" s="5"/>
      <c r="H830" s="16"/>
    </row>
    <row r="831" spans="2:8">
      <c r="B831" s="5"/>
      <c r="H831" s="16"/>
    </row>
    <row r="832" spans="2:8">
      <c r="B832" s="5"/>
      <c r="H832" s="16"/>
    </row>
    <row r="833" spans="2:8">
      <c r="B833" s="5"/>
      <c r="H833" s="16"/>
    </row>
    <row r="834" spans="2:8">
      <c r="B834" s="5"/>
      <c r="H834" s="16"/>
    </row>
    <row r="835" spans="2:8">
      <c r="B835" s="5"/>
      <c r="H835" s="16"/>
    </row>
    <row r="836" spans="2:8">
      <c r="B836" s="5"/>
      <c r="H836" s="16"/>
    </row>
    <row r="837" spans="2:8">
      <c r="B837" s="5"/>
      <c r="H837" s="16"/>
    </row>
    <row r="838" spans="2:8">
      <c r="B838" s="5"/>
      <c r="H838" s="16"/>
    </row>
    <row r="839" spans="2:8">
      <c r="B839" s="5"/>
      <c r="H839" s="16"/>
    </row>
    <row r="840" spans="2:8">
      <c r="B840" s="5"/>
      <c r="H840" s="16"/>
    </row>
    <row r="841" spans="2:8">
      <c r="B841" s="5"/>
      <c r="H841" s="16"/>
    </row>
    <row r="842" spans="2:8">
      <c r="B842" s="5"/>
      <c r="H842" s="16"/>
    </row>
    <row r="843" spans="2:8">
      <c r="B843" s="5"/>
      <c r="H843" s="16"/>
    </row>
    <row r="844" spans="2:8">
      <c r="B844" s="5"/>
      <c r="H844" s="16"/>
    </row>
    <row r="845" spans="2:8">
      <c r="B845" s="5"/>
      <c r="H845" s="16"/>
    </row>
    <row r="846" spans="2:8">
      <c r="B846" s="5"/>
      <c r="H846" s="16"/>
    </row>
    <row r="847" spans="2:8">
      <c r="B847" s="5"/>
      <c r="H847" s="16"/>
    </row>
    <row r="848" spans="2:8">
      <c r="B848" s="5"/>
      <c r="H848" s="16"/>
    </row>
    <row r="849" spans="2:8">
      <c r="B849" s="5"/>
      <c r="H849" s="16"/>
    </row>
    <row r="850" spans="2:8">
      <c r="B850" s="5"/>
      <c r="H850" s="16"/>
    </row>
    <row r="851" spans="2:8">
      <c r="B851" s="5"/>
      <c r="H851" s="16"/>
    </row>
    <row r="852" spans="2:8">
      <c r="B852" s="5"/>
      <c r="H852" s="16"/>
    </row>
    <row r="853" spans="2:8">
      <c r="B853" s="5"/>
      <c r="H853" s="16"/>
    </row>
    <row r="854" spans="2:8">
      <c r="B854" s="5"/>
      <c r="H854" s="16"/>
    </row>
    <row r="855" spans="2:8">
      <c r="B855" s="5"/>
      <c r="H855" s="16"/>
    </row>
    <row r="856" spans="2:8">
      <c r="B856" s="5"/>
      <c r="H856" s="16"/>
    </row>
    <row r="857" spans="2:8">
      <c r="B857" s="5"/>
      <c r="H857" s="16"/>
    </row>
    <row r="858" spans="2:8">
      <c r="B858" s="5"/>
      <c r="H858" s="16"/>
    </row>
    <row r="859" spans="2:8">
      <c r="B859" s="5"/>
      <c r="H859" s="16"/>
    </row>
    <row r="860" spans="2:8">
      <c r="B860" s="5"/>
      <c r="H860" s="16"/>
    </row>
    <row r="861" spans="2:8">
      <c r="B861" s="5"/>
      <c r="H861" s="16"/>
    </row>
    <row r="862" spans="2:8">
      <c r="B862" s="5"/>
      <c r="H862" s="16"/>
    </row>
    <row r="863" spans="2:8">
      <c r="B863" s="5"/>
      <c r="H863" s="16"/>
    </row>
    <row r="864" spans="2:8">
      <c r="B864" s="5"/>
      <c r="H864" s="16"/>
    </row>
    <row r="865" spans="2:8">
      <c r="B865" s="5"/>
      <c r="H865" s="16"/>
    </row>
    <row r="866" spans="2:8">
      <c r="B866" s="5"/>
      <c r="H866" s="16"/>
    </row>
    <row r="867" spans="2:8">
      <c r="B867" s="5"/>
      <c r="H867" s="16"/>
    </row>
    <row r="868" spans="2:8">
      <c r="B868" s="5"/>
      <c r="H868" s="16"/>
    </row>
    <row r="869" spans="2:8">
      <c r="B869" s="5"/>
      <c r="H869" s="16"/>
    </row>
    <row r="870" spans="2:8">
      <c r="B870" s="5"/>
      <c r="H870" s="16"/>
    </row>
    <row r="871" spans="2:8">
      <c r="B871" s="5"/>
      <c r="H871" s="16"/>
    </row>
    <row r="872" spans="2:8">
      <c r="B872" s="5"/>
      <c r="H872" s="16"/>
    </row>
    <row r="873" spans="2:8">
      <c r="B873" s="5"/>
      <c r="H873" s="16"/>
    </row>
    <row r="874" spans="2:8">
      <c r="B874" s="5"/>
      <c r="H874" s="16"/>
    </row>
    <row r="875" spans="2:8">
      <c r="B875" s="5"/>
      <c r="H875" s="16"/>
    </row>
    <row r="876" spans="2:8">
      <c r="B876" s="5"/>
      <c r="H876" s="16"/>
    </row>
    <row r="877" spans="2:8">
      <c r="B877" s="5"/>
      <c r="H877" s="16"/>
    </row>
    <row r="878" spans="2:8">
      <c r="B878" s="5"/>
      <c r="H878" s="16"/>
    </row>
    <row r="879" spans="2:8">
      <c r="B879" s="5"/>
      <c r="H879" s="16"/>
    </row>
    <row r="880" spans="2:8">
      <c r="B880" s="5"/>
      <c r="H880" s="16"/>
    </row>
    <row r="881" spans="2:8">
      <c r="B881" s="5"/>
      <c r="H881" s="16"/>
    </row>
    <row r="882" spans="2:8">
      <c r="B882" s="5"/>
      <c r="H882" s="16"/>
    </row>
    <row r="883" spans="2:8">
      <c r="B883" s="5"/>
      <c r="H883" s="16"/>
    </row>
    <row r="884" spans="2:8">
      <c r="B884" s="5"/>
      <c r="H884" s="16"/>
    </row>
    <row r="885" spans="2:8">
      <c r="B885" s="5"/>
      <c r="H885" s="16"/>
    </row>
    <row r="886" spans="2:8">
      <c r="B886" s="5"/>
      <c r="H886" s="16"/>
    </row>
    <row r="887" spans="2:8">
      <c r="B887" s="5"/>
      <c r="H887" s="16"/>
    </row>
    <row r="888" spans="2:8">
      <c r="B888" s="5"/>
      <c r="H888" s="16"/>
    </row>
    <row r="889" spans="2:8">
      <c r="B889" s="5"/>
      <c r="H889" s="16"/>
    </row>
    <row r="890" spans="2:8">
      <c r="B890" s="5"/>
      <c r="H890" s="16"/>
    </row>
    <row r="891" spans="2:8">
      <c r="B891" s="5"/>
      <c r="H891" s="16"/>
    </row>
    <row r="892" spans="2:8">
      <c r="B892" s="5"/>
      <c r="H892" s="16"/>
    </row>
  </sheetData>
  <mergeCells count="27">
    <mergeCell ref="C49:F49"/>
    <mergeCell ref="C50:F50"/>
    <mergeCell ref="C44:F44"/>
    <mergeCell ref="C45:F45"/>
    <mergeCell ref="C46:F46"/>
    <mergeCell ref="C47:F47"/>
    <mergeCell ref="C48:F48"/>
    <mergeCell ref="A4:H4"/>
    <mergeCell ref="A38:F38"/>
    <mergeCell ref="C41:F41"/>
    <mergeCell ref="C42:F42"/>
    <mergeCell ref="C43:F43"/>
    <mergeCell ref="A10:F10"/>
    <mergeCell ref="A17:F17"/>
    <mergeCell ref="A23:F23"/>
    <mergeCell ref="A29:F29"/>
    <mergeCell ref="A35:F35"/>
    <mergeCell ref="G41:H41"/>
    <mergeCell ref="G42:H42"/>
    <mergeCell ref="G43:H43"/>
    <mergeCell ref="G49:H49"/>
    <mergeCell ref="G50:H50"/>
    <mergeCell ref="G44:H44"/>
    <mergeCell ref="G45:H45"/>
    <mergeCell ref="G46:H46"/>
    <mergeCell ref="G47:H47"/>
    <mergeCell ref="G48:H48"/>
  </mergeCells>
  <phoneticPr fontId="24" type="noConversion"/>
  <dataValidations count="1">
    <dataValidation type="list" allowBlank="1" showInputMessage="1" showErrorMessage="1" sqref="B42:B48" xr:uid="{00000000-0002-0000-1400-000000000000}">
      <formula1>$L$41:$L$45</formula1>
    </dataValidation>
  </dataValidations>
  <pageMargins left="0.7" right="0.7" top="0.75" bottom="0.75" header="0.3" footer="0.3"/>
  <pageSetup scale="52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79153-420D-4175-BBDE-91B59BD19014}">
  <sheetPr>
    <pageSetUpPr fitToPage="1"/>
  </sheetPr>
  <dimension ref="A1:L892"/>
  <sheetViews>
    <sheetView showZeros="0" zoomScale="75" zoomScaleNormal="75" workbookViewId="0">
      <selection activeCell="A10" sqref="A10:F10"/>
    </sheetView>
  </sheetViews>
  <sheetFormatPr defaultColWidth="10.875" defaultRowHeight="18.95"/>
  <cols>
    <col min="1" max="1" width="35.625" customWidth="1"/>
    <col min="2" max="2" width="14.625" style="16" customWidth="1"/>
    <col min="3" max="7" width="15.875" style="5" customWidth="1"/>
    <col min="8" max="8" width="15.875" style="17" customWidth="1"/>
    <col min="9" max="9" width="10.875" style="5"/>
    <col min="10" max="12" width="0" style="5" hidden="1" customWidth="1"/>
    <col min="13" max="16384" width="10.875" style="5"/>
  </cols>
  <sheetData>
    <row r="1" spans="1:10" customFormat="1" ht="15.95">
      <c r="A1" s="41"/>
      <c r="B1" s="42"/>
      <c r="C1" s="43"/>
      <c r="D1" s="43"/>
      <c r="E1" s="45" t="s">
        <v>25</v>
      </c>
      <c r="F1" s="43"/>
      <c r="G1" s="45" t="s">
        <v>26</v>
      </c>
      <c r="H1" s="44"/>
    </row>
    <row r="2" spans="1:10">
      <c r="A2" s="30"/>
      <c r="B2" s="18" t="s">
        <v>27</v>
      </c>
      <c r="C2" s="18" t="s">
        <v>28</v>
      </c>
      <c r="D2" s="18" t="s">
        <v>65</v>
      </c>
      <c r="E2" s="18" t="s">
        <v>30</v>
      </c>
      <c r="F2" s="18" t="s">
        <v>66</v>
      </c>
      <c r="G2" s="18" t="s">
        <v>32</v>
      </c>
      <c r="H2" s="18" t="s">
        <v>33</v>
      </c>
    </row>
    <row r="3" spans="1:10" ht="21" customHeight="1">
      <c r="A3" s="31" t="s">
        <v>7</v>
      </c>
      <c r="B3" s="6">
        <f>'Week 17'!H3+1</f>
        <v>46012</v>
      </c>
      <c r="C3" s="6">
        <f t="shared" ref="C3:H3" si="0">B3+1</f>
        <v>46013</v>
      </c>
      <c r="D3" s="6">
        <f t="shared" si="0"/>
        <v>46014</v>
      </c>
      <c r="E3" s="6">
        <f t="shared" si="0"/>
        <v>46015</v>
      </c>
      <c r="F3" s="6">
        <f t="shared" si="0"/>
        <v>46016</v>
      </c>
      <c r="G3" s="6">
        <f t="shared" si="0"/>
        <v>46017</v>
      </c>
      <c r="H3" s="6">
        <f t="shared" si="0"/>
        <v>46018</v>
      </c>
    </row>
    <row r="4" spans="1:10" s="7" customFormat="1">
      <c r="A4" s="181" t="s">
        <v>92</v>
      </c>
      <c r="B4" s="181"/>
      <c r="C4" s="181"/>
      <c r="D4" s="181"/>
      <c r="E4" s="181"/>
      <c r="F4" s="181"/>
      <c r="G4" s="181"/>
      <c r="H4" s="181"/>
    </row>
    <row r="5" spans="1:10" s="7" customFormat="1" ht="26.1" customHeight="1">
      <c r="A5" s="32" t="s">
        <v>8</v>
      </c>
      <c r="B5" s="27"/>
      <c r="C5" s="27"/>
      <c r="D5" s="27"/>
      <c r="E5" s="27"/>
      <c r="F5" s="27">
        <v>0</v>
      </c>
      <c r="G5" s="27">
        <v>0</v>
      </c>
      <c r="H5" s="27">
        <v>0</v>
      </c>
    </row>
    <row r="6" spans="1:10" s="7" customFormat="1" ht="26.1" customHeight="1">
      <c r="A6" s="4" t="s">
        <v>23</v>
      </c>
      <c r="B6" s="62"/>
      <c r="C6" s="62"/>
      <c r="D6" s="62"/>
      <c r="E6" s="62">
        <v>0</v>
      </c>
      <c r="F6" s="62">
        <v>0</v>
      </c>
      <c r="G6" s="62">
        <v>0</v>
      </c>
      <c r="H6" s="62">
        <v>0</v>
      </c>
    </row>
    <row r="7" spans="1:10" s="7" customFormat="1" ht="21.95" customHeight="1">
      <c r="A7" s="32" t="s">
        <v>35</v>
      </c>
      <c r="B7" s="27"/>
      <c r="C7" s="28"/>
      <c r="D7" s="28"/>
      <c r="E7" s="28">
        <v>0</v>
      </c>
      <c r="F7" s="28">
        <v>0</v>
      </c>
      <c r="G7" s="28">
        <v>0</v>
      </c>
      <c r="H7" s="27">
        <v>0</v>
      </c>
    </row>
    <row r="8" spans="1:10" s="7" customFormat="1" ht="24.95" customHeight="1" thickBot="1">
      <c r="A8" s="83" t="s">
        <v>36</v>
      </c>
      <c r="B8" s="84">
        <f t="shared" ref="B8:H8" si="1">B5+B6+B7</f>
        <v>0</v>
      </c>
      <c r="C8" s="84">
        <f t="shared" si="1"/>
        <v>0</v>
      </c>
      <c r="D8" s="84">
        <f t="shared" si="1"/>
        <v>0</v>
      </c>
      <c r="E8" s="84">
        <f t="shared" si="1"/>
        <v>0</v>
      </c>
      <c r="F8" s="84">
        <f t="shared" si="1"/>
        <v>0</v>
      </c>
      <c r="G8" s="84">
        <f t="shared" si="1"/>
        <v>0</v>
      </c>
      <c r="H8" s="84">
        <f t="shared" si="1"/>
        <v>0</v>
      </c>
    </row>
    <row r="9" spans="1:10" s="7" customFormat="1" ht="24.95" customHeight="1" thickBot="1">
      <c r="A9" s="33"/>
      <c r="B9" s="29"/>
      <c r="C9" s="29"/>
      <c r="D9" s="29"/>
      <c r="E9" s="29"/>
      <c r="F9" s="29"/>
      <c r="G9" s="63" t="s">
        <v>37</v>
      </c>
      <c r="H9" s="64">
        <f>SUM(B8:H8)</f>
        <v>0</v>
      </c>
    </row>
    <row r="10" spans="1:10" s="7" customFormat="1" ht="21" thickTop="1" thickBot="1">
      <c r="A10" s="182" t="s">
        <v>93</v>
      </c>
      <c r="B10" s="183"/>
      <c r="C10" s="183"/>
      <c r="D10" s="183"/>
      <c r="E10" s="183"/>
      <c r="F10" s="183"/>
      <c r="G10" s="65" t="s">
        <v>39</v>
      </c>
      <c r="H10" s="66">
        <v>-0.06</v>
      </c>
      <c r="I10" s="5"/>
      <c r="J10" s="26"/>
    </row>
    <row r="11" spans="1:10" s="7" customFormat="1" ht="30" customHeight="1">
      <c r="A11" s="39" t="s">
        <v>8</v>
      </c>
      <c r="B11" s="9">
        <f>B5+(B5*H10)</f>
        <v>0</v>
      </c>
      <c r="C11" s="9">
        <f>C5+(C5*H10)</f>
        <v>0</v>
      </c>
      <c r="D11" s="67"/>
      <c r="E11" s="67"/>
      <c r="F11" s="9">
        <f>F5+(F5*H10)</f>
        <v>0</v>
      </c>
      <c r="G11" s="68">
        <f>G5+(G5*H10)</f>
        <v>0</v>
      </c>
      <c r="H11" s="69">
        <f>H5+(H5*H10)</f>
        <v>0</v>
      </c>
    </row>
    <row r="12" spans="1:10" s="7" customFormat="1" ht="30" customHeight="1">
      <c r="A12" s="70" t="s">
        <v>23</v>
      </c>
      <c r="B12" s="59">
        <f>B6+(B6*H10)</f>
        <v>0</v>
      </c>
      <c r="C12" s="58">
        <f>C6+(C6*H10)</f>
        <v>0</v>
      </c>
      <c r="D12" s="58">
        <f>D6+(D6*H10)</f>
        <v>0</v>
      </c>
      <c r="E12" s="58">
        <f>E6+(E6*H10)</f>
        <v>0</v>
      </c>
      <c r="F12" s="58">
        <f>F6+(F6*H10)</f>
        <v>0</v>
      </c>
      <c r="G12" s="58">
        <f>G6+(G6*H10)</f>
        <v>0</v>
      </c>
      <c r="H12" s="58">
        <f>H6+(H6*H10)</f>
        <v>0</v>
      </c>
    </row>
    <row r="13" spans="1:10" s="7" customFormat="1" ht="30" customHeight="1">
      <c r="A13" s="3" t="s">
        <v>35</v>
      </c>
      <c r="B13" s="8">
        <f>B7+(B7*H10)</f>
        <v>0</v>
      </c>
      <c r="C13" s="8">
        <f>C7+(C7*H10)</f>
        <v>0</v>
      </c>
      <c r="D13" s="8">
        <f>D7+(D7*H10)</f>
        <v>0</v>
      </c>
      <c r="E13" s="8">
        <f>E7+(E7*H10)</f>
        <v>0</v>
      </c>
      <c r="F13" s="8">
        <f>F7+(F7*H10)</f>
        <v>0</v>
      </c>
      <c r="G13" s="8">
        <f>G7+(G7*H10)</f>
        <v>0</v>
      </c>
      <c r="H13" s="8">
        <f>H7+(H7*H10)</f>
        <v>0</v>
      </c>
    </row>
    <row r="14" spans="1:10" s="7" customFormat="1" ht="27" customHeight="1" thickBot="1">
      <c r="A14" s="85" t="s">
        <v>36</v>
      </c>
      <c r="B14" s="87">
        <f t="shared" ref="B14:H14" si="2">B11+B12+B13</f>
        <v>0</v>
      </c>
      <c r="C14" s="87">
        <f t="shared" si="2"/>
        <v>0</v>
      </c>
      <c r="D14" s="87">
        <f t="shared" si="2"/>
        <v>0</v>
      </c>
      <c r="E14" s="87">
        <f t="shared" si="2"/>
        <v>0</v>
      </c>
      <c r="F14" s="87">
        <f t="shared" si="2"/>
        <v>0</v>
      </c>
      <c r="G14" s="87">
        <f t="shared" si="2"/>
        <v>0</v>
      </c>
      <c r="H14" s="87">
        <f t="shared" si="2"/>
        <v>0</v>
      </c>
    </row>
    <row r="15" spans="1:10" s="7" customFormat="1" ht="24.95" customHeight="1" thickBot="1">
      <c r="A15" s="86" t="s">
        <v>40</v>
      </c>
      <c r="B15" s="92" t="e">
        <f t="shared" ref="B15:H15" si="3">(B14-B8)/B8</f>
        <v>#DIV/0!</v>
      </c>
      <c r="C15" s="93" t="e">
        <f t="shared" si="3"/>
        <v>#DIV/0!</v>
      </c>
      <c r="D15" s="93" t="e">
        <f t="shared" si="3"/>
        <v>#DIV/0!</v>
      </c>
      <c r="E15" s="93" t="e">
        <f t="shared" si="3"/>
        <v>#DIV/0!</v>
      </c>
      <c r="F15" s="93" t="e">
        <f t="shared" si="3"/>
        <v>#DIV/0!</v>
      </c>
      <c r="G15" s="93" t="e">
        <f t="shared" si="3"/>
        <v>#DIV/0!</v>
      </c>
      <c r="H15" s="94" t="e">
        <f t="shared" si="3"/>
        <v>#DIV/0!</v>
      </c>
      <c r="I15" s="71"/>
    </row>
    <row r="16" spans="1:10" ht="30" customHeight="1" thickBot="1">
      <c r="B16" s="88"/>
      <c r="C16" s="88"/>
      <c r="D16" s="88"/>
      <c r="E16" s="88"/>
      <c r="F16" s="89"/>
      <c r="G16" s="90" t="s">
        <v>37</v>
      </c>
      <c r="H16" s="91">
        <f>SUM(B14:H14)</f>
        <v>0</v>
      </c>
    </row>
    <row r="17" spans="1:8" s="7" customFormat="1" ht="21.95" thickTop="1" thickBot="1">
      <c r="A17" s="184" t="s">
        <v>41</v>
      </c>
      <c r="B17" s="185"/>
      <c r="C17" s="185"/>
      <c r="D17" s="185"/>
      <c r="E17" s="185"/>
      <c r="F17" s="185"/>
      <c r="G17" s="72" t="s">
        <v>42</v>
      </c>
      <c r="H17" s="66" t="e">
        <f>(H16-H9)/H9</f>
        <v>#DIV/0!</v>
      </c>
    </row>
    <row r="18" spans="1:8" s="7" customFormat="1" ht="30" customHeight="1">
      <c r="A18" s="35" t="s">
        <v>43</v>
      </c>
      <c r="B18" s="12">
        <v>100</v>
      </c>
      <c r="C18" s="12"/>
      <c r="D18" s="73"/>
      <c r="E18" s="73"/>
      <c r="F18" s="12"/>
      <c r="G18" s="24"/>
      <c r="H18" s="74"/>
    </row>
    <row r="19" spans="1:8" s="7" customFormat="1" ht="30" customHeight="1">
      <c r="A19" s="35" t="str">
        <f>'Week 17'!A31</f>
        <v>Non Meal Plan Meals</v>
      </c>
      <c r="B19" s="12"/>
      <c r="C19" s="12"/>
      <c r="D19" s="73"/>
      <c r="E19" s="73"/>
      <c r="F19" s="12"/>
      <c r="G19" s="24"/>
      <c r="H19" s="74"/>
    </row>
    <row r="20" spans="1:8" s="7" customFormat="1" ht="30" customHeight="1">
      <c r="A20" s="35" t="str">
        <f>'Week 17'!A32</f>
        <v xml:space="preserve">Meal numbers </v>
      </c>
      <c r="B20" s="95">
        <v>8</v>
      </c>
      <c r="C20" s="95"/>
      <c r="D20" s="67"/>
      <c r="E20" s="67"/>
      <c r="F20" s="95"/>
      <c r="G20" s="95"/>
      <c r="H20" s="75"/>
    </row>
    <row r="21" spans="1:8" s="7" customFormat="1" ht="24.95" customHeight="1" thickBot="1">
      <c r="A21" s="36" t="s">
        <v>45</v>
      </c>
      <c r="B21" s="77">
        <f t="shared" ref="B21:G21" si="4">B18+B20</f>
        <v>108</v>
      </c>
      <c r="C21" s="77">
        <f t="shared" si="4"/>
        <v>0</v>
      </c>
      <c r="D21" s="96"/>
      <c r="E21" s="96"/>
      <c r="F21" s="77">
        <f t="shared" si="4"/>
        <v>0</v>
      </c>
      <c r="G21" s="77">
        <f t="shared" si="4"/>
        <v>0</v>
      </c>
      <c r="H21" s="77">
        <f>H18+H20</f>
        <v>0</v>
      </c>
    </row>
    <row r="22" spans="1:8" s="7" customFormat="1" ht="24.95" customHeight="1" thickBot="1">
      <c r="A22" s="34" t="s">
        <v>40</v>
      </c>
      <c r="B22" s="92" t="e">
        <f>(B21-B5)/B5</f>
        <v>#DIV/0!</v>
      </c>
      <c r="C22" s="93" t="e">
        <f>(C21-C5)/C5</f>
        <v>#DIV/0!</v>
      </c>
      <c r="D22" s="99"/>
      <c r="E22" s="99"/>
      <c r="F22" s="93" t="e">
        <f>(F21-F5)/F5</f>
        <v>#DIV/0!</v>
      </c>
      <c r="G22" s="93" t="e">
        <f>(G21-G5)/G5</f>
        <v>#DIV/0!</v>
      </c>
      <c r="H22" s="94" t="e">
        <f>(H21-H5)/H5</f>
        <v>#DIV/0!</v>
      </c>
    </row>
    <row r="23" spans="1:8" s="7" customFormat="1">
      <c r="A23" s="186" t="s">
        <v>46</v>
      </c>
      <c r="B23" s="187"/>
      <c r="C23" s="187"/>
      <c r="D23" s="187"/>
      <c r="E23" s="187"/>
      <c r="F23" s="188" t="s">
        <v>47</v>
      </c>
      <c r="G23" s="97"/>
      <c r="H23" s="98"/>
    </row>
    <row r="24" spans="1:8" s="7" customFormat="1" ht="30" customHeight="1">
      <c r="A24" s="35" t="s">
        <v>43</v>
      </c>
      <c r="B24" s="11">
        <v>220</v>
      </c>
      <c r="C24" s="12"/>
      <c r="D24" s="12"/>
      <c r="E24" s="12"/>
      <c r="F24" s="12"/>
      <c r="G24" s="12"/>
      <c r="H24" s="11"/>
    </row>
    <row r="25" spans="1:8" s="7" customFormat="1" ht="30" customHeight="1">
      <c r="A25" s="35" t="str">
        <f>A19</f>
        <v>Non Meal Plan Meals</v>
      </c>
      <c r="B25" s="117">
        <v>14</v>
      </c>
      <c r="C25" s="117"/>
      <c r="D25" s="117"/>
      <c r="E25" s="117"/>
      <c r="F25" s="117"/>
      <c r="G25" s="117"/>
      <c r="H25" s="117"/>
    </row>
    <row r="26" spans="1:8" s="7" customFormat="1" ht="30" customHeight="1">
      <c r="A26" s="35" t="str">
        <f>A20</f>
        <v xml:space="preserve">Meal numbers </v>
      </c>
      <c r="B26" s="11">
        <v>14</v>
      </c>
      <c r="C26" s="11"/>
      <c r="D26" s="11"/>
      <c r="E26" s="11"/>
      <c r="F26" s="11"/>
      <c r="G26" s="11"/>
      <c r="H26" s="11"/>
    </row>
    <row r="27" spans="1:8" s="7" customFormat="1" ht="27.95" customHeight="1" thickBot="1">
      <c r="A27" s="36" t="s">
        <v>50</v>
      </c>
      <c r="B27" s="100">
        <f>B24+B25+B26</f>
        <v>248</v>
      </c>
      <c r="C27" s="100">
        <f t="shared" ref="C27:G27" si="5">C24+C25+C26</f>
        <v>0</v>
      </c>
      <c r="D27" s="100">
        <f t="shared" si="5"/>
        <v>0</v>
      </c>
      <c r="E27" s="100">
        <f t="shared" si="5"/>
        <v>0</v>
      </c>
      <c r="F27" s="100">
        <f t="shared" si="5"/>
        <v>0</v>
      </c>
      <c r="G27" s="100">
        <f t="shared" si="5"/>
        <v>0</v>
      </c>
      <c r="H27" s="100">
        <f>H24+H25+H26</f>
        <v>0</v>
      </c>
    </row>
    <row r="28" spans="1:8" s="7" customFormat="1" ht="24.95" customHeight="1" thickBot="1">
      <c r="A28" s="34" t="s">
        <v>40</v>
      </c>
      <c r="B28" s="92" t="e">
        <f t="shared" ref="B28:H28" si="6">(B27-B6)/B6</f>
        <v>#DIV/0!</v>
      </c>
      <c r="C28" s="93" t="e">
        <f t="shared" si="6"/>
        <v>#DIV/0!</v>
      </c>
      <c r="D28" s="93" t="e">
        <f t="shared" si="6"/>
        <v>#DIV/0!</v>
      </c>
      <c r="E28" s="93" t="e">
        <f t="shared" si="6"/>
        <v>#DIV/0!</v>
      </c>
      <c r="F28" s="93" t="e">
        <f t="shared" si="6"/>
        <v>#DIV/0!</v>
      </c>
      <c r="G28" s="93" t="e">
        <f t="shared" si="6"/>
        <v>#DIV/0!</v>
      </c>
      <c r="H28" s="94" t="e">
        <f t="shared" si="6"/>
        <v>#DIV/0!</v>
      </c>
    </row>
    <row r="29" spans="1:8" s="7" customFormat="1">
      <c r="A29" s="189" t="s">
        <v>51</v>
      </c>
      <c r="B29" s="190"/>
      <c r="C29" s="190"/>
      <c r="D29" s="190"/>
      <c r="E29" s="190"/>
      <c r="F29" s="191" t="s">
        <v>35</v>
      </c>
      <c r="G29" s="101"/>
      <c r="H29" s="102"/>
    </row>
    <row r="30" spans="1:8" s="7" customFormat="1" ht="30" customHeight="1">
      <c r="A30" s="35" t="s">
        <v>43</v>
      </c>
      <c r="B30" s="10">
        <v>128</v>
      </c>
      <c r="C30" s="9"/>
      <c r="D30" s="9"/>
      <c r="E30" s="9"/>
      <c r="F30" s="9"/>
      <c r="G30" s="9"/>
      <c r="H30" s="10"/>
    </row>
    <row r="31" spans="1:8" s="7" customFormat="1" ht="30" customHeight="1">
      <c r="A31" s="35" t="str">
        <f>A25</f>
        <v>Non Meal Plan Meals</v>
      </c>
      <c r="B31" s="60">
        <v>15</v>
      </c>
      <c r="C31" s="60"/>
      <c r="D31" s="60"/>
      <c r="E31" s="60"/>
      <c r="F31" s="60"/>
      <c r="G31" s="60"/>
      <c r="H31" s="60"/>
    </row>
    <row r="32" spans="1:8" s="7" customFormat="1" ht="30" customHeight="1">
      <c r="A32" s="35" t="str">
        <f>A26</f>
        <v xml:space="preserve">Meal numbers </v>
      </c>
      <c r="B32" s="10">
        <v>17</v>
      </c>
      <c r="C32" s="10"/>
      <c r="D32" s="10"/>
      <c r="E32" s="10"/>
      <c r="F32" s="10"/>
      <c r="G32" s="10"/>
      <c r="H32" s="10"/>
    </row>
    <row r="33" spans="1:12" s="7" customFormat="1" ht="30.95" customHeight="1" thickBot="1">
      <c r="A33" s="36" t="s">
        <v>53</v>
      </c>
      <c r="B33" s="103">
        <f>B30+B31+B32</f>
        <v>160</v>
      </c>
      <c r="C33" s="103">
        <f t="shared" ref="C33:G33" si="7">C30+C31+C32</f>
        <v>0</v>
      </c>
      <c r="D33" s="103">
        <f t="shared" si="7"/>
        <v>0</v>
      </c>
      <c r="E33" s="103">
        <f t="shared" si="7"/>
        <v>0</v>
      </c>
      <c r="F33" s="103">
        <f t="shared" si="7"/>
        <v>0</v>
      </c>
      <c r="G33" s="103">
        <f t="shared" si="7"/>
        <v>0</v>
      </c>
      <c r="H33" s="103">
        <f>H30+H31+H32</f>
        <v>0</v>
      </c>
    </row>
    <row r="34" spans="1:12" s="7" customFormat="1" ht="24.95" customHeight="1" thickBot="1">
      <c r="A34" s="34" t="s">
        <v>40</v>
      </c>
      <c r="B34" s="92" t="e">
        <f t="shared" ref="B34:H34" si="8">(B33-B7)/B7</f>
        <v>#DIV/0!</v>
      </c>
      <c r="C34" s="93" t="e">
        <f t="shared" si="8"/>
        <v>#DIV/0!</v>
      </c>
      <c r="D34" s="93" t="e">
        <f t="shared" si="8"/>
        <v>#DIV/0!</v>
      </c>
      <c r="E34" s="93" t="e">
        <f t="shared" si="8"/>
        <v>#DIV/0!</v>
      </c>
      <c r="F34" s="93" t="e">
        <f t="shared" si="8"/>
        <v>#DIV/0!</v>
      </c>
      <c r="G34" s="93" t="e">
        <f t="shared" si="8"/>
        <v>#DIV/0!</v>
      </c>
      <c r="H34" s="94" t="e">
        <f t="shared" si="8"/>
        <v>#DIV/0!</v>
      </c>
    </row>
    <row r="35" spans="1:12" s="7" customFormat="1">
      <c r="A35" s="192" t="s">
        <v>54</v>
      </c>
      <c r="B35" s="193"/>
      <c r="C35" s="193"/>
      <c r="D35" s="193"/>
      <c r="E35" s="193"/>
      <c r="F35" s="194" t="s">
        <v>35</v>
      </c>
      <c r="G35" s="104"/>
      <c r="H35" s="105"/>
    </row>
    <row r="36" spans="1:12" s="7" customFormat="1" ht="30.95" customHeight="1" thickBot="1">
      <c r="A36" s="78" t="s">
        <v>55</v>
      </c>
      <c r="B36" s="77">
        <f>B33+B27+B21</f>
        <v>516</v>
      </c>
      <c r="C36" s="77">
        <f t="shared" ref="C36:H36" si="9">C33+C27+C21</f>
        <v>0</v>
      </c>
      <c r="D36" s="77">
        <f t="shared" si="9"/>
        <v>0</v>
      </c>
      <c r="E36" s="77">
        <f t="shared" si="9"/>
        <v>0</v>
      </c>
      <c r="F36" s="77">
        <f t="shared" si="9"/>
        <v>0</v>
      </c>
      <c r="G36" s="77">
        <f t="shared" si="9"/>
        <v>0</v>
      </c>
      <c r="H36" s="77">
        <f t="shared" si="9"/>
        <v>0</v>
      </c>
    </row>
    <row r="37" spans="1:12" s="7" customFormat="1" ht="24.95" customHeight="1" thickBot="1">
      <c r="A37" s="34" t="s">
        <v>40</v>
      </c>
      <c r="B37" s="92" t="e">
        <f t="shared" ref="B37:H37" si="10">(B36-B8)/B8</f>
        <v>#DIV/0!</v>
      </c>
      <c r="C37" s="93" t="e">
        <f t="shared" si="10"/>
        <v>#DIV/0!</v>
      </c>
      <c r="D37" s="93" t="e">
        <f t="shared" si="10"/>
        <v>#DIV/0!</v>
      </c>
      <c r="E37" s="93" t="e">
        <f t="shared" si="10"/>
        <v>#DIV/0!</v>
      </c>
      <c r="F37" s="93" t="e">
        <f t="shared" si="10"/>
        <v>#DIV/0!</v>
      </c>
      <c r="G37" s="93" t="e">
        <f t="shared" si="10"/>
        <v>#DIV/0!</v>
      </c>
      <c r="H37" s="94" t="e">
        <f t="shared" si="10"/>
        <v>#DIV/0!</v>
      </c>
    </row>
    <row r="38" spans="1:12" ht="30" customHeight="1" thickBot="1">
      <c r="A38" s="195"/>
      <c r="B38" s="196"/>
      <c r="C38" s="196"/>
      <c r="D38" s="196"/>
      <c r="E38" s="196"/>
      <c r="F38" s="196"/>
      <c r="G38" s="106" t="s">
        <v>37</v>
      </c>
      <c r="H38" s="107">
        <f>SUM(B36:H36)</f>
        <v>516</v>
      </c>
    </row>
    <row r="39" spans="1:12" s="7" customFormat="1" ht="24.95" customHeight="1" thickTop="1">
      <c r="A39" s="37"/>
      <c r="B39" s="25"/>
      <c r="C39" s="25"/>
      <c r="D39" s="25"/>
      <c r="E39" s="25"/>
      <c r="F39" s="25"/>
      <c r="G39" s="79" t="s">
        <v>40</v>
      </c>
      <c r="H39" s="80" t="e">
        <f>(H38-H9)/H9</f>
        <v>#DIV/0!</v>
      </c>
    </row>
    <row r="40" spans="1:12" s="7" customFormat="1" ht="24.95" customHeight="1" thickBot="1">
      <c r="A40" s="37"/>
      <c r="B40" s="25"/>
      <c r="C40" s="25"/>
      <c r="D40" s="25"/>
      <c r="E40" s="25"/>
      <c r="F40" s="25"/>
      <c r="G40" s="81" t="s">
        <v>56</v>
      </c>
      <c r="H40" s="82" t="e">
        <f>(H38-H16)/H16</f>
        <v>#DIV/0!</v>
      </c>
    </row>
    <row r="41" spans="1:12" s="46" customFormat="1" ht="23.1" customHeight="1">
      <c r="A41" s="40"/>
      <c r="B41" s="47" t="s">
        <v>57</v>
      </c>
      <c r="C41" s="197" t="s">
        <v>58</v>
      </c>
      <c r="D41" s="197"/>
      <c r="E41" s="197"/>
      <c r="F41" s="197"/>
      <c r="G41" s="198">
        <v>2020</v>
      </c>
      <c r="H41" s="199"/>
    </row>
    <row r="42" spans="1:12" ht="36.75" customHeight="1">
      <c r="A42" s="1" t="s">
        <v>0</v>
      </c>
      <c r="B42" s="57" t="s">
        <v>59</v>
      </c>
      <c r="C42" s="215" t="s">
        <v>121</v>
      </c>
      <c r="D42" s="215"/>
      <c r="E42" s="215"/>
      <c r="F42" s="215"/>
      <c r="G42" s="178"/>
      <c r="H42" s="179"/>
      <c r="L42" s="7" t="s">
        <v>61</v>
      </c>
    </row>
    <row r="43" spans="1:12" ht="30" customHeight="1">
      <c r="A43" s="1" t="s">
        <v>1</v>
      </c>
      <c r="B43" s="57" t="s">
        <v>59</v>
      </c>
      <c r="C43" s="216" t="s">
        <v>122</v>
      </c>
      <c r="D43" s="216"/>
      <c r="E43" s="216"/>
      <c r="F43" s="216"/>
      <c r="G43" s="178"/>
      <c r="H43" s="179"/>
      <c r="L43" s="5" t="s">
        <v>62</v>
      </c>
    </row>
    <row r="44" spans="1:12" ht="30" customHeight="1">
      <c r="A44" s="1" t="s">
        <v>2</v>
      </c>
      <c r="B44" s="57" t="s">
        <v>59</v>
      </c>
      <c r="C44" s="175"/>
      <c r="D44" s="175"/>
      <c r="E44" s="175"/>
      <c r="F44" s="175"/>
      <c r="G44" s="176"/>
      <c r="H44" s="177"/>
      <c r="L44" s="5" t="s">
        <v>63</v>
      </c>
    </row>
    <row r="45" spans="1:12" ht="30" customHeight="1">
      <c r="A45" s="1" t="s">
        <v>3</v>
      </c>
      <c r="B45" s="57" t="s">
        <v>59</v>
      </c>
      <c r="C45" s="175"/>
      <c r="D45" s="175"/>
      <c r="E45" s="175"/>
      <c r="F45" s="175"/>
      <c r="G45" s="176"/>
      <c r="H45" s="177"/>
      <c r="L45" s="5" t="s">
        <v>64</v>
      </c>
    </row>
    <row r="46" spans="1:12" ht="30.95" customHeight="1">
      <c r="A46" s="1" t="s">
        <v>4</v>
      </c>
      <c r="B46" s="57" t="s">
        <v>59</v>
      </c>
      <c r="C46" s="175"/>
      <c r="D46" s="175"/>
      <c r="E46" s="175"/>
      <c r="F46" s="175"/>
      <c r="G46" s="176"/>
      <c r="H46" s="177"/>
    </row>
    <row r="47" spans="1:12" ht="30" customHeight="1">
      <c r="A47" s="1" t="s">
        <v>5</v>
      </c>
      <c r="B47" s="57" t="s">
        <v>59</v>
      </c>
      <c r="C47" s="175"/>
      <c r="D47" s="175"/>
      <c r="E47" s="175"/>
      <c r="F47" s="175"/>
      <c r="G47" s="176"/>
      <c r="H47" s="177"/>
    </row>
    <row r="48" spans="1:12" ht="30" customHeight="1">
      <c r="A48" s="1" t="s">
        <v>6</v>
      </c>
      <c r="B48" s="57" t="s">
        <v>59</v>
      </c>
      <c r="C48" s="175"/>
      <c r="D48" s="175"/>
      <c r="E48" s="175"/>
      <c r="F48" s="175"/>
      <c r="G48" s="176"/>
      <c r="H48" s="177"/>
    </row>
    <row r="49" spans="1:8" ht="30" customHeight="1">
      <c r="A49" s="1"/>
      <c r="B49" s="14"/>
      <c r="C49" s="175"/>
      <c r="D49" s="175"/>
      <c r="E49" s="175"/>
      <c r="F49" s="175"/>
      <c r="G49" s="176"/>
      <c r="H49" s="177"/>
    </row>
    <row r="50" spans="1:8" ht="30" customHeight="1">
      <c r="A50" s="2"/>
      <c r="B50" s="14"/>
      <c r="C50" s="175"/>
      <c r="D50" s="175"/>
      <c r="E50" s="175"/>
      <c r="F50" s="175"/>
      <c r="G50" s="176"/>
      <c r="H50" s="177"/>
    </row>
    <row r="51" spans="1:8">
      <c r="A51" s="30"/>
      <c r="B51" s="18" t="s">
        <v>27</v>
      </c>
      <c r="C51" s="18" t="s">
        <v>28</v>
      </c>
      <c r="D51" s="18" t="s">
        <v>65</v>
      </c>
      <c r="E51" s="18" t="s">
        <v>30</v>
      </c>
      <c r="F51" s="18" t="s">
        <v>66</v>
      </c>
      <c r="G51" s="18" t="s">
        <v>32</v>
      </c>
      <c r="H51" s="18" t="s">
        <v>33</v>
      </c>
    </row>
    <row r="52" spans="1:8">
      <c r="A52" s="38" t="s">
        <v>67</v>
      </c>
      <c r="B52" s="15"/>
      <c r="C52" s="20"/>
      <c r="D52" s="20"/>
      <c r="E52" s="20"/>
      <c r="F52" s="20"/>
      <c r="G52" s="20"/>
      <c r="H52" s="15"/>
    </row>
    <row r="53" spans="1:8" customFormat="1" ht="15.95">
      <c r="A53" s="48" t="s">
        <v>68</v>
      </c>
      <c r="B53" s="22"/>
      <c r="C53" s="21"/>
      <c r="D53" s="21"/>
      <c r="E53" s="21"/>
      <c r="F53" s="21"/>
      <c r="G53" s="23" t="s">
        <v>37</v>
      </c>
      <c r="H53" s="23">
        <f>SUM(B52:H52)</f>
        <v>0</v>
      </c>
    </row>
    <row r="54" spans="1:8">
      <c r="A54" s="30"/>
      <c r="B54" s="18" t="s">
        <v>27</v>
      </c>
      <c r="C54" s="18" t="s">
        <v>28</v>
      </c>
      <c r="D54" s="18" t="s">
        <v>65</v>
      </c>
      <c r="E54" s="18" t="s">
        <v>30</v>
      </c>
      <c r="F54" s="18" t="s">
        <v>66</v>
      </c>
      <c r="G54" s="18" t="s">
        <v>32</v>
      </c>
      <c r="H54" s="18" t="s">
        <v>33</v>
      </c>
    </row>
    <row r="55" spans="1:8">
      <c r="A55" s="38" t="s">
        <v>69</v>
      </c>
      <c r="B55" s="51"/>
      <c r="C55" s="52"/>
      <c r="D55" s="52"/>
      <c r="E55" s="52"/>
      <c r="F55" s="52"/>
      <c r="G55" s="20"/>
      <c r="H55" s="15"/>
    </row>
    <row r="56" spans="1:8" customFormat="1" ht="15.95">
      <c r="A56" s="49" t="s">
        <v>70</v>
      </c>
      <c r="B56" s="53"/>
      <c r="C56" s="53" t="s">
        <v>71</v>
      </c>
      <c r="D56" s="54"/>
      <c r="E56" s="54"/>
      <c r="F56" s="55"/>
      <c r="G56" s="50" t="s">
        <v>37</v>
      </c>
      <c r="H56" s="23"/>
    </row>
    <row r="57" spans="1:8">
      <c r="H57" s="16"/>
    </row>
    <row r="58" spans="1:8">
      <c r="H58" s="16"/>
    </row>
    <row r="59" spans="1:8">
      <c r="H59" s="16"/>
    </row>
    <row r="60" spans="1:8">
      <c r="H60" s="16"/>
    </row>
    <row r="61" spans="1:8">
      <c r="H61" s="16"/>
    </row>
    <row r="62" spans="1:8">
      <c r="H62" s="16"/>
    </row>
    <row r="63" spans="1:8">
      <c r="H63" s="16"/>
    </row>
    <row r="64" spans="1:8">
      <c r="B64" s="5"/>
      <c r="H64" s="16"/>
    </row>
    <row r="65" spans="2:8">
      <c r="B65" s="5"/>
      <c r="H65" s="16"/>
    </row>
    <row r="66" spans="2:8">
      <c r="B66" s="5"/>
      <c r="H66" s="16"/>
    </row>
    <row r="67" spans="2:8">
      <c r="B67" s="5"/>
      <c r="H67" s="16"/>
    </row>
    <row r="68" spans="2:8">
      <c r="B68" s="5"/>
      <c r="H68" s="16"/>
    </row>
    <row r="69" spans="2:8">
      <c r="B69" s="5"/>
      <c r="H69" s="16"/>
    </row>
    <row r="70" spans="2:8">
      <c r="B70" s="5"/>
      <c r="H70" s="16"/>
    </row>
    <row r="71" spans="2:8">
      <c r="B71" s="5"/>
      <c r="H71" s="16"/>
    </row>
    <row r="72" spans="2:8">
      <c r="B72" s="5"/>
      <c r="H72" s="16"/>
    </row>
    <row r="73" spans="2:8">
      <c r="B73" s="5"/>
      <c r="H73" s="16"/>
    </row>
    <row r="74" spans="2:8">
      <c r="B74" s="5"/>
      <c r="H74" s="16"/>
    </row>
    <row r="75" spans="2:8">
      <c r="B75" s="5"/>
      <c r="H75" s="16"/>
    </row>
    <row r="76" spans="2:8">
      <c r="B76" s="5"/>
      <c r="H76" s="16"/>
    </row>
    <row r="77" spans="2:8">
      <c r="B77" s="5"/>
      <c r="H77" s="16"/>
    </row>
    <row r="78" spans="2:8">
      <c r="B78" s="5"/>
      <c r="H78" s="16"/>
    </row>
    <row r="79" spans="2:8">
      <c r="B79" s="5"/>
      <c r="H79" s="16"/>
    </row>
    <row r="80" spans="2:8">
      <c r="B80" s="5"/>
      <c r="H80" s="16"/>
    </row>
    <row r="81" spans="2:8">
      <c r="B81" s="5"/>
      <c r="H81" s="16"/>
    </row>
    <row r="82" spans="2:8">
      <c r="B82" s="5"/>
      <c r="H82" s="16"/>
    </row>
    <row r="83" spans="2:8">
      <c r="B83" s="5"/>
      <c r="H83" s="16"/>
    </row>
    <row r="84" spans="2:8">
      <c r="B84" s="5"/>
      <c r="H84" s="16"/>
    </row>
    <row r="85" spans="2:8">
      <c r="B85" s="5"/>
      <c r="H85" s="16"/>
    </row>
    <row r="86" spans="2:8">
      <c r="B86" s="5"/>
      <c r="H86" s="16"/>
    </row>
    <row r="87" spans="2:8">
      <c r="B87" s="5"/>
      <c r="H87" s="16"/>
    </row>
    <row r="88" spans="2:8">
      <c r="B88" s="5"/>
      <c r="H88" s="16"/>
    </row>
    <row r="89" spans="2:8">
      <c r="B89" s="5"/>
      <c r="H89" s="16"/>
    </row>
    <row r="90" spans="2:8">
      <c r="B90" s="5"/>
      <c r="H90" s="16"/>
    </row>
    <row r="91" spans="2:8">
      <c r="B91" s="5"/>
      <c r="H91" s="16"/>
    </row>
    <row r="92" spans="2:8">
      <c r="B92" s="5"/>
      <c r="H92" s="16"/>
    </row>
    <row r="93" spans="2:8">
      <c r="B93" s="5"/>
      <c r="H93" s="16"/>
    </row>
    <row r="94" spans="2:8">
      <c r="B94" s="5"/>
      <c r="H94" s="16"/>
    </row>
    <row r="95" spans="2:8">
      <c r="B95" s="5"/>
      <c r="H95" s="16"/>
    </row>
    <row r="96" spans="2:8">
      <c r="B96" s="5"/>
      <c r="H96" s="16"/>
    </row>
    <row r="97" spans="2:8">
      <c r="B97" s="5"/>
      <c r="H97" s="16"/>
    </row>
    <row r="98" spans="2:8">
      <c r="B98" s="5"/>
      <c r="H98" s="16"/>
    </row>
    <row r="99" spans="2:8">
      <c r="B99" s="5"/>
      <c r="H99" s="16"/>
    </row>
    <row r="100" spans="2:8">
      <c r="B100" s="5"/>
      <c r="H100" s="16"/>
    </row>
    <row r="101" spans="2:8">
      <c r="B101" s="5"/>
      <c r="H101" s="16"/>
    </row>
    <row r="102" spans="2:8">
      <c r="B102" s="5"/>
      <c r="H102" s="16"/>
    </row>
    <row r="103" spans="2:8">
      <c r="B103" s="5"/>
      <c r="H103" s="16"/>
    </row>
    <row r="104" spans="2:8">
      <c r="B104" s="5"/>
      <c r="H104" s="16"/>
    </row>
    <row r="105" spans="2:8">
      <c r="B105" s="5"/>
      <c r="H105" s="16"/>
    </row>
    <row r="106" spans="2:8">
      <c r="B106" s="5"/>
      <c r="H106" s="16"/>
    </row>
    <row r="107" spans="2:8">
      <c r="B107" s="5"/>
      <c r="H107" s="16"/>
    </row>
    <row r="108" spans="2:8">
      <c r="B108" s="5"/>
      <c r="H108" s="16"/>
    </row>
    <row r="109" spans="2:8">
      <c r="B109" s="5"/>
      <c r="H109" s="16"/>
    </row>
    <row r="110" spans="2:8">
      <c r="B110" s="5"/>
      <c r="H110" s="16"/>
    </row>
    <row r="111" spans="2:8">
      <c r="B111" s="5"/>
      <c r="H111" s="16"/>
    </row>
    <row r="112" spans="2:8">
      <c r="B112" s="5"/>
      <c r="H112" s="16"/>
    </row>
    <row r="113" spans="2:8">
      <c r="B113" s="5"/>
      <c r="H113" s="16"/>
    </row>
    <row r="114" spans="2:8">
      <c r="B114" s="5"/>
      <c r="H114" s="16"/>
    </row>
    <row r="115" spans="2:8">
      <c r="B115" s="5"/>
      <c r="H115" s="16"/>
    </row>
    <row r="116" spans="2:8">
      <c r="B116" s="5"/>
      <c r="H116" s="16"/>
    </row>
    <row r="117" spans="2:8">
      <c r="B117" s="5"/>
      <c r="H117" s="16"/>
    </row>
    <row r="118" spans="2:8">
      <c r="B118" s="5"/>
      <c r="H118" s="16"/>
    </row>
    <row r="119" spans="2:8">
      <c r="B119" s="5"/>
      <c r="H119" s="16"/>
    </row>
    <row r="120" spans="2:8">
      <c r="B120" s="5"/>
      <c r="H120" s="16"/>
    </row>
    <row r="121" spans="2:8">
      <c r="B121" s="5"/>
      <c r="H121" s="16"/>
    </row>
    <row r="122" spans="2:8">
      <c r="B122" s="5"/>
      <c r="H122" s="16"/>
    </row>
    <row r="123" spans="2:8">
      <c r="B123" s="5"/>
      <c r="H123" s="16"/>
    </row>
    <row r="124" spans="2:8">
      <c r="B124" s="5"/>
      <c r="H124" s="16"/>
    </row>
    <row r="125" spans="2:8">
      <c r="B125" s="5"/>
      <c r="H125" s="16"/>
    </row>
    <row r="126" spans="2:8">
      <c r="B126" s="5"/>
      <c r="H126" s="16"/>
    </row>
    <row r="127" spans="2:8">
      <c r="B127" s="5"/>
      <c r="H127" s="16"/>
    </row>
    <row r="128" spans="2:8">
      <c r="B128" s="5"/>
      <c r="H128" s="16"/>
    </row>
    <row r="129" spans="2:8">
      <c r="B129" s="5"/>
      <c r="H129" s="16"/>
    </row>
    <row r="130" spans="2:8">
      <c r="B130" s="5"/>
      <c r="H130" s="16"/>
    </row>
    <row r="131" spans="2:8">
      <c r="B131" s="5"/>
      <c r="H131" s="16"/>
    </row>
    <row r="132" spans="2:8">
      <c r="B132" s="5"/>
      <c r="H132" s="16"/>
    </row>
    <row r="133" spans="2:8">
      <c r="B133" s="5"/>
      <c r="H133" s="16"/>
    </row>
    <row r="134" spans="2:8">
      <c r="B134" s="5"/>
      <c r="H134" s="16"/>
    </row>
    <row r="135" spans="2:8">
      <c r="B135" s="5"/>
      <c r="H135" s="16"/>
    </row>
    <row r="136" spans="2:8">
      <c r="B136" s="5"/>
      <c r="H136" s="16"/>
    </row>
    <row r="137" spans="2:8">
      <c r="B137" s="5"/>
      <c r="H137" s="16"/>
    </row>
    <row r="138" spans="2:8">
      <c r="B138" s="5"/>
      <c r="H138" s="16"/>
    </row>
    <row r="139" spans="2:8">
      <c r="B139" s="5"/>
      <c r="H139" s="16"/>
    </row>
    <row r="140" spans="2:8">
      <c r="B140" s="5"/>
      <c r="H140" s="16"/>
    </row>
    <row r="141" spans="2:8">
      <c r="B141" s="5"/>
      <c r="H141" s="16"/>
    </row>
    <row r="142" spans="2:8">
      <c r="B142" s="5"/>
      <c r="H142" s="16"/>
    </row>
    <row r="143" spans="2:8">
      <c r="B143" s="5"/>
      <c r="H143" s="16"/>
    </row>
    <row r="144" spans="2:8">
      <c r="B144" s="5"/>
      <c r="H144" s="16"/>
    </row>
    <row r="145" spans="2:8">
      <c r="B145" s="5"/>
      <c r="H145" s="16"/>
    </row>
    <row r="146" spans="2:8">
      <c r="B146" s="5"/>
      <c r="H146" s="16"/>
    </row>
    <row r="147" spans="2:8">
      <c r="B147" s="5"/>
      <c r="H147" s="16"/>
    </row>
    <row r="148" spans="2:8">
      <c r="B148" s="5"/>
      <c r="H148" s="16"/>
    </row>
    <row r="149" spans="2:8">
      <c r="B149" s="5"/>
      <c r="H149" s="16"/>
    </row>
    <row r="150" spans="2:8">
      <c r="B150" s="5"/>
      <c r="H150" s="16"/>
    </row>
    <row r="151" spans="2:8">
      <c r="B151" s="5"/>
      <c r="H151" s="16"/>
    </row>
    <row r="152" spans="2:8">
      <c r="B152" s="5"/>
      <c r="H152" s="16"/>
    </row>
    <row r="153" spans="2:8">
      <c r="B153" s="5"/>
      <c r="H153" s="16"/>
    </row>
    <row r="154" spans="2:8">
      <c r="B154" s="5"/>
      <c r="H154" s="16"/>
    </row>
    <row r="155" spans="2:8">
      <c r="B155" s="5"/>
      <c r="H155" s="16"/>
    </row>
    <row r="156" spans="2:8">
      <c r="B156" s="5"/>
      <c r="H156" s="16"/>
    </row>
    <row r="157" spans="2:8">
      <c r="B157" s="5"/>
      <c r="H157" s="16"/>
    </row>
    <row r="158" spans="2:8">
      <c r="B158" s="5"/>
      <c r="H158" s="16"/>
    </row>
    <row r="159" spans="2:8">
      <c r="B159" s="5"/>
      <c r="H159" s="16"/>
    </row>
    <row r="160" spans="2:8">
      <c r="B160" s="5"/>
      <c r="H160" s="16"/>
    </row>
    <row r="161" spans="2:8">
      <c r="B161" s="5"/>
      <c r="H161" s="16"/>
    </row>
    <row r="162" spans="2:8">
      <c r="B162" s="5"/>
      <c r="H162" s="16"/>
    </row>
    <row r="163" spans="2:8">
      <c r="B163" s="5"/>
      <c r="H163" s="16"/>
    </row>
    <row r="164" spans="2:8">
      <c r="B164" s="5"/>
      <c r="H164" s="16"/>
    </row>
    <row r="165" spans="2:8">
      <c r="B165" s="5"/>
      <c r="H165" s="16"/>
    </row>
    <row r="166" spans="2:8">
      <c r="B166" s="5"/>
      <c r="H166" s="16"/>
    </row>
    <row r="167" spans="2:8">
      <c r="B167" s="5"/>
      <c r="H167" s="16"/>
    </row>
    <row r="168" spans="2:8">
      <c r="B168" s="5"/>
      <c r="H168" s="16"/>
    </row>
    <row r="169" spans="2:8">
      <c r="B169" s="5"/>
      <c r="H169" s="16"/>
    </row>
    <row r="170" spans="2:8">
      <c r="B170" s="5"/>
      <c r="H170" s="16"/>
    </row>
    <row r="171" spans="2:8">
      <c r="B171" s="5"/>
      <c r="H171" s="16"/>
    </row>
    <row r="172" spans="2:8">
      <c r="B172" s="5"/>
      <c r="H172" s="16"/>
    </row>
    <row r="173" spans="2:8">
      <c r="B173" s="5"/>
      <c r="H173" s="16"/>
    </row>
    <row r="174" spans="2:8">
      <c r="B174" s="5"/>
      <c r="H174" s="16"/>
    </row>
    <row r="175" spans="2:8">
      <c r="B175" s="5"/>
      <c r="H175" s="16"/>
    </row>
    <row r="176" spans="2:8">
      <c r="B176" s="5"/>
      <c r="H176" s="16"/>
    </row>
    <row r="177" spans="2:8">
      <c r="B177" s="5"/>
      <c r="H177" s="16"/>
    </row>
    <row r="178" spans="2:8">
      <c r="B178" s="5"/>
      <c r="H178" s="16"/>
    </row>
    <row r="179" spans="2:8">
      <c r="B179" s="5"/>
      <c r="H179" s="16"/>
    </row>
    <row r="180" spans="2:8">
      <c r="B180" s="5"/>
      <c r="H180" s="16"/>
    </row>
    <row r="181" spans="2:8">
      <c r="B181" s="5"/>
      <c r="H181" s="16"/>
    </row>
    <row r="182" spans="2:8">
      <c r="B182" s="5"/>
      <c r="H182" s="16"/>
    </row>
    <row r="183" spans="2:8">
      <c r="B183" s="5"/>
      <c r="H183" s="16"/>
    </row>
    <row r="184" spans="2:8">
      <c r="B184" s="5"/>
      <c r="H184" s="16"/>
    </row>
    <row r="185" spans="2:8">
      <c r="B185" s="5"/>
      <c r="H185" s="16"/>
    </row>
    <row r="186" spans="2:8">
      <c r="B186" s="5"/>
      <c r="H186" s="16"/>
    </row>
    <row r="187" spans="2:8">
      <c r="B187" s="5"/>
      <c r="H187" s="16"/>
    </row>
    <row r="188" spans="2:8">
      <c r="B188" s="5"/>
      <c r="H188" s="16"/>
    </row>
    <row r="189" spans="2:8">
      <c r="B189" s="5"/>
      <c r="H189" s="16"/>
    </row>
    <row r="190" spans="2:8">
      <c r="B190" s="5"/>
      <c r="H190" s="16"/>
    </row>
    <row r="191" spans="2:8">
      <c r="B191" s="5"/>
      <c r="H191" s="16"/>
    </row>
    <row r="192" spans="2:8">
      <c r="B192" s="5"/>
      <c r="H192" s="16"/>
    </row>
    <row r="193" spans="2:8">
      <c r="B193" s="5"/>
      <c r="H193" s="16"/>
    </row>
    <row r="194" spans="2:8">
      <c r="B194" s="5"/>
      <c r="H194" s="16"/>
    </row>
    <row r="195" spans="2:8">
      <c r="B195" s="5"/>
      <c r="H195" s="16"/>
    </row>
    <row r="196" spans="2:8">
      <c r="B196" s="5"/>
      <c r="H196" s="16"/>
    </row>
    <row r="197" spans="2:8">
      <c r="B197" s="5"/>
      <c r="H197" s="16"/>
    </row>
    <row r="198" spans="2:8">
      <c r="B198" s="5"/>
      <c r="H198" s="16"/>
    </row>
    <row r="199" spans="2:8">
      <c r="B199" s="5"/>
      <c r="H199" s="16"/>
    </row>
    <row r="200" spans="2:8">
      <c r="B200" s="5"/>
      <c r="H200" s="16"/>
    </row>
    <row r="201" spans="2:8">
      <c r="B201" s="5"/>
      <c r="H201" s="16"/>
    </row>
    <row r="202" spans="2:8">
      <c r="B202" s="5"/>
      <c r="H202" s="16"/>
    </row>
    <row r="203" spans="2:8">
      <c r="B203" s="5"/>
      <c r="H203" s="16"/>
    </row>
    <row r="204" spans="2:8">
      <c r="B204" s="5"/>
      <c r="H204" s="16"/>
    </row>
    <row r="205" spans="2:8">
      <c r="B205" s="5"/>
      <c r="H205" s="16"/>
    </row>
    <row r="206" spans="2:8">
      <c r="B206" s="5"/>
      <c r="H206" s="16"/>
    </row>
    <row r="207" spans="2:8">
      <c r="B207" s="5"/>
      <c r="H207" s="16"/>
    </row>
    <row r="208" spans="2:8">
      <c r="B208" s="5"/>
      <c r="H208" s="16"/>
    </row>
    <row r="209" spans="2:8">
      <c r="B209" s="5"/>
      <c r="H209" s="16"/>
    </row>
    <row r="210" spans="2:8">
      <c r="B210" s="5"/>
      <c r="H210" s="16"/>
    </row>
    <row r="211" spans="2:8">
      <c r="B211" s="5"/>
      <c r="H211" s="16"/>
    </row>
    <row r="212" spans="2:8">
      <c r="B212" s="5"/>
      <c r="H212" s="16"/>
    </row>
    <row r="213" spans="2:8">
      <c r="B213" s="5"/>
      <c r="H213" s="16"/>
    </row>
    <row r="214" spans="2:8">
      <c r="B214" s="5"/>
      <c r="H214" s="16"/>
    </row>
    <row r="215" spans="2:8">
      <c r="B215" s="5"/>
      <c r="H215" s="16"/>
    </row>
    <row r="216" spans="2:8">
      <c r="B216" s="5"/>
      <c r="H216" s="16"/>
    </row>
    <row r="217" spans="2:8">
      <c r="B217" s="5"/>
      <c r="H217" s="16"/>
    </row>
    <row r="218" spans="2:8">
      <c r="B218" s="5"/>
      <c r="H218" s="16"/>
    </row>
    <row r="219" spans="2:8">
      <c r="B219" s="5"/>
      <c r="H219" s="16"/>
    </row>
    <row r="220" spans="2:8">
      <c r="B220" s="5"/>
      <c r="H220" s="16"/>
    </row>
    <row r="221" spans="2:8">
      <c r="B221" s="5"/>
      <c r="H221" s="16"/>
    </row>
    <row r="222" spans="2:8">
      <c r="B222" s="5"/>
      <c r="H222" s="16"/>
    </row>
    <row r="223" spans="2:8">
      <c r="B223" s="5"/>
      <c r="H223" s="16"/>
    </row>
    <row r="224" spans="2:8">
      <c r="B224" s="5"/>
      <c r="H224" s="16"/>
    </row>
    <row r="225" spans="2:8">
      <c r="B225" s="5"/>
      <c r="H225" s="16"/>
    </row>
    <row r="226" spans="2:8">
      <c r="B226" s="5"/>
      <c r="H226" s="16"/>
    </row>
    <row r="227" spans="2:8">
      <c r="B227" s="5"/>
      <c r="H227" s="16"/>
    </row>
    <row r="228" spans="2:8">
      <c r="B228" s="5"/>
      <c r="H228" s="16"/>
    </row>
    <row r="229" spans="2:8">
      <c r="B229" s="5"/>
      <c r="H229" s="16"/>
    </row>
    <row r="230" spans="2:8">
      <c r="B230" s="5"/>
      <c r="H230" s="16"/>
    </row>
    <row r="231" spans="2:8">
      <c r="B231" s="5"/>
      <c r="H231" s="16"/>
    </row>
    <row r="232" spans="2:8">
      <c r="B232" s="5"/>
      <c r="H232" s="16"/>
    </row>
    <row r="233" spans="2:8">
      <c r="B233" s="5"/>
      <c r="H233" s="16"/>
    </row>
    <row r="234" spans="2:8">
      <c r="B234" s="5"/>
      <c r="H234" s="16"/>
    </row>
    <row r="235" spans="2:8">
      <c r="B235" s="5"/>
      <c r="H235" s="16"/>
    </row>
    <row r="236" spans="2:8">
      <c r="B236" s="5"/>
      <c r="H236" s="16"/>
    </row>
    <row r="237" spans="2:8">
      <c r="B237" s="5"/>
      <c r="H237" s="16"/>
    </row>
    <row r="238" spans="2:8">
      <c r="B238" s="5"/>
      <c r="H238" s="16"/>
    </row>
    <row r="239" spans="2:8">
      <c r="B239" s="5"/>
      <c r="H239" s="16"/>
    </row>
    <row r="240" spans="2:8">
      <c r="B240" s="5"/>
      <c r="H240" s="16"/>
    </row>
    <row r="241" spans="2:8">
      <c r="B241" s="5"/>
      <c r="H241" s="16"/>
    </row>
    <row r="242" spans="2:8">
      <c r="B242" s="5"/>
      <c r="H242" s="16"/>
    </row>
    <row r="243" spans="2:8">
      <c r="B243" s="5"/>
      <c r="H243" s="16"/>
    </row>
    <row r="244" spans="2:8">
      <c r="B244" s="5"/>
      <c r="H244" s="16"/>
    </row>
    <row r="245" spans="2:8">
      <c r="B245" s="5"/>
      <c r="H245" s="16"/>
    </row>
    <row r="246" spans="2:8">
      <c r="B246" s="5"/>
      <c r="H246" s="16"/>
    </row>
    <row r="247" spans="2:8">
      <c r="B247" s="5"/>
      <c r="H247" s="16"/>
    </row>
    <row r="248" spans="2:8">
      <c r="B248" s="5"/>
      <c r="H248" s="16"/>
    </row>
    <row r="249" spans="2:8">
      <c r="B249" s="5"/>
      <c r="H249" s="16"/>
    </row>
    <row r="250" spans="2:8">
      <c r="B250" s="5"/>
      <c r="H250" s="16"/>
    </row>
    <row r="251" spans="2:8">
      <c r="B251" s="5"/>
      <c r="H251" s="16"/>
    </row>
    <row r="252" spans="2:8">
      <c r="B252" s="5"/>
      <c r="H252" s="16"/>
    </row>
    <row r="253" spans="2:8">
      <c r="B253" s="5"/>
      <c r="H253" s="16"/>
    </row>
    <row r="254" spans="2:8">
      <c r="B254" s="5"/>
      <c r="H254" s="16"/>
    </row>
    <row r="255" spans="2:8">
      <c r="B255" s="5"/>
      <c r="H255" s="16"/>
    </row>
    <row r="256" spans="2:8">
      <c r="B256" s="5"/>
      <c r="H256" s="16"/>
    </row>
    <row r="257" spans="2:8">
      <c r="B257" s="5"/>
      <c r="H257" s="16"/>
    </row>
    <row r="258" spans="2:8">
      <c r="B258" s="5"/>
      <c r="H258" s="16"/>
    </row>
    <row r="259" spans="2:8">
      <c r="B259" s="5"/>
      <c r="H259" s="16"/>
    </row>
    <row r="260" spans="2:8">
      <c r="B260" s="5"/>
      <c r="H260" s="16"/>
    </row>
    <row r="261" spans="2:8">
      <c r="B261" s="5"/>
      <c r="H261" s="16"/>
    </row>
    <row r="262" spans="2:8">
      <c r="B262" s="5"/>
      <c r="H262" s="16"/>
    </row>
    <row r="263" spans="2:8">
      <c r="B263" s="5"/>
      <c r="H263" s="16"/>
    </row>
    <row r="264" spans="2:8">
      <c r="B264" s="5"/>
      <c r="H264" s="16"/>
    </row>
    <row r="265" spans="2:8">
      <c r="B265" s="5"/>
      <c r="H265" s="16"/>
    </row>
    <row r="266" spans="2:8">
      <c r="B266" s="5"/>
      <c r="H266" s="16"/>
    </row>
    <row r="267" spans="2:8">
      <c r="B267" s="5"/>
      <c r="H267" s="16"/>
    </row>
    <row r="268" spans="2:8">
      <c r="B268" s="5"/>
      <c r="H268" s="16"/>
    </row>
    <row r="269" spans="2:8">
      <c r="B269" s="5"/>
      <c r="H269" s="16"/>
    </row>
    <row r="270" spans="2:8">
      <c r="B270" s="5"/>
      <c r="H270" s="16"/>
    </row>
    <row r="271" spans="2:8">
      <c r="B271" s="5"/>
      <c r="H271" s="16"/>
    </row>
    <row r="272" spans="2:8">
      <c r="B272" s="5"/>
      <c r="H272" s="16"/>
    </row>
    <row r="273" spans="2:8">
      <c r="B273" s="5"/>
      <c r="H273" s="16"/>
    </row>
    <row r="274" spans="2:8">
      <c r="B274" s="5"/>
      <c r="H274" s="16"/>
    </row>
    <row r="275" spans="2:8">
      <c r="B275" s="5"/>
      <c r="H275" s="16"/>
    </row>
    <row r="276" spans="2:8">
      <c r="B276" s="5"/>
      <c r="H276" s="16"/>
    </row>
    <row r="277" spans="2:8">
      <c r="B277" s="5"/>
      <c r="H277" s="16"/>
    </row>
    <row r="278" spans="2:8">
      <c r="B278" s="5"/>
      <c r="H278" s="16"/>
    </row>
    <row r="279" spans="2:8">
      <c r="B279" s="5"/>
      <c r="H279" s="16"/>
    </row>
    <row r="280" spans="2:8">
      <c r="B280" s="5"/>
      <c r="H280" s="16"/>
    </row>
    <row r="281" spans="2:8">
      <c r="B281" s="5"/>
      <c r="H281" s="16"/>
    </row>
    <row r="282" spans="2:8">
      <c r="B282" s="5"/>
      <c r="H282" s="16"/>
    </row>
    <row r="283" spans="2:8">
      <c r="B283" s="5"/>
      <c r="H283" s="16"/>
    </row>
    <row r="284" spans="2:8">
      <c r="B284" s="5"/>
      <c r="H284" s="16"/>
    </row>
    <row r="285" spans="2:8">
      <c r="B285" s="5"/>
      <c r="H285" s="16"/>
    </row>
    <row r="286" spans="2:8">
      <c r="B286" s="5"/>
      <c r="H286" s="16"/>
    </row>
    <row r="287" spans="2:8">
      <c r="B287" s="5"/>
      <c r="H287" s="16"/>
    </row>
    <row r="288" spans="2:8">
      <c r="B288" s="5"/>
      <c r="H288" s="16"/>
    </row>
    <row r="289" spans="2:8">
      <c r="B289" s="5"/>
      <c r="H289" s="16"/>
    </row>
    <row r="290" spans="2:8">
      <c r="B290" s="5"/>
      <c r="H290" s="16"/>
    </row>
    <row r="291" spans="2:8">
      <c r="B291" s="5"/>
      <c r="H291" s="16"/>
    </row>
    <row r="292" spans="2:8">
      <c r="B292" s="5"/>
      <c r="H292" s="16"/>
    </row>
    <row r="293" spans="2:8">
      <c r="B293" s="5"/>
      <c r="H293" s="16"/>
    </row>
    <row r="294" spans="2:8">
      <c r="B294" s="5"/>
      <c r="H294" s="16"/>
    </row>
    <row r="295" spans="2:8">
      <c r="B295" s="5"/>
      <c r="H295" s="16"/>
    </row>
    <row r="296" spans="2:8">
      <c r="B296" s="5"/>
      <c r="H296" s="16"/>
    </row>
    <row r="297" spans="2:8">
      <c r="B297" s="5"/>
      <c r="H297" s="16"/>
    </row>
    <row r="298" spans="2:8">
      <c r="B298" s="5"/>
      <c r="H298" s="16"/>
    </row>
    <row r="299" spans="2:8">
      <c r="B299" s="5"/>
      <c r="H299" s="16"/>
    </row>
    <row r="300" spans="2:8">
      <c r="B300" s="5"/>
      <c r="H300" s="16"/>
    </row>
    <row r="301" spans="2:8">
      <c r="B301" s="5"/>
      <c r="H301" s="16"/>
    </row>
    <row r="302" spans="2:8">
      <c r="B302" s="5"/>
      <c r="H302" s="16"/>
    </row>
    <row r="303" spans="2:8">
      <c r="B303" s="5"/>
      <c r="H303" s="16"/>
    </row>
    <row r="304" spans="2:8">
      <c r="B304" s="5"/>
      <c r="H304" s="16"/>
    </row>
    <row r="305" spans="2:8">
      <c r="B305" s="5"/>
      <c r="H305" s="16"/>
    </row>
    <row r="306" spans="2:8">
      <c r="B306" s="5"/>
      <c r="H306" s="16"/>
    </row>
    <row r="307" spans="2:8">
      <c r="B307" s="5"/>
      <c r="H307" s="16"/>
    </row>
    <row r="308" spans="2:8">
      <c r="B308" s="5"/>
      <c r="H308" s="16"/>
    </row>
    <row r="309" spans="2:8">
      <c r="B309" s="5"/>
      <c r="H309" s="16"/>
    </row>
    <row r="310" spans="2:8">
      <c r="B310" s="5"/>
      <c r="H310" s="16"/>
    </row>
    <row r="311" spans="2:8">
      <c r="B311" s="5"/>
      <c r="H311" s="16"/>
    </row>
    <row r="312" spans="2:8">
      <c r="B312" s="5"/>
      <c r="H312" s="16"/>
    </row>
    <row r="313" spans="2:8">
      <c r="B313" s="5"/>
      <c r="H313" s="16"/>
    </row>
    <row r="314" spans="2:8">
      <c r="B314" s="5"/>
      <c r="H314" s="16"/>
    </row>
    <row r="315" spans="2:8">
      <c r="B315" s="5"/>
      <c r="H315" s="16"/>
    </row>
    <row r="316" spans="2:8">
      <c r="B316" s="5"/>
      <c r="H316" s="16"/>
    </row>
    <row r="317" spans="2:8">
      <c r="B317" s="5"/>
      <c r="H317" s="16"/>
    </row>
    <row r="318" spans="2:8">
      <c r="B318" s="5"/>
      <c r="H318" s="16"/>
    </row>
    <row r="319" spans="2:8">
      <c r="B319" s="5"/>
      <c r="H319" s="16"/>
    </row>
    <row r="320" spans="2:8">
      <c r="B320" s="5"/>
      <c r="H320" s="16"/>
    </row>
    <row r="321" spans="2:8">
      <c r="B321" s="5"/>
      <c r="H321" s="16"/>
    </row>
    <row r="322" spans="2:8">
      <c r="B322" s="5"/>
      <c r="H322" s="16"/>
    </row>
    <row r="323" spans="2:8">
      <c r="B323" s="5"/>
      <c r="H323" s="16"/>
    </row>
    <row r="324" spans="2:8">
      <c r="B324" s="5"/>
      <c r="H324" s="16"/>
    </row>
    <row r="325" spans="2:8">
      <c r="B325" s="5"/>
      <c r="H325" s="16"/>
    </row>
    <row r="326" spans="2:8">
      <c r="B326" s="5"/>
      <c r="H326" s="16"/>
    </row>
    <row r="327" spans="2:8">
      <c r="B327" s="5"/>
      <c r="H327" s="16"/>
    </row>
    <row r="328" spans="2:8">
      <c r="B328" s="5"/>
      <c r="H328" s="16"/>
    </row>
    <row r="329" spans="2:8">
      <c r="B329" s="5"/>
      <c r="H329" s="16"/>
    </row>
    <row r="330" spans="2:8">
      <c r="B330" s="5"/>
      <c r="H330" s="16"/>
    </row>
    <row r="331" spans="2:8">
      <c r="B331" s="5"/>
      <c r="H331" s="16"/>
    </row>
    <row r="332" spans="2:8">
      <c r="B332" s="5"/>
      <c r="H332" s="16"/>
    </row>
    <row r="333" spans="2:8">
      <c r="B333" s="5"/>
      <c r="H333" s="16"/>
    </row>
    <row r="334" spans="2:8">
      <c r="B334" s="5"/>
      <c r="H334" s="16"/>
    </row>
    <row r="335" spans="2:8">
      <c r="B335" s="5"/>
      <c r="H335" s="16"/>
    </row>
    <row r="336" spans="2:8">
      <c r="B336" s="5"/>
      <c r="H336" s="16"/>
    </row>
    <row r="337" spans="2:8">
      <c r="B337" s="5"/>
      <c r="H337" s="16"/>
    </row>
    <row r="338" spans="2:8">
      <c r="B338" s="5"/>
      <c r="H338" s="16"/>
    </row>
    <row r="339" spans="2:8">
      <c r="B339" s="5"/>
      <c r="H339" s="16"/>
    </row>
    <row r="340" spans="2:8">
      <c r="B340" s="5"/>
      <c r="H340" s="16"/>
    </row>
    <row r="341" spans="2:8">
      <c r="B341" s="5"/>
      <c r="H341" s="16"/>
    </row>
    <row r="342" spans="2:8">
      <c r="B342" s="5"/>
      <c r="H342" s="16"/>
    </row>
    <row r="343" spans="2:8">
      <c r="B343" s="5"/>
      <c r="H343" s="16"/>
    </row>
    <row r="344" spans="2:8">
      <c r="B344" s="5"/>
      <c r="H344" s="16"/>
    </row>
    <row r="345" spans="2:8">
      <c r="B345" s="5"/>
      <c r="H345" s="16"/>
    </row>
    <row r="346" spans="2:8">
      <c r="B346" s="5"/>
      <c r="H346" s="16"/>
    </row>
    <row r="347" spans="2:8">
      <c r="B347" s="5"/>
      <c r="H347" s="16"/>
    </row>
    <row r="348" spans="2:8">
      <c r="B348" s="5"/>
      <c r="H348" s="16"/>
    </row>
    <row r="349" spans="2:8">
      <c r="B349" s="5"/>
      <c r="H349" s="16"/>
    </row>
    <row r="350" spans="2:8">
      <c r="B350" s="5"/>
      <c r="H350" s="16"/>
    </row>
    <row r="351" spans="2:8">
      <c r="B351" s="5"/>
      <c r="H351" s="16"/>
    </row>
    <row r="352" spans="2:8">
      <c r="B352" s="5"/>
      <c r="H352" s="16"/>
    </row>
    <row r="353" spans="2:8">
      <c r="B353" s="5"/>
      <c r="H353" s="16"/>
    </row>
    <row r="354" spans="2:8">
      <c r="B354" s="5"/>
      <c r="H354" s="16"/>
    </row>
    <row r="355" spans="2:8">
      <c r="B355" s="5"/>
      <c r="H355" s="16"/>
    </row>
    <row r="356" spans="2:8">
      <c r="B356" s="5"/>
      <c r="H356" s="16"/>
    </row>
    <row r="357" spans="2:8">
      <c r="B357" s="5"/>
      <c r="H357" s="16"/>
    </row>
    <row r="358" spans="2:8">
      <c r="B358" s="5"/>
      <c r="H358" s="16"/>
    </row>
    <row r="359" spans="2:8">
      <c r="B359" s="5"/>
      <c r="H359" s="16"/>
    </row>
    <row r="360" spans="2:8">
      <c r="B360" s="5"/>
      <c r="H360" s="16"/>
    </row>
    <row r="361" spans="2:8">
      <c r="B361" s="5"/>
      <c r="H361" s="16"/>
    </row>
    <row r="362" spans="2:8">
      <c r="B362" s="5"/>
      <c r="H362" s="16"/>
    </row>
    <row r="363" spans="2:8">
      <c r="B363" s="5"/>
      <c r="H363" s="16"/>
    </row>
    <row r="364" spans="2:8">
      <c r="B364" s="5"/>
      <c r="H364" s="16"/>
    </row>
    <row r="365" spans="2:8">
      <c r="B365" s="5"/>
      <c r="H365" s="16"/>
    </row>
    <row r="366" spans="2:8">
      <c r="B366" s="5"/>
      <c r="H366" s="16"/>
    </row>
    <row r="367" spans="2:8">
      <c r="B367" s="5"/>
      <c r="H367" s="16"/>
    </row>
    <row r="368" spans="2:8">
      <c r="B368" s="5"/>
      <c r="H368" s="16"/>
    </row>
    <row r="369" spans="2:8">
      <c r="B369" s="5"/>
      <c r="H369" s="16"/>
    </row>
    <row r="370" spans="2:8">
      <c r="B370" s="5"/>
      <c r="H370" s="16"/>
    </row>
    <row r="371" spans="2:8">
      <c r="B371" s="5"/>
      <c r="H371" s="16"/>
    </row>
    <row r="372" spans="2:8">
      <c r="B372" s="5"/>
      <c r="H372" s="16"/>
    </row>
    <row r="373" spans="2:8">
      <c r="B373" s="5"/>
      <c r="H373" s="16"/>
    </row>
    <row r="374" spans="2:8">
      <c r="B374" s="5"/>
      <c r="H374" s="16"/>
    </row>
    <row r="375" spans="2:8">
      <c r="B375" s="5"/>
      <c r="H375" s="16"/>
    </row>
    <row r="376" spans="2:8">
      <c r="B376" s="5"/>
      <c r="H376" s="16"/>
    </row>
    <row r="377" spans="2:8">
      <c r="B377" s="5"/>
      <c r="H377" s="16"/>
    </row>
    <row r="378" spans="2:8">
      <c r="B378" s="5"/>
      <c r="H378" s="16"/>
    </row>
    <row r="379" spans="2:8">
      <c r="B379" s="5"/>
      <c r="H379" s="16"/>
    </row>
    <row r="380" spans="2:8">
      <c r="B380" s="5"/>
      <c r="H380" s="16"/>
    </row>
    <row r="381" spans="2:8">
      <c r="B381" s="5"/>
      <c r="H381" s="16"/>
    </row>
    <row r="382" spans="2:8">
      <c r="B382" s="5"/>
      <c r="H382" s="16"/>
    </row>
    <row r="383" spans="2:8">
      <c r="B383" s="5"/>
      <c r="H383" s="16"/>
    </row>
    <row r="384" spans="2:8">
      <c r="B384" s="5"/>
      <c r="H384" s="16"/>
    </row>
    <row r="385" spans="2:8">
      <c r="B385" s="5"/>
      <c r="H385" s="16"/>
    </row>
    <row r="386" spans="2:8">
      <c r="B386" s="5"/>
      <c r="H386" s="16"/>
    </row>
    <row r="387" spans="2:8">
      <c r="B387" s="5"/>
      <c r="H387" s="16"/>
    </row>
    <row r="388" spans="2:8">
      <c r="B388" s="5"/>
      <c r="H388" s="16"/>
    </row>
    <row r="389" spans="2:8">
      <c r="B389" s="5"/>
      <c r="H389" s="16"/>
    </row>
    <row r="390" spans="2:8">
      <c r="B390" s="5"/>
      <c r="H390" s="16"/>
    </row>
    <row r="391" spans="2:8">
      <c r="B391" s="5"/>
      <c r="H391" s="16"/>
    </row>
    <row r="392" spans="2:8">
      <c r="B392" s="5"/>
      <c r="H392" s="16"/>
    </row>
    <row r="393" spans="2:8">
      <c r="B393" s="5"/>
      <c r="H393" s="16"/>
    </row>
    <row r="394" spans="2:8">
      <c r="B394" s="5"/>
      <c r="H394" s="16"/>
    </row>
    <row r="395" spans="2:8">
      <c r="B395" s="5"/>
      <c r="H395" s="16"/>
    </row>
    <row r="396" spans="2:8">
      <c r="B396" s="5"/>
      <c r="H396" s="16"/>
    </row>
    <row r="397" spans="2:8">
      <c r="B397" s="5"/>
      <c r="H397" s="16"/>
    </row>
    <row r="398" spans="2:8">
      <c r="B398" s="5"/>
      <c r="H398" s="16"/>
    </row>
    <row r="399" spans="2:8">
      <c r="B399" s="5"/>
      <c r="H399" s="16"/>
    </row>
    <row r="400" spans="2:8">
      <c r="B400" s="5"/>
      <c r="H400" s="16"/>
    </row>
    <row r="401" spans="2:8">
      <c r="B401" s="5"/>
      <c r="H401" s="16"/>
    </row>
    <row r="402" spans="2:8">
      <c r="B402" s="5"/>
      <c r="H402" s="16"/>
    </row>
    <row r="403" spans="2:8">
      <c r="B403" s="5"/>
      <c r="H403" s="16"/>
    </row>
    <row r="404" spans="2:8">
      <c r="B404" s="5"/>
      <c r="H404" s="16"/>
    </row>
    <row r="405" spans="2:8">
      <c r="B405" s="5"/>
      <c r="H405" s="16"/>
    </row>
    <row r="406" spans="2:8">
      <c r="B406" s="5"/>
      <c r="H406" s="16"/>
    </row>
    <row r="407" spans="2:8">
      <c r="B407" s="5"/>
      <c r="H407" s="16"/>
    </row>
    <row r="408" spans="2:8">
      <c r="B408" s="5"/>
      <c r="H408" s="16"/>
    </row>
    <row r="409" spans="2:8">
      <c r="B409" s="5"/>
      <c r="H409" s="16"/>
    </row>
    <row r="410" spans="2:8">
      <c r="B410" s="5"/>
      <c r="H410" s="16"/>
    </row>
    <row r="411" spans="2:8">
      <c r="B411" s="5"/>
      <c r="H411" s="16"/>
    </row>
    <row r="412" spans="2:8">
      <c r="B412" s="5"/>
      <c r="H412" s="16"/>
    </row>
    <row r="413" spans="2:8">
      <c r="B413" s="5"/>
      <c r="H413" s="16"/>
    </row>
    <row r="414" spans="2:8">
      <c r="B414" s="5"/>
      <c r="H414" s="16"/>
    </row>
    <row r="415" spans="2:8">
      <c r="B415" s="5"/>
      <c r="H415" s="16"/>
    </row>
    <row r="416" spans="2:8">
      <c r="B416" s="5"/>
      <c r="H416" s="16"/>
    </row>
    <row r="417" spans="2:8">
      <c r="B417" s="5"/>
      <c r="H417" s="16"/>
    </row>
    <row r="418" spans="2:8">
      <c r="B418" s="5"/>
      <c r="H418" s="16"/>
    </row>
    <row r="419" spans="2:8">
      <c r="B419" s="5"/>
      <c r="H419" s="16"/>
    </row>
    <row r="420" spans="2:8">
      <c r="B420" s="5"/>
      <c r="H420" s="16"/>
    </row>
    <row r="421" spans="2:8">
      <c r="B421" s="5"/>
      <c r="H421" s="16"/>
    </row>
    <row r="422" spans="2:8">
      <c r="B422" s="5"/>
      <c r="H422" s="16"/>
    </row>
    <row r="423" spans="2:8">
      <c r="B423" s="5"/>
      <c r="H423" s="16"/>
    </row>
    <row r="424" spans="2:8">
      <c r="B424" s="5"/>
      <c r="H424" s="16"/>
    </row>
    <row r="425" spans="2:8">
      <c r="B425" s="5"/>
      <c r="H425" s="16"/>
    </row>
    <row r="426" spans="2:8">
      <c r="B426" s="5"/>
      <c r="H426" s="16"/>
    </row>
    <row r="427" spans="2:8">
      <c r="B427" s="5"/>
      <c r="H427" s="16"/>
    </row>
    <row r="428" spans="2:8">
      <c r="B428" s="5"/>
      <c r="H428" s="16"/>
    </row>
    <row r="429" spans="2:8">
      <c r="B429" s="5"/>
      <c r="H429" s="16"/>
    </row>
    <row r="430" spans="2:8">
      <c r="B430" s="5"/>
      <c r="H430" s="16"/>
    </row>
    <row r="431" spans="2:8">
      <c r="B431" s="5"/>
      <c r="H431" s="16"/>
    </row>
    <row r="432" spans="2:8">
      <c r="B432" s="5"/>
      <c r="H432" s="16"/>
    </row>
    <row r="433" spans="2:8">
      <c r="B433" s="5"/>
      <c r="H433" s="16"/>
    </row>
    <row r="434" spans="2:8">
      <c r="B434" s="5"/>
      <c r="H434" s="16"/>
    </row>
    <row r="435" spans="2:8">
      <c r="B435" s="5"/>
      <c r="H435" s="16"/>
    </row>
    <row r="436" spans="2:8">
      <c r="B436" s="5"/>
      <c r="H436" s="16"/>
    </row>
    <row r="437" spans="2:8">
      <c r="B437" s="5"/>
      <c r="H437" s="16"/>
    </row>
    <row r="438" spans="2:8">
      <c r="B438" s="5"/>
      <c r="H438" s="16"/>
    </row>
    <row r="439" spans="2:8">
      <c r="B439" s="5"/>
      <c r="H439" s="16"/>
    </row>
    <row r="440" spans="2:8">
      <c r="B440" s="5"/>
      <c r="H440" s="16"/>
    </row>
    <row r="441" spans="2:8">
      <c r="B441" s="5"/>
      <c r="H441" s="16"/>
    </row>
    <row r="442" spans="2:8">
      <c r="B442" s="5"/>
      <c r="H442" s="16"/>
    </row>
    <row r="443" spans="2:8">
      <c r="B443" s="5"/>
      <c r="H443" s="16"/>
    </row>
    <row r="444" spans="2:8">
      <c r="B444" s="5"/>
      <c r="H444" s="16"/>
    </row>
    <row r="445" spans="2:8">
      <c r="B445" s="5"/>
      <c r="H445" s="16"/>
    </row>
    <row r="446" spans="2:8">
      <c r="B446" s="5"/>
      <c r="H446" s="16"/>
    </row>
    <row r="447" spans="2:8">
      <c r="B447" s="5"/>
      <c r="H447" s="16"/>
    </row>
    <row r="448" spans="2:8">
      <c r="B448" s="5"/>
      <c r="H448" s="16"/>
    </row>
    <row r="449" spans="2:8">
      <c r="B449" s="5"/>
      <c r="H449" s="16"/>
    </row>
    <row r="450" spans="2:8">
      <c r="B450" s="5"/>
      <c r="H450" s="16"/>
    </row>
    <row r="451" spans="2:8">
      <c r="B451" s="5"/>
      <c r="H451" s="16"/>
    </row>
    <row r="452" spans="2:8">
      <c r="B452" s="5"/>
      <c r="H452" s="16"/>
    </row>
    <row r="453" spans="2:8">
      <c r="B453" s="5"/>
      <c r="H453" s="16"/>
    </row>
    <row r="454" spans="2:8">
      <c r="B454" s="5"/>
      <c r="H454" s="16"/>
    </row>
    <row r="455" spans="2:8">
      <c r="B455" s="5"/>
      <c r="H455" s="16"/>
    </row>
    <row r="456" spans="2:8">
      <c r="B456" s="5"/>
      <c r="H456" s="16"/>
    </row>
    <row r="457" spans="2:8">
      <c r="B457" s="5"/>
      <c r="H457" s="16"/>
    </row>
    <row r="458" spans="2:8">
      <c r="B458" s="5"/>
      <c r="H458" s="16"/>
    </row>
    <row r="459" spans="2:8">
      <c r="B459" s="5"/>
      <c r="H459" s="16"/>
    </row>
    <row r="460" spans="2:8">
      <c r="B460" s="5"/>
      <c r="H460" s="16"/>
    </row>
    <row r="461" spans="2:8">
      <c r="B461" s="5"/>
      <c r="H461" s="16"/>
    </row>
    <row r="462" spans="2:8">
      <c r="B462" s="5"/>
      <c r="H462" s="16"/>
    </row>
    <row r="463" spans="2:8">
      <c r="B463" s="5"/>
      <c r="H463" s="16"/>
    </row>
    <row r="464" spans="2:8">
      <c r="B464" s="5"/>
      <c r="H464" s="16"/>
    </row>
    <row r="465" spans="2:8">
      <c r="B465" s="5"/>
      <c r="H465" s="16"/>
    </row>
    <row r="466" spans="2:8">
      <c r="B466" s="5"/>
      <c r="H466" s="16"/>
    </row>
    <row r="467" spans="2:8">
      <c r="B467" s="5"/>
      <c r="H467" s="16"/>
    </row>
    <row r="468" spans="2:8">
      <c r="B468" s="5"/>
      <c r="H468" s="16"/>
    </row>
    <row r="469" spans="2:8">
      <c r="B469" s="5"/>
      <c r="H469" s="16"/>
    </row>
    <row r="470" spans="2:8">
      <c r="B470" s="5"/>
      <c r="H470" s="16"/>
    </row>
    <row r="471" spans="2:8">
      <c r="B471" s="5"/>
      <c r="H471" s="16"/>
    </row>
    <row r="472" spans="2:8">
      <c r="B472" s="5"/>
      <c r="H472" s="16"/>
    </row>
    <row r="473" spans="2:8">
      <c r="B473" s="5"/>
      <c r="H473" s="16"/>
    </row>
    <row r="474" spans="2:8">
      <c r="B474" s="5"/>
      <c r="H474" s="16"/>
    </row>
    <row r="475" spans="2:8">
      <c r="B475" s="5"/>
      <c r="H475" s="16"/>
    </row>
    <row r="476" spans="2:8">
      <c r="B476" s="5"/>
      <c r="H476" s="16"/>
    </row>
    <row r="477" spans="2:8">
      <c r="B477" s="5"/>
      <c r="H477" s="16"/>
    </row>
    <row r="478" spans="2:8">
      <c r="B478" s="5"/>
      <c r="H478" s="16"/>
    </row>
    <row r="479" spans="2:8">
      <c r="B479" s="5"/>
      <c r="H479" s="16"/>
    </row>
    <row r="480" spans="2:8">
      <c r="B480" s="5"/>
      <c r="H480" s="16"/>
    </row>
    <row r="481" spans="2:8">
      <c r="B481" s="5"/>
      <c r="H481" s="16"/>
    </row>
    <row r="482" spans="2:8">
      <c r="B482" s="5"/>
      <c r="H482" s="16"/>
    </row>
    <row r="483" spans="2:8">
      <c r="B483" s="5"/>
      <c r="H483" s="16"/>
    </row>
    <row r="484" spans="2:8">
      <c r="B484" s="5"/>
      <c r="H484" s="16"/>
    </row>
    <row r="485" spans="2:8">
      <c r="B485" s="5"/>
      <c r="H485" s="16"/>
    </row>
    <row r="486" spans="2:8">
      <c r="B486" s="5"/>
      <c r="H486" s="16"/>
    </row>
    <row r="487" spans="2:8">
      <c r="B487" s="5"/>
      <c r="H487" s="16"/>
    </row>
    <row r="488" spans="2:8">
      <c r="B488" s="5"/>
      <c r="H488" s="16"/>
    </row>
    <row r="489" spans="2:8">
      <c r="B489" s="5"/>
      <c r="H489" s="16"/>
    </row>
    <row r="490" spans="2:8">
      <c r="B490" s="5"/>
      <c r="H490" s="16"/>
    </row>
    <row r="491" spans="2:8">
      <c r="B491" s="5"/>
      <c r="H491" s="16"/>
    </row>
    <row r="492" spans="2:8">
      <c r="B492" s="5"/>
      <c r="H492" s="16"/>
    </row>
    <row r="493" spans="2:8">
      <c r="B493" s="5"/>
      <c r="H493" s="16"/>
    </row>
    <row r="494" spans="2:8">
      <c r="B494" s="5"/>
      <c r="H494" s="16"/>
    </row>
    <row r="495" spans="2:8">
      <c r="B495" s="5"/>
      <c r="H495" s="16"/>
    </row>
    <row r="496" spans="2:8">
      <c r="B496" s="5"/>
      <c r="H496" s="16"/>
    </row>
    <row r="497" spans="2:8">
      <c r="B497" s="5"/>
      <c r="H497" s="16"/>
    </row>
    <row r="498" spans="2:8">
      <c r="B498" s="5"/>
      <c r="H498" s="16"/>
    </row>
    <row r="499" spans="2:8">
      <c r="B499" s="5"/>
      <c r="H499" s="16"/>
    </row>
    <row r="500" spans="2:8">
      <c r="B500" s="5"/>
      <c r="H500" s="16"/>
    </row>
    <row r="501" spans="2:8">
      <c r="B501" s="5"/>
      <c r="H501" s="16"/>
    </row>
    <row r="502" spans="2:8">
      <c r="B502" s="5"/>
      <c r="H502" s="16"/>
    </row>
    <row r="503" spans="2:8">
      <c r="B503" s="5"/>
      <c r="H503" s="16"/>
    </row>
    <row r="504" spans="2:8">
      <c r="B504" s="5"/>
      <c r="H504" s="16"/>
    </row>
    <row r="505" spans="2:8">
      <c r="B505" s="5"/>
      <c r="H505" s="16"/>
    </row>
    <row r="506" spans="2:8">
      <c r="B506" s="5"/>
      <c r="H506" s="16"/>
    </row>
    <row r="507" spans="2:8">
      <c r="B507" s="5"/>
      <c r="H507" s="16"/>
    </row>
    <row r="508" spans="2:8">
      <c r="B508" s="5"/>
      <c r="H508" s="16"/>
    </row>
    <row r="509" spans="2:8">
      <c r="B509" s="5"/>
      <c r="H509" s="16"/>
    </row>
    <row r="510" spans="2:8">
      <c r="B510" s="5"/>
      <c r="H510" s="16"/>
    </row>
    <row r="511" spans="2:8">
      <c r="B511" s="5"/>
      <c r="H511" s="16"/>
    </row>
    <row r="512" spans="2:8">
      <c r="B512" s="5"/>
      <c r="H512" s="16"/>
    </row>
    <row r="513" spans="2:8">
      <c r="B513" s="5"/>
      <c r="H513" s="16"/>
    </row>
    <row r="514" spans="2:8">
      <c r="B514" s="5"/>
      <c r="H514" s="16"/>
    </row>
    <row r="515" spans="2:8">
      <c r="B515" s="5"/>
      <c r="H515" s="16"/>
    </row>
    <row r="516" spans="2:8">
      <c r="B516" s="5"/>
      <c r="H516" s="16"/>
    </row>
    <row r="517" spans="2:8">
      <c r="B517" s="5"/>
      <c r="H517" s="16"/>
    </row>
    <row r="518" spans="2:8">
      <c r="B518" s="5"/>
      <c r="H518" s="16"/>
    </row>
    <row r="519" spans="2:8">
      <c r="B519" s="5"/>
      <c r="H519" s="16"/>
    </row>
    <row r="520" spans="2:8">
      <c r="B520" s="5"/>
      <c r="H520" s="16"/>
    </row>
    <row r="521" spans="2:8">
      <c r="B521" s="5"/>
      <c r="H521" s="16"/>
    </row>
    <row r="522" spans="2:8">
      <c r="B522" s="5"/>
      <c r="H522" s="16"/>
    </row>
    <row r="523" spans="2:8">
      <c r="B523" s="5"/>
      <c r="H523" s="16"/>
    </row>
    <row r="524" spans="2:8">
      <c r="B524" s="5"/>
      <c r="H524" s="16"/>
    </row>
    <row r="525" spans="2:8">
      <c r="B525" s="5"/>
      <c r="H525" s="16"/>
    </row>
    <row r="526" spans="2:8">
      <c r="B526" s="5"/>
      <c r="H526" s="16"/>
    </row>
    <row r="527" spans="2:8">
      <c r="B527" s="5"/>
      <c r="H527" s="16"/>
    </row>
    <row r="528" spans="2:8">
      <c r="B528" s="5"/>
      <c r="H528" s="16"/>
    </row>
    <row r="529" spans="2:8">
      <c r="B529" s="5"/>
      <c r="H529" s="16"/>
    </row>
    <row r="530" spans="2:8">
      <c r="B530" s="5"/>
      <c r="H530" s="16"/>
    </row>
    <row r="531" spans="2:8">
      <c r="B531" s="5"/>
      <c r="H531" s="16"/>
    </row>
    <row r="532" spans="2:8">
      <c r="B532" s="5"/>
      <c r="H532" s="16"/>
    </row>
    <row r="533" spans="2:8">
      <c r="B533" s="5"/>
      <c r="H533" s="16"/>
    </row>
    <row r="534" spans="2:8">
      <c r="B534" s="5"/>
      <c r="H534" s="16"/>
    </row>
    <row r="535" spans="2:8">
      <c r="B535" s="5"/>
      <c r="H535" s="16"/>
    </row>
    <row r="536" spans="2:8">
      <c r="B536" s="5"/>
      <c r="H536" s="16"/>
    </row>
    <row r="537" spans="2:8">
      <c r="B537" s="5"/>
      <c r="H537" s="16"/>
    </row>
    <row r="538" spans="2:8">
      <c r="B538" s="5"/>
      <c r="H538" s="16"/>
    </row>
    <row r="539" spans="2:8">
      <c r="B539" s="5"/>
      <c r="H539" s="16"/>
    </row>
    <row r="540" spans="2:8">
      <c r="B540" s="5"/>
      <c r="H540" s="16"/>
    </row>
    <row r="541" spans="2:8">
      <c r="B541" s="5"/>
      <c r="H541" s="16"/>
    </row>
    <row r="542" spans="2:8">
      <c r="B542" s="5"/>
      <c r="H542" s="16"/>
    </row>
    <row r="543" spans="2:8">
      <c r="B543" s="5"/>
      <c r="H543" s="16"/>
    </row>
    <row r="544" spans="2:8">
      <c r="B544" s="5"/>
      <c r="H544" s="16"/>
    </row>
    <row r="545" spans="2:8">
      <c r="B545" s="5"/>
      <c r="H545" s="16"/>
    </row>
    <row r="546" spans="2:8">
      <c r="B546" s="5"/>
      <c r="H546" s="16"/>
    </row>
    <row r="547" spans="2:8">
      <c r="B547" s="5"/>
      <c r="H547" s="16"/>
    </row>
    <row r="548" spans="2:8">
      <c r="B548" s="5"/>
      <c r="H548" s="16"/>
    </row>
    <row r="549" spans="2:8">
      <c r="B549" s="5"/>
      <c r="H549" s="16"/>
    </row>
    <row r="550" spans="2:8">
      <c r="B550" s="5"/>
      <c r="H550" s="16"/>
    </row>
    <row r="551" spans="2:8">
      <c r="B551" s="5"/>
      <c r="H551" s="16"/>
    </row>
    <row r="552" spans="2:8">
      <c r="B552" s="5"/>
      <c r="H552" s="16"/>
    </row>
    <row r="553" spans="2:8">
      <c r="B553" s="5"/>
      <c r="H553" s="16"/>
    </row>
    <row r="554" spans="2:8">
      <c r="B554" s="5"/>
      <c r="H554" s="16"/>
    </row>
    <row r="555" spans="2:8">
      <c r="B555" s="5"/>
      <c r="H555" s="16"/>
    </row>
    <row r="556" spans="2:8">
      <c r="B556" s="5"/>
      <c r="H556" s="16"/>
    </row>
    <row r="557" spans="2:8">
      <c r="B557" s="5"/>
      <c r="H557" s="16"/>
    </row>
    <row r="558" spans="2:8">
      <c r="B558" s="5"/>
      <c r="H558" s="16"/>
    </row>
    <row r="559" spans="2:8">
      <c r="B559" s="5"/>
      <c r="H559" s="16"/>
    </row>
    <row r="560" spans="2:8">
      <c r="B560" s="5"/>
      <c r="H560" s="16"/>
    </row>
    <row r="561" spans="2:8">
      <c r="B561" s="5"/>
      <c r="H561" s="16"/>
    </row>
    <row r="562" spans="2:8">
      <c r="B562" s="5"/>
      <c r="H562" s="16"/>
    </row>
    <row r="563" spans="2:8">
      <c r="B563" s="5"/>
      <c r="H563" s="16"/>
    </row>
    <row r="564" spans="2:8">
      <c r="B564" s="5"/>
      <c r="H564" s="16"/>
    </row>
    <row r="565" spans="2:8">
      <c r="B565" s="5"/>
      <c r="H565" s="16"/>
    </row>
    <row r="566" spans="2:8">
      <c r="B566" s="5"/>
      <c r="H566" s="16"/>
    </row>
    <row r="567" spans="2:8">
      <c r="B567" s="5"/>
      <c r="H567" s="16"/>
    </row>
    <row r="568" spans="2:8">
      <c r="B568" s="5"/>
      <c r="H568" s="16"/>
    </row>
    <row r="569" spans="2:8">
      <c r="B569" s="5"/>
      <c r="H569" s="16"/>
    </row>
    <row r="570" spans="2:8">
      <c r="B570" s="5"/>
      <c r="H570" s="16"/>
    </row>
    <row r="571" spans="2:8">
      <c r="B571" s="5"/>
      <c r="H571" s="16"/>
    </row>
    <row r="572" spans="2:8">
      <c r="B572" s="5"/>
      <c r="H572" s="16"/>
    </row>
    <row r="573" spans="2:8">
      <c r="B573" s="5"/>
      <c r="H573" s="16"/>
    </row>
    <row r="574" spans="2:8">
      <c r="B574" s="5"/>
      <c r="H574" s="16"/>
    </row>
    <row r="575" spans="2:8">
      <c r="B575" s="5"/>
      <c r="H575" s="16"/>
    </row>
    <row r="576" spans="2:8">
      <c r="B576" s="5"/>
      <c r="H576" s="16"/>
    </row>
    <row r="577" spans="2:8">
      <c r="B577" s="5"/>
      <c r="H577" s="16"/>
    </row>
    <row r="578" spans="2:8">
      <c r="B578" s="5"/>
      <c r="H578" s="16"/>
    </row>
    <row r="579" spans="2:8">
      <c r="B579" s="5"/>
      <c r="H579" s="16"/>
    </row>
    <row r="580" spans="2:8">
      <c r="B580" s="5"/>
      <c r="H580" s="16"/>
    </row>
    <row r="581" spans="2:8">
      <c r="B581" s="5"/>
      <c r="H581" s="16"/>
    </row>
    <row r="582" spans="2:8">
      <c r="B582" s="5"/>
      <c r="H582" s="16"/>
    </row>
    <row r="583" spans="2:8">
      <c r="B583" s="5"/>
      <c r="H583" s="16"/>
    </row>
    <row r="584" spans="2:8">
      <c r="B584" s="5"/>
      <c r="H584" s="16"/>
    </row>
    <row r="585" spans="2:8">
      <c r="B585" s="5"/>
      <c r="H585" s="16"/>
    </row>
    <row r="586" spans="2:8">
      <c r="B586" s="5"/>
      <c r="H586" s="16"/>
    </row>
    <row r="587" spans="2:8">
      <c r="B587" s="5"/>
      <c r="H587" s="16"/>
    </row>
    <row r="588" spans="2:8">
      <c r="B588" s="5"/>
      <c r="H588" s="16"/>
    </row>
    <row r="589" spans="2:8">
      <c r="B589" s="5"/>
      <c r="H589" s="16"/>
    </row>
    <row r="590" spans="2:8">
      <c r="B590" s="5"/>
      <c r="H590" s="16"/>
    </row>
    <row r="591" spans="2:8">
      <c r="B591" s="5"/>
      <c r="H591" s="16"/>
    </row>
    <row r="592" spans="2:8">
      <c r="B592" s="5"/>
      <c r="H592" s="16"/>
    </row>
    <row r="593" spans="2:8">
      <c r="B593" s="5"/>
      <c r="H593" s="16"/>
    </row>
    <row r="594" spans="2:8">
      <c r="B594" s="5"/>
      <c r="H594" s="16"/>
    </row>
    <row r="595" spans="2:8">
      <c r="B595" s="5"/>
      <c r="H595" s="16"/>
    </row>
    <row r="596" spans="2:8">
      <c r="B596" s="5"/>
      <c r="H596" s="16"/>
    </row>
    <row r="597" spans="2:8">
      <c r="B597" s="5"/>
      <c r="H597" s="16"/>
    </row>
    <row r="598" spans="2:8">
      <c r="B598" s="5"/>
      <c r="H598" s="16"/>
    </row>
    <row r="599" spans="2:8">
      <c r="B599" s="5"/>
      <c r="H599" s="16"/>
    </row>
    <row r="600" spans="2:8">
      <c r="B600" s="5"/>
      <c r="H600" s="16"/>
    </row>
    <row r="601" spans="2:8">
      <c r="B601" s="5"/>
      <c r="H601" s="16"/>
    </row>
    <row r="602" spans="2:8">
      <c r="B602" s="5"/>
      <c r="H602" s="16"/>
    </row>
    <row r="603" spans="2:8">
      <c r="B603" s="5"/>
      <c r="H603" s="16"/>
    </row>
    <row r="604" spans="2:8">
      <c r="B604" s="5"/>
      <c r="H604" s="16"/>
    </row>
    <row r="605" spans="2:8">
      <c r="B605" s="5"/>
      <c r="H605" s="16"/>
    </row>
    <row r="606" spans="2:8">
      <c r="B606" s="5"/>
      <c r="H606" s="16"/>
    </row>
    <row r="607" spans="2:8">
      <c r="B607" s="5"/>
      <c r="H607" s="16"/>
    </row>
    <row r="608" spans="2:8">
      <c r="B608" s="5"/>
      <c r="H608" s="16"/>
    </row>
    <row r="609" spans="2:8">
      <c r="B609" s="5"/>
      <c r="H609" s="16"/>
    </row>
    <row r="610" spans="2:8">
      <c r="B610" s="5"/>
      <c r="H610" s="16"/>
    </row>
    <row r="611" spans="2:8">
      <c r="B611" s="5"/>
      <c r="H611" s="16"/>
    </row>
    <row r="612" spans="2:8">
      <c r="B612" s="5"/>
      <c r="H612" s="16"/>
    </row>
    <row r="613" spans="2:8">
      <c r="B613" s="5"/>
      <c r="H613" s="16"/>
    </row>
    <row r="614" spans="2:8">
      <c r="B614" s="5"/>
      <c r="H614" s="16"/>
    </row>
    <row r="615" spans="2:8">
      <c r="B615" s="5"/>
      <c r="H615" s="16"/>
    </row>
    <row r="616" spans="2:8">
      <c r="B616" s="5"/>
      <c r="H616" s="16"/>
    </row>
    <row r="617" spans="2:8">
      <c r="B617" s="5"/>
      <c r="H617" s="16"/>
    </row>
    <row r="618" spans="2:8">
      <c r="B618" s="5"/>
      <c r="H618" s="16"/>
    </row>
    <row r="619" spans="2:8">
      <c r="B619" s="5"/>
      <c r="H619" s="16"/>
    </row>
    <row r="620" spans="2:8">
      <c r="B620" s="5"/>
      <c r="H620" s="16"/>
    </row>
    <row r="621" spans="2:8">
      <c r="B621" s="5"/>
      <c r="H621" s="16"/>
    </row>
    <row r="622" spans="2:8">
      <c r="B622" s="5"/>
      <c r="H622" s="16"/>
    </row>
    <row r="623" spans="2:8">
      <c r="B623" s="5"/>
      <c r="H623" s="16"/>
    </row>
    <row r="624" spans="2:8">
      <c r="B624" s="5"/>
      <c r="H624" s="16"/>
    </row>
    <row r="625" spans="2:8">
      <c r="B625" s="5"/>
      <c r="H625" s="16"/>
    </row>
    <row r="626" spans="2:8">
      <c r="B626" s="5"/>
      <c r="H626" s="16"/>
    </row>
    <row r="627" spans="2:8">
      <c r="B627" s="5"/>
      <c r="H627" s="16"/>
    </row>
    <row r="628" spans="2:8">
      <c r="B628" s="5"/>
      <c r="H628" s="16"/>
    </row>
    <row r="629" spans="2:8">
      <c r="B629" s="5"/>
      <c r="H629" s="16"/>
    </row>
    <row r="630" spans="2:8">
      <c r="B630" s="5"/>
      <c r="H630" s="16"/>
    </row>
    <row r="631" spans="2:8">
      <c r="B631" s="5"/>
      <c r="H631" s="16"/>
    </row>
    <row r="632" spans="2:8">
      <c r="B632" s="5"/>
      <c r="H632" s="16"/>
    </row>
    <row r="633" spans="2:8">
      <c r="B633" s="5"/>
      <c r="H633" s="16"/>
    </row>
    <row r="634" spans="2:8">
      <c r="B634" s="5"/>
      <c r="H634" s="16"/>
    </row>
    <row r="635" spans="2:8">
      <c r="B635" s="5"/>
      <c r="H635" s="16"/>
    </row>
    <row r="636" spans="2:8">
      <c r="B636" s="5"/>
      <c r="H636" s="16"/>
    </row>
    <row r="637" spans="2:8">
      <c r="B637" s="5"/>
      <c r="H637" s="16"/>
    </row>
    <row r="638" spans="2:8">
      <c r="B638" s="5"/>
      <c r="H638" s="16"/>
    </row>
    <row r="639" spans="2:8">
      <c r="B639" s="5"/>
      <c r="H639" s="16"/>
    </row>
    <row r="640" spans="2:8">
      <c r="B640" s="5"/>
      <c r="H640" s="16"/>
    </row>
    <row r="641" spans="2:8">
      <c r="B641" s="5"/>
      <c r="H641" s="16"/>
    </row>
    <row r="642" spans="2:8">
      <c r="B642" s="5"/>
      <c r="H642" s="16"/>
    </row>
    <row r="643" spans="2:8">
      <c r="B643" s="5"/>
      <c r="H643" s="16"/>
    </row>
    <row r="644" spans="2:8">
      <c r="B644" s="5"/>
      <c r="H644" s="16"/>
    </row>
    <row r="645" spans="2:8">
      <c r="B645" s="5"/>
      <c r="H645" s="16"/>
    </row>
    <row r="646" spans="2:8">
      <c r="B646" s="5"/>
      <c r="H646" s="16"/>
    </row>
    <row r="647" spans="2:8">
      <c r="B647" s="5"/>
      <c r="H647" s="16"/>
    </row>
    <row r="648" spans="2:8">
      <c r="B648" s="5"/>
      <c r="H648" s="16"/>
    </row>
    <row r="649" spans="2:8">
      <c r="B649" s="5"/>
      <c r="H649" s="16"/>
    </row>
    <row r="650" spans="2:8">
      <c r="B650" s="5"/>
      <c r="H650" s="16"/>
    </row>
    <row r="651" spans="2:8">
      <c r="B651" s="5"/>
      <c r="H651" s="16"/>
    </row>
    <row r="652" spans="2:8">
      <c r="B652" s="5"/>
      <c r="H652" s="16"/>
    </row>
    <row r="653" spans="2:8">
      <c r="B653" s="5"/>
      <c r="H653" s="16"/>
    </row>
    <row r="654" spans="2:8">
      <c r="B654" s="5"/>
      <c r="H654" s="16"/>
    </row>
    <row r="655" spans="2:8">
      <c r="B655" s="5"/>
      <c r="H655" s="16"/>
    </row>
    <row r="656" spans="2:8">
      <c r="B656" s="5"/>
      <c r="H656" s="16"/>
    </row>
    <row r="657" spans="2:8">
      <c r="B657" s="5"/>
      <c r="H657" s="16"/>
    </row>
    <row r="658" spans="2:8">
      <c r="B658" s="5"/>
      <c r="H658" s="16"/>
    </row>
    <row r="659" spans="2:8">
      <c r="B659" s="5"/>
      <c r="H659" s="16"/>
    </row>
    <row r="660" spans="2:8">
      <c r="B660" s="5"/>
      <c r="H660" s="16"/>
    </row>
    <row r="661" spans="2:8">
      <c r="B661" s="5"/>
      <c r="H661" s="16"/>
    </row>
    <row r="662" spans="2:8">
      <c r="B662" s="5"/>
      <c r="H662" s="16"/>
    </row>
    <row r="663" spans="2:8">
      <c r="B663" s="5"/>
      <c r="H663" s="16"/>
    </row>
    <row r="664" spans="2:8">
      <c r="B664" s="5"/>
      <c r="H664" s="16"/>
    </row>
    <row r="665" spans="2:8">
      <c r="B665" s="5"/>
      <c r="H665" s="16"/>
    </row>
    <row r="666" spans="2:8">
      <c r="B666" s="5"/>
      <c r="H666" s="16"/>
    </row>
    <row r="667" spans="2:8">
      <c r="B667" s="5"/>
      <c r="H667" s="16"/>
    </row>
    <row r="668" spans="2:8">
      <c r="B668" s="5"/>
      <c r="H668" s="16"/>
    </row>
    <row r="669" spans="2:8">
      <c r="B669" s="5"/>
      <c r="H669" s="16"/>
    </row>
    <row r="670" spans="2:8">
      <c r="B670" s="5"/>
      <c r="H670" s="16"/>
    </row>
    <row r="671" spans="2:8">
      <c r="B671" s="5"/>
      <c r="H671" s="16"/>
    </row>
    <row r="672" spans="2:8">
      <c r="B672" s="5"/>
      <c r="H672" s="16"/>
    </row>
    <row r="673" spans="2:8">
      <c r="B673" s="5"/>
      <c r="H673" s="16"/>
    </row>
    <row r="674" spans="2:8">
      <c r="B674" s="5"/>
      <c r="H674" s="16"/>
    </row>
    <row r="675" spans="2:8">
      <c r="B675" s="5"/>
      <c r="H675" s="16"/>
    </row>
    <row r="676" spans="2:8">
      <c r="B676" s="5"/>
      <c r="H676" s="16"/>
    </row>
    <row r="677" spans="2:8">
      <c r="B677" s="5"/>
      <c r="H677" s="16"/>
    </row>
    <row r="678" spans="2:8">
      <c r="B678" s="5"/>
      <c r="H678" s="16"/>
    </row>
    <row r="679" spans="2:8">
      <c r="B679" s="5"/>
      <c r="H679" s="16"/>
    </row>
    <row r="680" spans="2:8">
      <c r="B680" s="5"/>
      <c r="H680" s="16"/>
    </row>
    <row r="681" spans="2:8">
      <c r="B681" s="5"/>
      <c r="H681" s="16"/>
    </row>
    <row r="682" spans="2:8">
      <c r="B682" s="5"/>
      <c r="H682" s="16"/>
    </row>
    <row r="683" spans="2:8">
      <c r="B683" s="5"/>
      <c r="H683" s="16"/>
    </row>
    <row r="684" spans="2:8">
      <c r="B684" s="5"/>
      <c r="H684" s="16"/>
    </row>
    <row r="685" spans="2:8">
      <c r="B685" s="5"/>
      <c r="H685" s="16"/>
    </row>
    <row r="686" spans="2:8">
      <c r="B686" s="5"/>
      <c r="H686" s="16"/>
    </row>
    <row r="687" spans="2:8">
      <c r="B687" s="5"/>
      <c r="H687" s="16"/>
    </row>
    <row r="688" spans="2:8">
      <c r="B688" s="5"/>
      <c r="H688" s="16"/>
    </row>
    <row r="689" spans="2:8">
      <c r="B689" s="5"/>
      <c r="H689" s="16"/>
    </row>
    <row r="690" spans="2:8">
      <c r="B690" s="5"/>
      <c r="H690" s="16"/>
    </row>
    <row r="691" spans="2:8">
      <c r="B691" s="5"/>
      <c r="H691" s="16"/>
    </row>
    <row r="692" spans="2:8">
      <c r="B692" s="5"/>
      <c r="H692" s="16"/>
    </row>
    <row r="693" spans="2:8">
      <c r="B693" s="5"/>
      <c r="H693" s="16"/>
    </row>
    <row r="694" spans="2:8">
      <c r="B694" s="5"/>
      <c r="H694" s="16"/>
    </row>
    <row r="695" spans="2:8">
      <c r="B695" s="5"/>
      <c r="H695" s="16"/>
    </row>
    <row r="696" spans="2:8">
      <c r="B696" s="5"/>
      <c r="H696" s="16"/>
    </row>
    <row r="697" spans="2:8">
      <c r="B697" s="5"/>
      <c r="H697" s="16"/>
    </row>
    <row r="698" spans="2:8">
      <c r="B698" s="5"/>
      <c r="H698" s="16"/>
    </row>
    <row r="699" spans="2:8">
      <c r="B699" s="5"/>
      <c r="H699" s="16"/>
    </row>
    <row r="700" spans="2:8">
      <c r="B700" s="5"/>
      <c r="H700" s="16"/>
    </row>
    <row r="701" spans="2:8">
      <c r="B701" s="5"/>
      <c r="H701" s="16"/>
    </row>
    <row r="702" spans="2:8">
      <c r="B702" s="5"/>
      <c r="H702" s="16"/>
    </row>
    <row r="703" spans="2:8">
      <c r="B703" s="5"/>
      <c r="H703" s="16"/>
    </row>
    <row r="704" spans="2:8">
      <c r="B704" s="5"/>
      <c r="H704" s="16"/>
    </row>
    <row r="705" spans="2:8">
      <c r="B705" s="5"/>
      <c r="H705" s="16"/>
    </row>
    <row r="706" spans="2:8">
      <c r="B706" s="5"/>
      <c r="H706" s="16"/>
    </row>
    <row r="707" spans="2:8">
      <c r="B707" s="5"/>
      <c r="H707" s="16"/>
    </row>
    <row r="708" spans="2:8">
      <c r="B708" s="5"/>
      <c r="H708" s="16"/>
    </row>
    <row r="709" spans="2:8">
      <c r="B709" s="5"/>
      <c r="H709" s="16"/>
    </row>
    <row r="710" spans="2:8">
      <c r="B710" s="5"/>
      <c r="H710" s="16"/>
    </row>
    <row r="711" spans="2:8">
      <c r="B711" s="5"/>
      <c r="H711" s="16"/>
    </row>
    <row r="712" spans="2:8">
      <c r="B712" s="5"/>
      <c r="H712" s="16"/>
    </row>
    <row r="713" spans="2:8">
      <c r="B713" s="5"/>
      <c r="H713" s="16"/>
    </row>
    <row r="714" spans="2:8">
      <c r="B714" s="5"/>
      <c r="H714" s="16"/>
    </row>
    <row r="715" spans="2:8">
      <c r="B715" s="5"/>
      <c r="H715" s="16"/>
    </row>
    <row r="716" spans="2:8">
      <c r="B716" s="5"/>
      <c r="H716" s="16"/>
    </row>
    <row r="717" spans="2:8">
      <c r="B717" s="5"/>
      <c r="H717" s="16"/>
    </row>
    <row r="718" spans="2:8">
      <c r="B718" s="5"/>
      <c r="H718" s="16"/>
    </row>
    <row r="719" spans="2:8">
      <c r="B719" s="5"/>
      <c r="H719" s="16"/>
    </row>
    <row r="720" spans="2:8">
      <c r="B720" s="5"/>
      <c r="H720" s="16"/>
    </row>
    <row r="721" spans="2:8">
      <c r="B721" s="5"/>
      <c r="H721" s="16"/>
    </row>
    <row r="722" spans="2:8">
      <c r="B722" s="5"/>
      <c r="H722" s="16"/>
    </row>
    <row r="723" spans="2:8">
      <c r="B723" s="5"/>
      <c r="H723" s="16"/>
    </row>
    <row r="724" spans="2:8">
      <c r="B724" s="5"/>
      <c r="H724" s="16"/>
    </row>
    <row r="725" spans="2:8">
      <c r="B725" s="5"/>
      <c r="H725" s="16"/>
    </row>
    <row r="726" spans="2:8">
      <c r="B726" s="5"/>
      <c r="H726" s="16"/>
    </row>
    <row r="727" spans="2:8">
      <c r="B727" s="5"/>
      <c r="H727" s="16"/>
    </row>
    <row r="728" spans="2:8">
      <c r="B728" s="5"/>
      <c r="H728" s="16"/>
    </row>
    <row r="729" spans="2:8">
      <c r="B729" s="5"/>
      <c r="H729" s="16"/>
    </row>
    <row r="730" spans="2:8">
      <c r="B730" s="5"/>
      <c r="H730" s="16"/>
    </row>
    <row r="731" spans="2:8">
      <c r="B731" s="5"/>
      <c r="H731" s="16"/>
    </row>
    <row r="732" spans="2:8">
      <c r="B732" s="5"/>
      <c r="H732" s="16"/>
    </row>
    <row r="733" spans="2:8">
      <c r="B733" s="5"/>
      <c r="H733" s="16"/>
    </row>
    <row r="734" spans="2:8">
      <c r="B734" s="5"/>
      <c r="H734" s="16"/>
    </row>
    <row r="735" spans="2:8">
      <c r="B735" s="5"/>
      <c r="H735" s="16"/>
    </row>
    <row r="736" spans="2:8">
      <c r="B736" s="5"/>
      <c r="H736" s="16"/>
    </row>
    <row r="737" spans="2:8">
      <c r="B737" s="5"/>
      <c r="H737" s="16"/>
    </row>
    <row r="738" spans="2:8">
      <c r="B738" s="5"/>
      <c r="H738" s="16"/>
    </row>
    <row r="739" spans="2:8">
      <c r="B739" s="5"/>
      <c r="H739" s="16"/>
    </row>
    <row r="740" spans="2:8">
      <c r="B740" s="5"/>
      <c r="H740" s="16"/>
    </row>
    <row r="741" spans="2:8">
      <c r="B741" s="5"/>
      <c r="H741" s="16"/>
    </row>
    <row r="742" spans="2:8">
      <c r="B742" s="5"/>
      <c r="H742" s="16"/>
    </row>
    <row r="743" spans="2:8">
      <c r="B743" s="5"/>
      <c r="H743" s="16"/>
    </row>
    <row r="744" spans="2:8">
      <c r="B744" s="5"/>
      <c r="H744" s="16"/>
    </row>
    <row r="745" spans="2:8">
      <c r="B745" s="5"/>
      <c r="H745" s="16"/>
    </row>
    <row r="746" spans="2:8">
      <c r="B746" s="5"/>
      <c r="H746" s="16"/>
    </row>
    <row r="747" spans="2:8">
      <c r="B747" s="5"/>
      <c r="H747" s="16"/>
    </row>
    <row r="748" spans="2:8">
      <c r="B748" s="5"/>
      <c r="H748" s="16"/>
    </row>
    <row r="749" spans="2:8">
      <c r="B749" s="5"/>
      <c r="H749" s="16"/>
    </row>
    <row r="750" spans="2:8">
      <c r="B750" s="5"/>
      <c r="H750" s="16"/>
    </row>
    <row r="751" spans="2:8">
      <c r="B751" s="5"/>
      <c r="H751" s="16"/>
    </row>
    <row r="752" spans="2:8">
      <c r="B752" s="5"/>
      <c r="H752" s="16"/>
    </row>
    <row r="753" spans="2:8">
      <c r="B753" s="5"/>
      <c r="H753" s="16"/>
    </row>
    <row r="754" spans="2:8">
      <c r="B754" s="5"/>
      <c r="H754" s="16"/>
    </row>
    <row r="755" spans="2:8">
      <c r="B755" s="5"/>
      <c r="H755" s="16"/>
    </row>
    <row r="756" spans="2:8">
      <c r="B756" s="5"/>
      <c r="H756" s="16"/>
    </row>
    <row r="757" spans="2:8">
      <c r="B757" s="5"/>
      <c r="H757" s="16"/>
    </row>
    <row r="758" spans="2:8">
      <c r="B758" s="5"/>
      <c r="H758" s="16"/>
    </row>
    <row r="759" spans="2:8">
      <c r="B759" s="5"/>
      <c r="H759" s="16"/>
    </row>
    <row r="760" spans="2:8">
      <c r="B760" s="5"/>
      <c r="H760" s="16"/>
    </row>
    <row r="761" spans="2:8">
      <c r="B761" s="5"/>
      <c r="H761" s="16"/>
    </row>
    <row r="762" spans="2:8">
      <c r="B762" s="5"/>
      <c r="H762" s="16"/>
    </row>
    <row r="763" spans="2:8">
      <c r="B763" s="5"/>
      <c r="H763" s="16"/>
    </row>
    <row r="764" spans="2:8">
      <c r="B764" s="5"/>
      <c r="H764" s="16"/>
    </row>
    <row r="765" spans="2:8">
      <c r="B765" s="5"/>
      <c r="H765" s="16"/>
    </row>
    <row r="766" spans="2:8">
      <c r="B766" s="5"/>
      <c r="H766" s="16"/>
    </row>
    <row r="767" spans="2:8">
      <c r="B767" s="5"/>
      <c r="H767" s="16"/>
    </row>
    <row r="768" spans="2:8">
      <c r="B768" s="5"/>
      <c r="H768" s="16"/>
    </row>
    <row r="769" spans="2:8">
      <c r="B769" s="5"/>
      <c r="H769" s="16"/>
    </row>
    <row r="770" spans="2:8">
      <c r="B770" s="5"/>
      <c r="H770" s="16"/>
    </row>
    <row r="771" spans="2:8">
      <c r="B771" s="5"/>
      <c r="H771" s="16"/>
    </row>
    <row r="772" spans="2:8">
      <c r="B772" s="5"/>
      <c r="H772" s="16"/>
    </row>
    <row r="773" spans="2:8">
      <c r="B773" s="5"/>
      <c r="H773" s="16"/>
    </row>
    <row r="774" spans="2:8">
      <c r="B774" s="5"/>
      <c r="H774" s="16"/>
    </row>
    <row r="775" spans="2:8">
      <c r="B775" s="5"/>
      <c r="H775" s="16"/>
    </row>
    <row r="776" spans="2:8">
      <c r="B776" s="5"/>
      <c r="H776" s="16"/>
    </row>
    <row r="777" spans="2:8">
      <c r="B777" s="5"/>
      <c r="H777" s="16"/>
    </row>
    <row r="778" spans="2:8">
      <c r="B778" s="5"/>
      <c r="H778" s="16"/>
    </row>
    <row r="779" spans="2:8">
      <c r="B779" s="5"/>
      <c r="H779" s="16"/>
    </row>
    <row r="780" spans="2:8">
      <c r="B780" s="5"/>
      <c r="H780" s="16"/>
    </row>
    <row r="781" spans="2:8">
      <c r="B781" s="5"/>
      <c r="H781" s="16"/>
    </row>
    <row r="782" spans="2:8">
      <c r="B782" s="5"/>
      <c r="H782" s="16"/>
    </row>
    <row r="783" spans="2:8">
      <c r="B783" s="5"/>
      <c r="H783" s="16"/>
    </row>
    <row r="784" spans="2:8">
      <c r="B784" s="5"/>
      <c r="H784" s="16"/>
    </row>
    <row r="785" spans="2:8">
      <c r="B785" s="5"/>
      <c r="H785" s="16"/>
    </row>
    <row r="786" spans="2:8">
      <c r="B786" s="5"/>
      <c r="H786" s="16"/>
    </row>
    <row r="787" spans="2:8">
      <c r="B787" s="5"/>
      <c r="H787" s="16"/>
    </row>
    <row r="788" spans="2:8">
      <c r="B788" s="5"/>
      <c r="H788" s="16"/>
    </row>
    <row r="789" spans="2:8">
      <c r="B789" s="5"/>
      <c r="H789" s="16"/>
    </row>
    <row r="790" spans="2:8">
      <c r="B790" s="5"/>
      <c r="H790" s="16"/>
    </row>
    <row r="791" spans="2:8">
      <c r="B791" s="5"/>
      <c r="H791" s="16"/>
    </row>
    <row r="792" spans="2:8">
      <c r="B792" s="5"/>
      <c r="H792" s="16"/>
    </row>
    <row r="793" spans="2:8">
      <c r="B793" s="5"/>
      <c r="H793" s="16"/>
    </row>
    <row r="794" spans="2:8">
      <c r="B794" s="5"/>
      <c r="H794" s="16"/>
    </row>
    <row r="795" spans="2:8">
      <c r="B795" s="5"/>
      <c r="H795" s="16"/>
    </row>
    <row r="796" spans="2:8">
      <c r="B796" s="5"/>
      <c r="H796" s="16"/>
    </row>
    <row r="797" spans="2:8">
      <c r="B797" s="5"/>
      <c r="H797" s="16"/>
    </row>
    <row r="798" spans="2:8">
      <c r="B798" s="5"/>
      <c r="H798" s="16"/>
    </row>
    <row r="799" spans="2:8">
      <c r="B799" s="5"/>
      <c r="H799" s="16"/>
    </row>
    <row r="800" spans="2:8">
      <c r="B800" s="5"/>
      <c r="H800" s="16"/>
    </row>
    <row r="801" spans="2:8">
      <c r="B801" s="5"/>
      <c r="H801" s="16"/>
    </row>
    <row r="802" spans="2:8">
      <c r="B802" s="5"/>
      <c r="H802" s="16"/>
    </row>
    <row r="803" spans="2:8">
      <c r="B803" s="5"/>
      <c r="H803" s="16"/>
    </row>
    <row r="804" spans="2:8">
      <c r="B804" s="5"/>
      <c r="H804" s="16"/>
    </row>
    <row r="805" spans="2:8">
      <c r="B805" s="5"/>
      <c r="H805" s="16"/>
    </row>
    <row r="806" spans="2:8">
      <c r="B806" s="5"/>
      <c r="H806" s="16"/>
    </row>
    <row r="807" spans="2:8">
      <c r="B807" s="5"/>
      <c r="H807" s="16"/>
    </row>
    <row r="808" spans="2:8">
      <c r="B808" s="5"/>
      <c r="H808" s="16"/>
    </row>
    <row r="809" spans="2:8">
      <c r="B809" s="5"/>
      <c r="H809" s="16"/>
    </row>
    <row r="810" spans="2:8">
      <c r="B810" s="5"/>
      <c r="H810" s="16"/>
    </row>
    <row r="811" spans="2:8">
      <c r="B811" s="5"/>
      <c r="H811" s="16"/>
    </row>
    <row r="812" spans="2:8">
      <c r="B812" s="5"/>
      <c r="H812" s="16"/>
    </row>
    <row r="813" spans="2:8">
      <c r="B813" s="5"/>
      <c r="H813" s="16"/>
    </row>
    <row r="814" spans="2:8">
      <c r="B814" s="5"/>
      <c r="H814" s="16"/>
    </row>
    <row r="815" spans="2:8">
      <c r="B815" s="5"/>
      <c r="H815" s="16"/>
    </row>
    <row r="816" spans="2:8">
      <c r="B816" s="5"/>
      <c r="H816" s="16"/>
    </row>
    <row r="817" spans="2:8">
      <c r="B817" s="5"/>
      <c r="H817" s="16"/>
    </row>
    <row r="818" spans="2:8">
      <c r="B818" s="5"/>
      <c r="H818" s="16"/>
    </row>
    <row r="819" spans="2:8">
      <c r="B819" s="5"/>
      <c r="H819" s="16"/>
    </row>
    <row r="820" spans="2:8">
      <c r="B820" s="5"/>
      <c r="H820" s="16"/>
    </row>
    <row r="821" spans="2:8">
      <c r="B821" s="5"/>
      <c r="H821" s="16"/>
    </row>
    <row r="822" spans="2:8">
      <c r="B822" s="5"/>
      <c r="H822" s="16"/>
    </row>
    <row r="823" spans="2:8">
      <c r="B823" s="5"/>
      <c r="H823" s="16"/>
    </row>
    <row r="824" spans="2:8">
      <c r="B824" s="5"/>
      <c r="H824" s="16"/>
    </row>
    <row r="825" spans="2:8">
      <c r="B825" s="5"/>
      <c r="H825" s="16"/>
    </row>
    <row r="826" spans="2:8">
      <c r="B826" s="5"/>
      <c r="H826" s="16"/>
    </row>
    <row r="827" spans="2:8">
      <c r="B827" s="5"/>
      <c r="H827" s="16"/>
    </row>
    <row r="828" spans="2:8">
      <c r="B828" s="5"/>
      <c r="H828" s="16"/>
    </row>
    <row r="829" spans="2:8">
      <c r="B829" s="5"/>
      <c r="H829" s="16"/>
    </row>
    <row r="830" spans="2:8">
      <c r="B830" s="5"/>
      <c r="H830" s="16"/>
    </row>
    <row r="831" spans="2:8">
      <c r="B831" s="5"/>
      <c r="H831" s="16"/>
    </row>
    <row r="832" spans="2:8">
      <c r="B832" s="5"/>
      <c r="H832" s="16"/>
    </row>
    <row r="833" spans="2:8">
      <c r="B833" s="5"/>
      <c r="H833" s="16"/>
    </row>
    <row r="834" spans="2:8">
      <c r="B834" s="5"/>
      <c r="H834" s="16"/>
    </row>
    <row r="835" spans="2:8">
      <c r="B835" s="5"/>
      <c r="H835" s="16"/>
    </row>
    <row r="836" spans="2:8">
      <c r="B836" s="5"/>
      <c r="H836" s="16"/>
    </row>
    <row r="837" spans="2:8">
      <c r="B837" s="5"/>
      <c r="H837" s="16"/>
    </row>
    <row r="838" spans="2:8">
      <c r="B838" s="5"/>
      <c r="H838" s="16"/>
    </row>
    <row r="839" spans="2:8">
      <c r="B839" s="5"/>
      <c r="H839" s="16"/>
    </row>
    <row r="840" spans="2:8">
      <c r="B840" s="5"/>
      <c r="H840" s="16"/>
    </row>
    <row r="841" spans="2:8">
      <c r="B841" s="5"/>
      <c r="H841" s="16"/>
    </row>
    <row r="842" spans="2:8">
      <c r="B842" s="5"/>
      <c r="H842" s="16"/>
    </row>
    <row r="843" spans="2:8">
      <c r="B843" s="5"/>
      <c r="H843" s="16"/>
    </row>
    <row r="844" spans="2:8">
      <c r="B844" s="5"/>
      <c r="H844" s="16"/>
    </row>
    <row r="845" spans="2:8">
      <c r="B845" s="5"/>
      <c r="H845" s="16"/>
    </row>
    <row r="846" spans="2:8">
      <c r="B846" s="5"/>
      <c r="H846" s="16"/>
    </row>
    <row r="847" spans="2:8">
      <c r="B847" s="5"/>
      <c r="H847" s="16"/>
    </row>
    <row r="848" spans="2:8">
      <c r="B848" s="5"/>
      <c r="H848" s="16"/>
    </row>
    <row r="849" spans="2:8">
      <c r="B849" s="5"/>
      <c r="H849" s="16"/>
    </row>
    <row r="850" spans="2:8">
      <c r="B850" s="5"/>
      <c r="H850" s="16"/>
    </row>
    <row r="851" spans="2:8">
      <c r="B851" s="5"/>
      <c r="H851" s="16"/>
    </row>
    <row r="852" spans="2:8">
      <c r="B852" s="5"/>
      <c r="H852" s="16"/>
    </row>
    <row r="853" spans="2:8">
      <c r="B853" s="5"/>
      <c r="H853" s="16"/>
    </row>
    <row r="854" spans="2:8">
      <c r="B854" s="5"/>
      <c r="H854" s="16"/>
    </row>
    <row r="855" spans="2:8">
      <c r="B855" s="5"/>
      <c r="H855" s="16"/>
    </row>
    <row r="856" spans="2:8">
      <c r="B856" s="5"/>
      <c r="H856" s="16"/>
    </row>
    <row r="857" spans="2:8">
      <c r="B857" s="5"/>
      <c r="H857" s="16"/>
    </row>
    <row r="858" spans="2:8">
      <c r="B858" s="5"/>
      <c r="H858" s="16"/>
    </row>
    <row r="859" spans="2:8">
      <c r="B859" s="5"/>
      <c r="H859" s="16"/>
    </row>
    <row r="860" spans="2:8">
      <c r="B860" s="5"/>
      <c r="H860" s="16"/>
    </row>
    <row r="861" spans="2:8">
      <c r="B861" s="5"/>
      <c r="H861" s="16"/>
    </row>
    <row r="862" spans="2:8">
      <c r="B862" s="5"/>
      <c r="H862" s="16"/>
    </row>
    <row r="863" spans="2:8">
      <c r="B863" s="5"/>
      <c r="H863" s="16"/>
    </row>
    <row r="864" spans="2:8">
      <c r="B864" s="5"/>
      <c r="H864" s="16"/>
    </row>
    <row r="865" spans="2:8">
      <c r="B865" s="5"/>
      <c r="H865" s="16"/>
    </row>
    <row r="866" spans="2:8">
      <c r="B866" s="5"/>
      <c r="H866" s="16"/>
    </row>
    <row r="867" spans="2:8">
      <c r="B867" s="5"/>
      <c r="H867" s="16"/>
    </row>
    <row r="868" spans="2:8">
      <c r="B868" s="5"/>
      <c r="H868" s="16"/>
    </row>
    <row r="869" spans="2:8">
      <c r="B869" s="5"/>
      <c r="H869" s="16"/>
    </row>
    <row r="870" spans="2:8">
      <c r="B870" s="5"/>
      <c r="H870" s="16"/>
    </row>
    <row r="871" spans="2:8">
      <c r="B871" s="5"/>
      <c r="H871" s="16"/>
    </row>
    <row r="872" spans="2:8">
      <c r="B872" s="5"/>
      <c r="H872" s="16"/>
    </row>
    <row r="873" spans="2:8">
      <c r="B873" s="5"/>
      <c r="H873" s="16"/>
    </row>
    <row r="874" spans="2:8">
      <c r="B874" s="5"/>
      <c r="H874" s="16"/>
    </row>
    <row r="875" spans="2:8">
      <c r="B875" s="5"/>
      <c r="H875" s="16"/>
    </row>
    <row r="876" spans="2:8">
      <c r="B876" s="5"/>
      <c r="H876" s="16"/>
    </row>
    <row r="877" spans="2:8">
      <c r="B877" s="5"/>
      <c r="H877" s="16"/>
    </row>
    <row r="878" spans="2:8">
      <c r="B878" s="5"/>
      <c r="H878" s="16"/>
    </row>
    <row r="879" spans="2:8">
      <c r="B879" s="5"/>
      <c r="H879" s="16"/>
    </row>
    <row r="880" spans="2:8">
      <c r="B880" s="5"/>
      <c r="H880" s="16"/>
    </row>
    <row r="881" spans="2:8">
      <c r="B881" s="5"/>
      <c r="H881" s="16"/>
    </row>
    <row r="882" spans="2:8">
      <c r="B882" s="5"/>
      <c r="H882" s="16"/>
    </row>
    <row r="883" spans="2:8">
      <c r="B883" s="5"/>
      <c r="H883" s="16"/>
    </row>
    <row r="884" spans="2:8">
      <c r="B884" s="5"/>
      <c r="H884" s="16"/>
    </row>
    <row r="885" spans="2:8">
      <c r="B885" s="5"/>
      <c r="H885" s="16"/>
    </row>
    <row r="886" spans="2:8">
      <c r="B886" s="5"/>
      <c r="H886" s="16"/>
    </row>
    <row r="887" spans="2:8">
      <c r="B887" s="5"/>
      <c r="H887" s="16"/>
    </row>
    <row r="888" spans="2:8">
      <c r="B888" s="5"/>
      <c r="H888" s="16"/>
    </row>
    <row r="889" spans="2:8">
      <c r="B889" s="5"/>
      <c r="H889" s="16"/>
    </row>
    <row r="890" spans="2:8">
      <c r="B890" s="5"/>
      <c r="H890" s="16"/>
    </row>
    <row r="891" spans="2:8">
      <c r="B891" s="5"/>
      <c r="H891" s="16"/>
    </row>
    <row r="892" spans="2:8">
      <c r="B892" s="5"/>
      <c r="H892" s="16"/>
    </row>
  </sheetData>
  <mergeCells count="27">
    <mergeCell ref="C50:F50"/>
    <mergeCell ref="G50:H50"/>
    <mergeCell ref="C47:F47"/>
    <mergeCell ref="G47:H47"/>
    <mergeCell ref="C48:F48"/>
    <mergeCell ref="G48:H48"/>
    <mergeCell ref="C49:F49"/>
    <mergeCell ref="G49:H49"/>
    <mergeCell ref="C44:F44"/>
    <mergeCell ref="G44:H44"/>
    <mergeCell ref="C45:F45"/>
    <mergeCell ref="G45:H45"/>
    <mergeCell ref="C46:F46"/>
    <mergeCell ref="G46:H46"/>
    <mergeCell ref="C43:F43"/>
    <mergeCell ref="G43:H43"/>
    <mergeCell ref="A4:H4"/>
    <mergeCell ref="A10:F10"/>
    <mergeCell ref="A17:F17"/>
    <mergeCell ref="A23:F23"/>
    <mergeCell ref="A29:F29"/>
    <mergeCell ref="A35:F35"/>
    <mergeCell ref="A38:F38"/>
    <mergeCell ref="C41:F41"/>
    <mergeCell ref="G41:H41"/>
    <mergeCell ref="C42:F42"/>
    <mergeCell ref="G42:H42"/>
  </mergeCells>
  <dataValidations count="1">
    <dataValidation type="list" allowBlank="1" showInputMessage="1" showErrorMessage="1" sqref="B42:B48" xr:uid="{2A8A399C-2E8F-437E-9087-501D1EE91625}">
      <formula1>$L$41:$L$45</formula1>
    </dataValidation>
  </dataValidations>
  <pageMargins left="0.7" right="0.7" top="0.75" bottom="0.75" header="0.3" footer="0.3"/>
  <pageSetup scale="52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L892"/>
  <sheetViews>
    <sheetView showZeros="0" view="pageBreakPreview" zoomScale="60" zoomScaleNormal="70" workbookViewId="0">
      <selection activeCell="A11" sqref="A11"/>
    </sheetView>
  </sheetViews>
  <sheetFormatPr defaultColWidth="10.875" defaultRowHeight="18.95"/>
  <cols>
    <col min="1" max="1" width="35.625" customWidth="1"/>
    <col min="2" max="2" width="14.625" style="16" customWidth="1"/>
    <col min="3" max="7" width="15.875" style="5" customWidth="1"/>
    <col min="8" max="8" width="15.875" style="17" customWidth="1"/>
    <col min="9" max="9" width="10.75" style="5" customWidth="1"/>
    <col min="10" max="12" width="0" style="5" hidden="1" customWidth="1"/>
    <col min="13" max="16384" width="10.875" style="5"/>
  </cols>
  <sheetData>
    <row r="1" spans="1:10" customFormat="1" ht="15.95">
      <c r="A1" s="41"/>
      <c r="B1" s="42"/>
      <c r="C1" s="43"/>
      <c r="D1" s="43"/>
      <c r="E1" s="45" t="s">
        <v>25</v>
      </c>
      <c r="F1" s="43"/>
      <c r="G1" s="45" t="s">
        <v>26</v>
      </c>
      <c r="H1" s="44">
        <v>4</v>
      </c>
    </row>
    <row r="2" spans="1:10">
      <c r="A2" s="30"/>
      <c r="B2" s="18" t="s">
        <v>27</v>
      </c>
      <c r="C2" s="18" t="s">
        <v>28</v>
      </c>
      <c r="D2" s="18" t="s">
        <v>65</v>
      </c>
      <c r="E2" s="18" t="s">
        <v>30</v>
      </c>
      <c r="F2" s="18" t="s">
        <v>66</v>
      </c>
      <c r="G2" s="18" t="s">
        <v>32</v>
      </c>
      <c r="H2" s="18" t="s">
        <v>33</v>
      </c>
    </row>
    <row r="3" spans="1:10" ht="21" customHeight="1">
      <c r="A3" s="31" t="s">
        <v>7</v>
      </c>
      <c r="B3" s="6">
        <f>'Week 18'!H3+1</f>
        <v>46019</v>
      </c>
      <c r="C3" s="6">
        <f>B3+1</f>
        <v>46020</v>
      </c>
      <c r="D3" s="6">
        <f t="shared" ref="D3:H3" si="0">C3+1</f>
        <v>46021</v>
      </c>
      <c r="E3" s="6">
        <f t="shared" si="0"/>
        <v>46022</v>
      </c>
      <c r="F3" s="6">
        <f t="shared" si="0"/>
        <v>46023</v>
      </c>
      <c r="G3" s="6">
        <f t="shared" si="0"/>
        <v>46024</v>
      </c>
      <c r="H3" s="6">
        <f t="shared" si="0"/>
        <v>46025</v>
      </c>
    </row>
    <row r="4" spans="1:10" s="7" customFormat="1">
      <c r="A4" s="181" t="s">
        <v>99</v>
      </c>
      <c r="B4" s="181"/>
      <c r="C4" s="181"/>
      <c r="D4" s="181"/>
      <c r="E4" s="181"/>
      <c r="F4" s="181"/>
      <c r="G4" s="181"/>
      <c r="H4" s="181"/>
    </row>
    <row r="5" spans="1:10" s="7" customFormat="1" ht="26.1" customHeight="1">
      <c r="A5" s="32" t="s">
        <v>8</v>
      </c>
      <c r="B5" s="27"/>
      <c r="C5" s="27"/>
      <c r="D5" s="27"/>
      <c r="E5" s="27"/>
      <c r="F5" s="27"/>
      <c r="G5" s="27"/>
      <c r="H5" s="27"/>
    </row>
    <row r="6" spans="1:10" s="7" customFormat="1" ht="26.1" customHeight="1">
      <c r="A6" s="4" t="s">
        <v>23</v>
      </c>
      <c r="B6" s="62"/>
      <c r="C6" s="62"/>
      <c r="D6" s="62">
        <v>0</v>
      </c>
      <c r="E6" s="62"/>
      <c r="F6" s="62"/>
      <c r="G6" s="62"/>
      <c r="H6" s="62"/>
    </row>
    <row r="7" spans="1:10" s="7" customFormat="1" ht="21.95" customHeight="1">
      <c r="A7" s="32" t="s">
        <v>35</v>
      </c>
      <c r="B7" s="27"/>
      <c r="C7" s="28"/>
      <c r="D7" s="28">
        <v>0</v>
      </c>
      <c r="E7" s="28"/>
      <c r="F7" s="28"/>
      <c r="G7" s="28"/>
      <c r="H7" s="27"/>
    </row>
    <row r="8" spans="1:10" s="7" customFormat="1" ht="24.95" customHeight="1" thickBot="1">
      <c r="A8" s="83" t="s">
        <v>36</v>
      </c>
      <c r="B8" s="84">
        <f t="shared" ref="B8:H8" si="1">B5+B6+B7</f>
        <v>0</v>
      </c>
      <c r="C8" s="84">
        <f t="shared" si="1"/>
        <v>0</v>
      </c>
      <c r="D8" s="84">
        <f t="shared" si="1"/>
        <v>0</v>
      </c>
      <c r="E8" s="84">
        <f t="shared" si="1"/>
        <v>0</v>
      </c>
      <c r="F8" s="84">
        <f t="shared" si="1"/>
        <v>0</v>
      </c>
      <c r="G8" s="84">
        <f t="shared" si="1"/>
        <v>0</v>
      </c>
      <c r="H8" s="84">
        <f t="shared" si="1"/>
        <v>0</v>
      </c>
    </row>
    <row r="9" spans="1:10" s="7" customFormat="1" ht="24.95" customHeight="1" thickBot="1">
      <c r="A9" s="33"/>
      <c r="B9" s="29"/>
      <c r="C9" s="29"/>
      <c r="D9" s="29"/>
      <c r="E9" s="29"/>
      <c r="F9" s="29"/>
      <c r="G9" s="63" t="s">
        <v>37</v>
      </c>
      <c r="H9" s="64">
        <f>SUM(B8:H8)</f>
        <v>0</v>
      </c>
    </row>
    <row r="10" spans="1:10" s="7" customFormat="1" ht="21" thickTop="1" thickBot="1">
      <c r="A10" s="182" t="s">
        <v>94</v>
      </c>
      <c r="B10" s="183"/>
      <c r="C10" s="183"/>
      <c r="D10" s="183"/>
      <c r="E10" s="183"/>
      <c r="F10" s="183"/>
      <c r="G10" s="65" t="s">
        <v>39</v>
      </c>
      <c r="H10" s="66">
        <v>-0.15</v>
      </c>
      <c r="I10" s="5"/>
      <c r="J10" s="26"/>
    </row>
    <row r="11" spans="1:10" s="7" customFormat="1" ht="30" customHeight="1">
      <c r="A11" s="39" t="s">
        <v>8</v>
      </c>
      <c r="B11" s="67"/>
      <c r="C11" s="67"/>
      <c r="D11" s="67"/>
      <c r="E11" s="67"/>
      <c r="F11" s="9"/>
      <c r="G11" s="68"/>
      <c r="H11" s="69"/>
    </row>
    <row r="12" spans="1:10" s="7" customFormat="1" ht="30" customHeight="1">
      <c r="A12" s="70" t="s">
        <v>23</v>
      </c>
      <c r="B12" s="62"/>
      <c r="C12" s="67"/>
      <c r="D12" s="67">
        <f>D6+(D6*H10)</f>
        <v>0</v>
      </c>
      <c r="E12" s="58"/>
      <c r="F12" s="58"/>
      <c r="G12" s="58"/>
      <c r="H12" s="58"/>
    </row>
    <row r="13" spans="1:10" s="7" customFormat="1" ht="30" customHeight="1">
      <c r="A13" s="3" t="s">
        <v>35</v>
      </c>
      <c r="B13" s="62"/>
      <c r="C13" s="62"/>
      <c r="D13" s="62">
        <f>D7+(D7*H10)</f>
        <v>0</v>
      </c>
      <c r="E13" s="8"/>
      <c r="F13" s="8"/>
      <c r="G13" s="8"/>
      <c r="H13" s="8"/>
    </row>
    <row r="14" spans="1:10" s="7" customFormat="1" ht="27" customHeight="1" thickBot="1">
      <c r="A14" s="85" t="s">
        <v>36</v>
      </c>
      <c r="B14" s="87">
        <f t="shared" ref="B14:H14" si="2">B11+B12+B13</f>
        <v>0</v>
      </c>
      <c r="C14" s="87">
        <f t="shared" si="2"/>
        <v>0</v>
      </c>
      <c r="D14" s="87">
        <f t="shared" si="2"/>
        <v>0</v>
      </c>
      <c r="E14" s="87">
        <f t="shared" si="2"/>
        <v>0</v>
      </c>
      <c r="F14" s="87">
        <f t="shared" si="2"/>
        <v>0</v>
      </c>
      <c r="G14" s="87">
        <f t="shared" si="2"/>
        <v>0</v>
      </c>
      <c r="H14" s="87">
        <f t="shared" si="2"/>
        <v>0</v>
      </c>
    </row>
    <row r="15" spans="1:10" s="7" customFormat="1" ht="24.95" customHeight="1" thickBot="1">
      <c r="A15" s="86" t="s">
        <v>40</v>
      </c>
      <c r="B15" s="92" t="e">
        <f t="shared" ref="B15:H15" si="3">(B14-B8)/B8</f>
        <v>#DIV/0!</v>
      </c>
      <c r="C15" s="93" t="e">
        <f t="shared" si="3"/>
        <v>#DIV/0!</v>
      </c>
      <c r="D15" s="93" t="e">
        <f t="shared" si="3"/>
        <v>#DIV/0!</v>
      </c>
      <c r="E15" s="93" t="e">
        <f t="shared" si="3"/>
        <v>#DIV/0!</v>
      </c>
      <c r="F15" s="93" t="e">
        <f t="shared" si="3"/>
        <v>#DIV/0!</v>
      </c>
      <c r="G15" s="93" t="e">
        <f t="shared" si="3"/>
        <v>#DIV/0!</v>
      </c>
      <c r="H15" s="94" t="e">
        <f t="shared" si="3"/>
        <v>#DIV/0!</v>
      </c>
      <c r="I15" s="71"/>
    </row>
    <row r="16" spans="1:10" ht="30" customHeight="1" thickBot="1">
      <c r="B16" s="88"/>
      <c r="C16" s="88"/>
      <c r="D16" s="88"/>
      <c r="E16" s="88"/>
      <c r="F16" s="89"/>
      <c r="G16" s="90" t="s">
        <v>37</v>
      </c>
      <c r="H16" s="91">
        <f>SUM(B14:H14)</f>
        <v>0</v>
      </c>
    </row>
    <row r="17" spans="1:8" s="7" customFormat="1" ht="21.95" thickTop="1" thickBot="1">
      <c r="A17" s="184" t="s">
        <v>41</v>
      </c>
      <c r="B17" s="185"/>
      <c r="C17" s="185"/>
      <c r="D17" s="185"/>
      <c r="E17" s="185"/>
      <c r="F17" s="185"/>
      <c r="G17" s="72" t="s">
        <v>42</v>
      </c>
      <c r="H17" s="66" t="e">
        <f>(H16-H9)/H9</f>
        <v>#DIV/0!</v>
      </c>
    </row>
    <row r="18" spans="1:8" s="7" customFormat="1" ht="30" customHeight="1">
      <c r="A18" s="35" t="s">
        <v>43</v>
      </c>
      <c r="B18" s="12"/>
      <c r="C18" s="12"/>
      <c r="D18" s="73"/>
      <c r="E18" s="73"/>
      <c r="F18" s="12"/>
      <c r="G18" s="24"/>
      <c r="H18" s="74"/>
    </row>
    <row r="19" spans="1:8" s="7" customFormat="1" ht="30" customHeight="1">
      <c r="A19" s="35" t="str">
        <f>'Week 18'!A31</f>
        <v>Non Meal Plan Meals</v>
      </c>
      <c r="B19" s="12"/>
      <c r="C19" s="12"/>
      <c r="D19" s="73"/>
      <c r="E19" s="73"/>
      <c r="F19" s="12"/>
      <c r="G19" s="24"/>
      <c r="H19" s="74"/>
    </row>
    <row r="20" spans="1:8" s="7" customFormat="1" ht="30" customHeight="1">
      <c r="A20" s="35" t="str">
        <f>'Week 18'!A32</f>
        <v xml:space="preserve">Meal numbers </v>
      </c>
      <c r="B20" s="95"/>
      <c r="C20" s="95"/>
      <c r="D20" s="67"/>
      <c r="E20" s="67"/>
      <c r="F20" s="95"/>
      <c r="G20" s="95"/>
      <c r="H20" s="75">
        <v>3</v>
      </c>
    </row>
    <row r="21" spans="1:8" s="7" customFormat="1" ht="24.95" customHeight="1" thickBot="1">
      <c r="A21" s="36" t="s">
        <v>45</v>
      </c>
      <c r="B21" s="77">
        <f t="shared" ref="B21:G21" si="4">B18+B20</f>
        <v>0</v>
      </c>
      <c r="C21" s="77">
        <f t="shared" si="4"/>
        <v>0</v>
      </c>
      <c r="D21" s="96"/>
      <c r="E21" s="96"/>
      <c r="F21" s="77">
        <f t="shared" si="4"/>
        <v>0</v>
      </c>
      <c r="G21" s="77">
        <f t="shared" si="4"/>
        <v>0</v>
      </c>
      <c r="H21" s="77">
        <f>H18+H20</f>
        <v>3</v>
      </c>
    </row>
    <row r="22" spans="1:8" s="7" customFormat="1" ht="24.95" customHeight="1" thickBot="1">
      <c r="A22" s="34" t="s">
        <v>40</v>
      </c>
      <c r="B22" s="92" t="e">
        <f>(B21-B5)/B5</f>
        <v>#DIV/0!</v>
      </c>
      <c r="C22" s="93" t="e">
        <f>(C21-C5)/C5</f>
        <v>#DIV/0!</v>
      </c>
      <c r="D22" s="99"/>
      <c r="E22" s="99"/>
      <c r="F22" s="93" t="e">
        <f>(F21-F5)/F5</f>
        <v>#DIV/0!</v>
      </c>
      <c r="G22" s="93" t="e">
        <f>(G21-G5)/G5</f>
        <v>#DIV/0!</v>
      </c>
      <c r="H22" s="94" t="e">
        <f>(H21-H5)/H5</f>
        <v>#DIV/0!</v>
      </c>
    </row>
    <row r="23" spans="1:8" s="7" customFormat="1">
      <c r="A23" s="186" t="s">
        <v>46</v>
      </c>
      <c r="B23" s="187"/>
      <c r="C23" s="187"/>
      <c r="D23" s="187"/>
      <c r="E23" s="187"/>
      <c r="F23" s="188" t="s">
        <v>47</v>
      </c>
      <c r="G23" s="97"/>
      <c r="H23" s="98"/>
    </row>
    <row r="24" spans="1:8" s="7" customFormat="1" ht="30" customHeight="1">
      <c r="A24" s="35" t="s">
        <v>43</v>
      </c>
      <c r="B24" s="11"/>
      <c r="C24" s="12"/>
      <c r="D24" s="12"/>
      <c r="E24" s="12"/>
      <c r="F24" s="12"/>
      <c r="G24" s="12"/>
      <c r="H24" s="11"/>
    </row>
    <row r="25" spans="1:8" s="7" customFormat="1" ht="30" customHeight="1">
      <c r="A25" s="35" t="str">
        <f>A19</f>
        <v>Non Meal Plan Meals</v>
      </c>
      <c r="B25" s="117"/>
      <c r="C25" s="117"/>
      <c r="D25" s="117"/>
      <c r="E25" s="117"/>
      <c r="F25" s="117"/>
      <c r="G25" s="117"/>
      <c r="H25" s="117"/>
    </row>
    <row r="26" spans="1:8" s="7" customFormat="1" ht="30" customHeight="1">
      <c r="A26" s="35" t="str">
        <f>A20</f>
        <v xml:space="preserve">Meal numbers </v>
      </c>
      <c r="B26" s="11"/>
      <c r="C26" s="11"/>
      <c r="D26" s="11"/>
      <c r="E26" s="11"/>
      <c r="F26" s="11"/>
      <c r="G26" s="11"/>
      <c r="H26" s="11"/>
    </row>
    <row r="27" spans="1:8" s="7" customFormat="1" ht="27.95" customHeight="1" thickBot="1">
      <c r="A27" s="36" t="s">
        <v>50</v>
      </c>
      <c r="B27" s="100">
        <f>B24+B25+B26</f>
        <v>0</v>
      </c>
      <c r="C27" s="100">
        <f t="shared" ref="C27:G27" si="5">C24+C25+C26</f>
        <v>0</v>
      </c>
      <c r="D27" s="100">
        <f t="shared" si="5"/>
        <v>0</v>
      </c>
      <c r="E27" s="100">
        <f t="shared" si="5"/>
        <v>0</v>
      </c>
      <c r="F27" s="100">
        <f t="shared" si="5"/>
        <v>0</v>
      </c>
      <c r="G27" s="100">
        <f t="shared" si="5"/>
        <v>0</v>
      </c>
      <c r="H27" s="100">
        <f>H24+H25+H26</f>
        <v>0</v>
      </c>
    </row>
    <row r="28" spans="1:8" s="7" customFormat="1" ht="24.95" customHeight="1" thickBot="1">
      <c r="A28" s="34" t="s">
        <v>40</v>
      </c>
      <c r="B28" s="92" t="e">
        <f t="shared" ref="B28:H28" si="6">(B27-B6)/B6</f>
        <v>#DIV/0!</v>
      </c>
      <c r="C28" s="93" t="e">
        <f t="shared" si="6"/>
        <v>#DIV/0!</v>
      </c>
      <c r="D28" s="93" t="e">
        <f t="shared" si="6"/>
        <v>#DIV/0!</v>
      </c>
      <c r="E28" s="93" t="e">
        <f t="shared" si="6"/>
        <v>#DIV/0!</v>
      </c>
      <c r="F28" s="93" t="e">
        <f t="shared" si="6"/>
        <v>#DIV/0!</v>
      </c>
      <c r="G28" s="93" t="e">
        <f t="shared" si="6"/>
        <v>#DIV/0!</v>
      </c>
      <c r="H28" s="94" t="e">
        <f t="shared" si="6"/>
        <v>#DIV/0!</v>
      </c>
    </row>
    <row r="29" spans="1:8" s="7" customFormat="1">
      <c r="A29" s="189" t="s">
        <v>51</v>
      </c>
      <c r="B29" s="190"/>
      <c r="C29" s="190"/>
      <c r="D29" s="190"/>
      <c r="E29" s="190"/>
      <c r="F29" s="191" t="s">
        <v>35</v>
      </c>
      <c r="G29" s="101"/>
      <c r="H29" s="102"/>
    </row>
    <row r="30" spans="1:8" s="7" customFormat="1" ht="30" customHeight="1">
      <c r="A30" s="35" t="s">
        <v>43</v>
      </c>
      <c r="B30" s="10"/>
      <c r="C30" s="9"/>
      <c r="D30" s="9"/>
      <c r="E30" s="9"/>
      <c r="F30" s="9"/>
      <c r="G30" s="9"/>
      <c r="H30" s="10"/>
    </row>
    <row r="31" spans="1:8" s="7" customFormat="1" ht="30" customHeight="1">
      <c r="A31" s="35" t="str">
        <f>A25</f>
        <v>Non Meal Plan Meals</v>
      </c>
      <c r="B31" s="60"/>
      <c r="C31" s="60"/>
      <c r="D31" s="60"/>
      <c r="E31" s="60"/>
      <c r="F31" s="60"/>
      <c r="G31" s="60"/>
      <c r="H31" s="60"/>
    </row>
    <row r="32" spans="1:8" s="7" customFormat="1" ht="30" customHeight="1">
      <c r="A32" s="35" t="str">
        <f>A26</f>
        <v xml:space="preserve">Meal numbers </v>
      </c>
      <c r="B32" s="10"/>
      <c r="C32" s="10"/>
      <c r="D32" s="10"/>
      <c r="E32" s="10"/>
      <c r="F32" s="10"/>
      <c r="G32" s="10"/>
      <c r="H32" s="10"/>
    </row>
    <row r="33" spans="1:12" s="7" customFormat="1" ht="30.95" customHeight="1" thickBot="1">
      <c r="A33" s="36" t="s">
        <v>53</v>
      </c>
      <c r="B33" s="103">
        <f>B30+B31+B32</f>
        <v>0</v>
      </c>
      <c r="C33" s="103">
        <f t="shared" ref="C33:G33" si="7">C30+C31+C32</f>
        <v>0</v>
      </c>
      <c r="D33" s="103">
        <f t="shared" si="7"/>
        <v>0</v>
      </c>
      <c r="E33" s="103">
        <f t="shared" si="7"/>
        <v>0</v>
      </c>
      <c r="F33" s="103">
        <f t="shared" si="7"/>
        <v>0</v>
      </c>
      <c r="G33" s="103">
        <f t="shared" si="7"/>
        <v>0</v>
      </c>
      <c r="H33" s="103">
        <f>H30+H31+H32</f>
        <v>0</v>
      </c>
    </row>
    <row r="34" spans="1:12" s="7" customFormat="1" ht="24.95" customHeight="1" thickBot="1">
      <c r="A34" s="34" t="s">
        <v>40</v>
      </c>
      <c r="B34" s="92" t="e">
        <f t="shared" ref="B34:H34" si="8">(B33-B7)/B7</f>
        <v>#DIV/0!</v>
      </c>
      <c r="C34" s="93" t="e">
        <f t="shared" si="8"/>
        <v>#DIV/0!</v>
      </c>
      <c r="D34" s="93" t="e">
        <f t="shared" si="8"/>
        <v>#DIV/0!</v>
      </c>
      <c r="E34" s="93" t="e">
        <f t="shared" si="8"/>
        <v>#DIV/0!</v>
      </c>
      <c r="F34" s="93" t="e">
        <f t="shared" si="8"/>
        <v>#DIV/0!</v>
      </c>
      <c r="G34" s="93" t="e">
        <f t="shared" si="8"/>
        <v>#DIV/0!</v>
      </c>
      <c r="H34" s="94" t="e">
        <f t="shared" si="8"/>
        <v>#DIV/0!</v>
      </c>
    </row>
    <row r="35" spans="1:12" s="7" customFormat="1">
      <c r="A35" s="192" t="s">
        <v>54</v>
      </c>
      <c r="B35" s="193"/>
      <c r="C35" s="193"/>
      <c r="D35" s="193"/>
      <c r="E35" s="193"/>
      <c r="F35" s="194" t="s">
        <v>35</v>
      </c>
      <c r="G35" s="104"/>
      <c r="H35" s="105"/>
    </row>
    <row r="36" spans="1:12" s="7" customFormat="1" ht="30.95" customHeight="1" thickBot="1">
      <c r="A36" s="78" t="s">
        <v>55</v>
      </c>
      <c r="B36" s="77">
        <f>B33+B27+B21</f>
        <v>0</v>
      </c>
      <c r="C36" s="77">
        <f t="shared" ref="C36:H36" si="9">C33+C27+C21</f>
        <v>0</v>
      </c>
      <c r="D36" s="77">
        <f t="shared" si="9"/>
        <v>0</v>
      </c>
      <c r="E36" s="77">
        <f t="shared" si="9"/>
        <v>0</v>
      </c>
      <c r="F36" s="77">
        <f t="shared" si="9"/>
        <v>0</v>
      </c>
      <c r="G36" s="77">
        <f t="shared" si="9"/>
        <v>0</v>
      </c>
      <c r="H36" s="77">
        <f t="shared" si="9"/>
        <v>3</v>
      </c>
    </row>
    <row r="37" spans="1:12" s="7" customFormat="1" ht="24.95" customHeight="1" thickBot="1">
      <c r="A37" s="34" t="s">
        <v>40</v>
      </c>
      <c r="B37" s="92" t="e">
        <f t="shared" ref="B37:H37" si="10">(B36-B8)/B8</f>
        <v>#DIV/0!</v>
      </c>
      <c r="C37" s="93" t="e">
        <f t="shared" si="10"/>
        <v>#DIV/0!</v>
      </c>
      <c r="D37" s="93" t="e">
        <f t="shared" si="10"/>
        <v>#DIV/0!</v>
      </c>
      <c r="E37" s="93" t="e">
        <f t="shared" si="10"/>
        <v>#DIV/0!</v>
      </c>
      <c r="F37" s="93" t="e">
        <f t="shared" si="10"/>
        <v>#DIV/0!</v>
      </c>
      <c r="G37" s="93" t="e">
        <f t="shared" si="10"/>
        <v>#DIV/0!</v>
      </c>
      <c r="H37" s="94" t="e">
        <f t="shared" si="10"/>
        <v>#DIV/0!</v>
      </c>
    </row>
    <row r="38" spans="1:12" ht="30" customHeight="1" thickBot="1">
      <c r="A38" s="195"/>
      <c r="B38" s="196"/>
      <c r="C38" s="196"/>
      <c r="D38" s="196"/>
      <c r="E38" s="196"/>
      <c r="F38" s="196"/>
      <c r="G38" s="106" t="s">
        <v>37</v>
      </c>
      <c r="H38" s="107">
        <f>SUM(B36:H36)</f>
        <v>3</v>
      </c>
    </row>
    <row r="39" spans="1:12" s="7" customFormat="1" ht="24.95" customHeight="1" thickTop="1">
      <c r="A39" s="37"/>
      <c r="B39" s="25"/>
      <c r="C39" s="25"/>
      <c r="D39" s="25"/>
      <c r="E39" s="25"/>
      <c r="F39" s="25"/>
      <c r="G39" s="79" t="s">
        <v>40</v>
      </c>
      <c r="H39" s="80" t="e">
        <f>(H38-H9)/H9</f>
        <v>#DIV/0!</v>
      </c>
    </row>
    <row r="40" spans="1:12" s="7" customFormat="1" ht="24.95" customHeight="1" thickBot="1">
      <c r="A40" s="37"/>
      <c r="B40" s="25"/>
      <c r="C40" s="25"/>
      <c r="D40" s="25"/>
      <c r="E40" s="25"/>
      <c r="F40" s="25"/>
      <c r="G40" s="81" t="s">
        <v>56</v>
      </c>
      <c r="H40" s="82" t="e">
        <f>(H38-H16)/H16</f>
        <v>#DIV/0!</v>
      </c>
    </row>
    <row r="41" spans="1:12" s="46" customFormat="1" ht="23.1" customHeight="1">
      <c r="A41" s="40"/>
      <c r="B41" s="47" t="s">
        <v>57</v>
      </c>
      <c r="C41" s="197" t="s">
        <v>58</v>
      </c>
      <c r="D41" s="197"/>
      <c r="E41" s="197"/>
      <c r="F41" s="197"/>
      <c r="G41" s="198">
        <v>2022</v>
      </c>
      <c r="H41" s="199"/>
    </row>
    <row r="42" spans="1:12" ht="30" customHeight="1">
      <c r="A42" s="1" t="s">
        <v>60</v>
      </c>
      <c r="B42" s="57" t="s">
        <v>59</v>
      </c>
      <c r="C42" s="215"/>
      <c r="D42" s="215"/>
      <c r="E42" s="215"/>
      <c r="F42" s="215"/>
      <c r="G42" s="178"/>
      <c r="H42" s="179"/>
      <c r="L42" s="7" t="s">
        <v>61</v>
      </c>
    </row>
    <row r="43" spans="1:12" ht="30" customHeight="1">
      <c r="A43" s="1" t="s">
        <v>1</v>
      </c>
      <c r="B43" s="57" t="s">
        <v>59</v>
      </c>
      <c r="C43" s="216"/>
      <c r="D43" s="216"/>
      <c r="E43" s="216"/>
      <c r="F43" s="216"/>
      <c r="G43" s="178"/>
      <c r="H43" s="179"/>
      <c r="L43" s="5" t="s">
        <v>62</v>
      </c>
    </row>
    <row r="44" spans="1:12" ht="30" customHeight="1">
      <c r="A44" s="1" t="s">
        <v>2</v>
      </c>
      <c r="B44" s="57" t="s">
        <v>59</v>
      </c>
      <c r="C44" s="175"/>
      <c r="D44" s="175"/>
      <c r="E44" s="175"/>
      <c r="F44" s="175"/>
      <c r="G44" s="176"/>
      <c r="H44" s="177"/>
      <c r="L44" s="5" t="s">
        <v>63</v>
      </c>
    </row>
    <row r="45" spans="1:12" ht="30" customHeight="1">
      <c r="A45" s="1" t="s">
        <v>3</v>
      </c>
      <c r="B45" s="57" t="s">
        <v>59</v>
      </c>
      <c r="C45" s="175" t="s">
        <v>123</v>
      </c>
      <c r="D45" s="175"/>
      <c r="E45" s="175"/>
      <c r="F45" s="175"/>
      <c r="G45" s="176" t="s">
        <v>123</v>
      </c>
      <c r="H45" s="177"/>
      <c r="L45" s="5" t="s">
        <v>64</v>
      </c>
    </row>
    <row r="46" spans="1:12" ht="30.95" customHeight="1">
      <c r="A46" s="1" t="s">
        <v>4</v>
      </c>
      <c r="B46" s="57" t="s">
        <v>59</v>
      </c>
      <c r="C46" s="175" t="s">
        <v>124</v>
      </c>
      <c r="D46" s="175"/>
      <c r="E46" s="175"/>
      <c r="F46" s="175"/>
      <c r="G46" s="176" t="s">
        <v>125</v>
      </c>
      <c r="H46" s="177"/>
    </row>
    <row r="47" spans="1:12" ht="30" customHeight="1">
      <c r="A47" s="1" t="s">
        <v>5</v>
      </c>
      <c r="B47" s="57" t="s">
        <v>59</v>
      </c>
      <c r="C47" s="175" t="s">
        <v>124</v>
      </c>
      <c r="D47" s="175"/>
      <c r="E47" s="175"/>
      <c r="F47" s="175"/>
      <c r="G47" s="176"/>
      <c r="H47" s="177"/>
    </row>
    <row r="48" spans="1:12" ht="30" customHeight="1">
      <c r="A48" s="1" t="s">
        <v>6</v>
      </c>
      <c r="B48" s="57" t="s">
        <v>59</v>
      </c>
      <c r="C48" s="175" t="s">
        <v>126</v>
      </c>
      <c r="D48" s="175"/>
      <c r="E48" s="175"/>
      <c r="F48" s="175"/>
      <c r="G48" s="176" t="s">
        <v>127</v>
      </c>
      <c r="H48" s="177"/>
    </row>
    <row r="49" spans="1:8" ht="30" customHeight="1">
      <c r="A49" s="1"/>
      <c r="B49" s="14"/>
      <c r="C49" s="175"/>
      <c r="D49" s="175"/>
      <c r="E49" s="175"/>
      <c r="F49" s="175"/>
      <c r="G49" s="176"/>
      <c r="H49" s="177"/>
    </row>
    <row r="50" spans="1:8" ht="30" customHeight="1">
      <c r="A50" s="2"/>
      <c r="B50" s="14"/>
      <c r="C50" s="175"/>
      <c r="D50" s="175"/>
      <c r="E50" s="175"/>
      <c r="F50" s="175"/>
      <c r="G50" s="176"/>
      <c r="H50" s="177"/>
    </row>
    <row r="51" spans="1:8">
      <c r="A51" s="30"/>
      <c r="B51" s="18" t="s">
        <v>27</v>
      </c>
      <c r="C51" s="18" t="s">
        <v>28</v>
      </c>
      <c r="D51" s="18" t="s">
        <v>65</v>
      </c>
      <c r="E51" s="18" t="s">
        <v>30</v>
      </c>
      <c r="F51" s="18" t="s">
        <v>66</v>
      </c>
      <c r="G51" s="18" t="s">
        <v>32</v>
      </c>
      <c r="H51" s="18" t="s">
        <v>33</v>
      </c>
    </row>
    <row r="52" spans="1:8">
      <c r="A52" s="38" t="s">
        <v>67</v>
      </c>
      <c r="B52" s="15"/>
      <c r="C52" s="20"/>
      <c r="D52" s="20"/>
      <c r="E52" s="20"/>
      <c r="F52" s="20"/>
      <c r="G52" s="20"/>
      <c r="H52" s="15"/>
    </row>
    <row r="53" spans="1:8" customFormat="1" ht="15.95">
      <c r="A53" s="48" t="s">
        <v>68</v>
      </c>
      <c r="B53" s="22"/>
      <c r="C53" s="21"/>
      <c r="D53" s="21"/>
      <c r="E53" s="21"/>
      <c r="F53" s="21"/>
      <c r="G53" s="23" t="s">
        <v>37</v>
      </c>
      <c r="H53" s="23">
        <f>SUM(B52:H52)</f>
        <v>0</v>
      </c>
    </row>
    <row r="54" spans="1:8">
      <c r="A54" s="30"/>
      <c r="B54" s="18" t="s">
        <v>27</v>
      </c>
      <c r="C54" s="18" t="s">
        <v>28</v>
      </c>
      <c r="D54" s="18" t="s">
        <v>65</v>
      </c>
      <c r="E54" s="18" t="s">
        <v>30</v>
      </c>
      <c r="F54" s="18" t="s">
        <v>66</v>
      </c>
      <c r="G54" s="18" t="s">
        <v>32</v>
      </c>
      <c r="H54" s="18" t="s">
        <v>33</v>
      </c>
    </row>
    <row r="55" spans="1:8">
      <c r="A55" s="38" t="s">
        <v>69</v>
      </c>
      <c r="B55" s="51"/>
      <c r="C55" s="52"/>
      <c r="D55" s="52"/>
      <c r="E55" s="52"/>
      <c r="F55" s="52"/>
      <c r="G55" s="20"/>
      <c r="H55" s="15"/>
    </row>
    <row r="56" spans="1:8" customFormat="1" ht="15.95">
      <c r="A56" s="49" t="s">
        <v>70</v>
      </c>
      <c r="B56" s="53"/>
      <c r="C56" s="53" t="s">
        <v>71</v>
      </c>
      <c r="D56" s="54"/>
      <c r="E56" s="54"/>
      <c r="F56" s="55"/>
      <c r="G56" s="50" t="s">
        <v>37</v>
      </c>
      <c r="H56" s="23"/>
    </row>
    <row r="57" spans="1:8">
      <c r="H57" s="16"/>
    </row>
    <row r="58" spans="1:8">
      <c r="H58" s="16"/>
    </row>
    <row r="59" spans="1:8">
      <c r="H59" s="16"/>
    </row>
    <row r="60" spans="1:8">
      <c r="H60" s="16"/>
    </row>
    <row r="61" spans="1:8">
      <c r="H61" s="16"/>
    </row>
    <row r="62" spans="1:8">
      <c r="H62" s="16"/>
    </row>
    <row r="63" spans="1:8">
      <c r="H63" s="16"/>
    </row>
    <row r="64" spans="1:8">
      <c r="B64" s="5"/>
      <c r="H64" s="16"/>
    </row>
    <row r="65" spans="2:8">
      <c r="B65" s="5"/>
      <c r="H65" s="16"/>
    </row>
    <row r="66" spans="2:8">
      <c r="B66" s="5"/>
      <c r="H66" s="16"/>
    </row>
    <row r="67" spans="2:8">
      <c r="B67" s="5"/>
      <c r="H67" s="16"/>
    </row>
    <row r="68" spans="2:8">
      <c r="B68" s="5"/>
      <c r="H68" s="16"/>
    </row>
    <row r="69" spans="2:8">
      <c r="B69" s="5"/>
      <c r="H69" s="16"/>
    </row>
    <row r="70" spans="2:8">
      <c r="B70" s="5"/>
      <c r="H70" s="16"/>
    </row>
    <row r="71" spans="2:8">
      <c r="B71" s="5"/>
      <c r="H71" s="16"/>
    </row>
    <row r="72" spans="2:8">
      <c r="B72" s="5"/>
      <c r="H72" s="16"/>
    </row>
    <row r="73" spans="2:8">
      <c r="B73" s="5"/>
      <c r="H73" s="16"/>
    </row>
    <row r="74" spans="2:8">
      <c r="B74" s="5"/>
      <c r="H74" s="16"/>
    </row>
    <row r="75" spans="2:8">
      <c r="B75" s="5"/>
      <c r="H75" s="16"/>
    </row>
    <row r="76" spans="2:8">
      <c r="B76" s="5"/>
      <c r="H76" s="16"/>
    </row>
    <row r="77" spans="2:8">
      <c r="B77" s="5"/>
      <c r="H77" s="16"/>
    </row>
    <row r="78" spans="2:8">
      <c r="B78" s="5"/>
      <c r="H78" s="16"/>
    </row>
    <row r="79" spans="2:8">
      <c r="B79" s="5"/>
      <c r="H79" s="16"/>
    </row>
    <row r="80" spans="2:8">
      <c r="B80" s="5"/>
      <c r="H80" s="16"/>
    </row>
    <row r="81" spans="2:8">
      <c r="B81" s="5"/>
      <c r="H81" s="16"/>
    </row>
    <row r="82" spans="2:8">
      <c r="B82" s="5"/>
      <c r="H82" s="16"/>
    </row>
    <row r="83" spans="2:8">
      <c r="B83" s="5"/>
      <c r="H83" s="16"/>
    </row>
    <row r="84" spans="2:8">
      <c r="B84" s="5"/>
      <c r="H84" s="16"/>
    </row>
    <row r="85" spans="2:8">
      <c r="B85" s="5"/>
      <c r="H85" s="16"/>
    </row>
    <row r="86" spans="2:8">
      <c r="B86" s="5"/>
      <c r="H86" s="16"/>
    </row>
    <row r="87" spans="2:8">
      <c r="B87" s="5"/>
      <c r="H87" s="16"/>
    </row>
    <row r="88" spans="2:8">
      <c r="B88" s="5"/>
      <c r="H88" s="16"/>
    </row>
    <row r="89" spans="2:8">
      <c r="B89" s="5"/>
      <c r="H89" s="16"/>
    </row>
    <row r="90" spans="2:8">
      <c r="B90" s="5"/>
      <c r="H90" s="16"/>
    </row>
    <row r="91" spans="2:8">
      <c r="B91" s="5"/>
      <c r="H91" s="16"/>
    </row>
    <row r="92" spans="2:8">
      <c r="B92" s="5"/>
      <c r="H92" s="16"/>
    </row>
    <row r="93" spans="2:8">
      <c r="B93" s="5"/>
      <c r="H93" s="16"/>
    </row>
    <row r="94" spans="2:8">
      <c r="B94" s="5"/>
      <c r="H94" s="16"/>
    </row>
    <row r="95" spans="2:8">
      <c r="B95" s="5"/>
      <c r="H95" s="16"/>
    </row>
    <row r="96" spans="2:8">
      <c r="B96" s="5"/>
      <c r="H96" s="16"/>
    </row>
    <row r="97" spans="2:8">
      <c r="B97" s="5"/>
      <c r="H97" s="16"/>
    </row>
    <row r="98" spans="2:8">
      <c r="B98" s="5"/>
      <c r="H98" s="16"/>
    </row>
    <row r="99" spans="2:8">
      <c r="B99" s="5"/>
      <c r="H99" s="16"/>
    </row>
    <row r="100" spans="2:8">
      <c r="B100" s="5"/>
      <c r="H100" s="16"/>
    </row>
    <row r="101" spans="2:8">
      <c r="B101" s="5"/>
      <c r="H101" s="16"/>
    </row>
    <row r="102" spans="2:8">
      <c r="B102" s="5"/>
      <c r="H102" s="16"/>
    </row>
    <row r="103" spans="2:8">
      <c r="B103" s="5"/>
      <c r="H103" s="16"/>
    </row>
    <row r="104" spans="2:8">
      <c r="B104" s="5"/>
      <c r="H104" s="16"/>
    </row>
    <row r="105" spans="2:8">
      <c r="B105" s="5"/>
      <c r="H105" s="16"/>
    </row>
    <row r="106" spans="2:8">
      <c r="B106" s="5"/>
      <c r="H106" s="16"/>
    </row>
    <row r="107" spans="2:8">
      <c r="B107" s="5"/>
      <c r="H107" s="16"/>
    </row>
    <row r="108" spans="2:8">
      <c r="B108" s="5"/>
      <c r="H108" s="16"/>
    </row>
    <row r="109" spans="2:8">
      <c r="B109" s="5"/>
      <c r="H109" s="16"/>
    </row>
    <row r="110" spans="2:8">
      <c r="B110" s="5"/>
      <c r="H110" s="16"/>
    </row>
    <row r="111" spans="2:8">
      <c r="B111" s="5"/>
      <c r="H111" s="16"/>
    </row>
    <row r="112" spans="2:8">
      <c r="B112" s="5"/>
      <c r="H112" s="16"/>
    </row>
    <row r="113" spans="2:8">
      <c r="B113" s="5"/>
      <c r="H113" s="16"/>
    </row>
    <row r="114" spans="2:8">
      <c r="B114" s="5"/>
      <c r="H114" s="16"/>
    </row>
    <row r="115" spans="2:8">
      <c r="B115" s="5"/>
      <c r="H115" s="16"/>
    </row>
    <row r="116" spans="2:8">
      <c r="B116" s="5"/>
      <c r="H116" s="16"/>
    </row>
    <row r="117" spans="2:8">
      <c r="B117" s="5"/>
      <c r="H117" s="16"/>
    </row>
    <row r="118" spans="2:8">
      <c r="B118" s="5"/>
      <c r="H118" s="16"/>
    </row>
    <row r="119" spans="2:8">
      <c r="B119" s="5"/>
      <c r="H119" s="16"/>
    </row>
    <row r="120" spans="2:8">
      <c r="B120" s="5"/>
      <c r="H120" s="16"/>
    </row>
    <row r="121" spans="2:8">
      <c r="B121" s="5"/>
      <c r="H121" s="16"/>
    </row>
    <row r="122" spans="2:8">
      <c r="B122" s="5"/>
      <c r="H122" s="16"/>
    </row>
    <row r="123" spans="2:8">
      <c r="B123" s="5"/>
      <c r="H123" s="16"/>
    </row>
    <row r="124" spans="2:8">
      <c r="B124" s="5"/>
      <c r="H124" s="16"/>
    </row>
    <row r="125" spans="2:8">
      <c r="B125" s="5"/>
      <c r="H125" s="16"/>
    </row>
    <row r="126" spans="2:8">
      <c r="B126" s="5"/>
      <c r="H126" s="16"/>
    </row>
    <row r="127" spans="2:8">
      <c r="B127" s="5"/>
      <c r="H127" s="16"/>
    </row>
    <row r="128" spans="2:8">
      <c r="B128" s="5"/>
      <c r="H128" s="16"/>
    </row>
    <row r="129" spans="2:8">
      <c r="B129" s="5"/>
      <c r="H129" s="16"/>
    </row>
    <row r="130" spans="2:8">
      <c r="B130" s="5"/>
      <c r="H130" s="16"/>
    </row>
    <row r="131" spans="2:8">
      <c r="B131" s="5"/>
      <c r="H131" s="16"/>
    </row>
    <row r="132" spans="2:8">
      <c r="B132" s="5"/>
      <c r="H132" s="16"/>
    </row>
    <row r="133" spans="2:8">
      <c r="B133" s="5"/>
      <c r="H133" s="16"/>
    </row>
    <row r="134" spans="2:8">
      <c r="B134" s="5"/>
      <c r="H134" s="16"/>
    </row>
    <row r="135" spans="2:8">
      <c r="B135" s="5"/>
      <c r="H135" s="16"/>
    </row>
    <row r="136" spans="2:8">
      <c r="B136" s="5"/>
      <c r="H136" s="16"/>
    </row>
    <row r="137" spans="2:8">
      <c r="B137" s="5"/>
      <c r="H137" s="16"/>
    </row>
    <row r="138" spans="2:8">
      <c r="B138" s="5"/>
      <c r="H138" s="16"/>
    </row>
    <row r="139" spans="2:8">
      <c r="B139" s="5"/>
      <c r="H139" s="16"/>
    </row>
    <row r="140" spans="2:8">
      <c r="B140" s="5"/>
      <c r="H140" s="16"/>
    </row>
    <row r="141" spans="2:8">
      <c r="B141" s="5"/>
      <c r="H141" s="16"/>
    </row>
    <row r="142" spans="2:8">
      <c r="B142" s="5"/>
      <c r="H142" s="16"/>
    </row>
    <row r="143" spans="2:8">
      <c r="B143" s="5"/>
      <c r="H143" s="16"/>
    </row>
    <row r="144" spans="2:8">
      <c r="B144" s="5"/>
      <c r="H144" s="16"/>
    </row>
    <row r="145" spans="2:8">
      <c r="B145" s="5"/>
      <c r="H145" s="16"/>
    </row>
    <row r="146" spans="2:8">
      <c r="B146" s="5"/>
      <c r="H146" s="16"/>
    </row>
    <row r="147" spans="2:8">
      <c r="B147" s="5"/>
      <c r="H147" s="16"/>
    </row>
    <row r="148" spans="2:8">
      <c r="B148" s="5"/>
      <c r="H148" s="16"/>
    </row>
    <row r="149" spans="2:8">
      <c r="B149" s="5"/>
      <c r="H149" s="16"/>
    </row>
    <row r="150" spans="2:8">
      <c r="B150" s="5"/>
      <c r="H150" s="16"/>
    </row>
    <row r="151" spans="2:8">
      <c r="B151" s="5"/>
      <c r="H151" s="16"/>
    </row>
    <row r="152" spans="2:8">
      <c r="B152" s="5"/>
      <c r="H152" s="16"/>
    </row>
    <row r="153" spans="2:8">
      <c r="B153" s="5"/>
      <c r="H153" s="16"/>
    </row>
    <row r="154" spans="2:8">
      <c r="B154" s="5"/>
      <c r="H154" s="16"/>
    </row>
    <row r="155" spans="2:8">
      <c r="B155" s="5"/>
      <c r="H155" s="16"/>
    </row>
    <row r="156" spans="2:8">
      <c r="B156" s="5"/>
      <c r="H156" s="16"/>
    </row>
    <row r="157" spans="2:8">
      <c r="B157" s="5"/>
      <c r="H157" s="16"/>
    </row>
    <row r="158" spans="2:8">
      <c r="B158" s="5"/>
      <c r="H158" s="16"/>
    </row>
    <row r="159" spans="2:8">
      <c r="B159" s="5"/>
      <c r="H159" s="16"/>
    </row>
    <row r="160" spans="2:8">
      <c r="B160" s="5"/>
      <c r="H160" s="16"/>
    </row>
    <row r="161" spans="2:8">
      <c r="B161" s="5"/>
      <c r="H161" s="16"/>
    </row>
    <row r="162" spans="2:8">
      <c r="B162" s="5"/>
      <c r="H162" s="16"/>
    </row>
    <row r="163" spans="2:8">
      <c r="B163" s="5"/>
      <c r="H163" s="16"/>
    </row>
    <row r="164" spans="2:8">
      <c r="B164" s="5"/>
      <c r="H164" s="16"/>
    </row>
    <row r="165" spans="2:8">
      <c r="B165" s="5"/>
      <c r="H165" s="16"/>
    </row>
    <row r="166" spans="2:8">
      <c r="B166" s="5"/>
      <c r="H166" s="16"/>
    </row>
    <row r="167" spans="2:8">
      <c r="B167" s="5"/>
      <c r="H167" s="16"/>
    </row>
    <row r="168" spans="2:8">
      <c r="B168" s="5"/>
      <c r="H168" s="16"/>
    </row>
    <row r="169" spans="2:8">
      <c r="B169" s="5"/>
      <c r="H169" s="16"/>
    </row>
    <row r="170" spans="2:8">
      <c r="B170" s="5"/>
      <c r="H170" s="16"/>
    </row>
    <row r="171" spans="2:8">
      <c r="B171" s="5"/>
      <c r="H171" s="16"/>
    </row>
    <row r="172" spans="2:8">
      <c r="B172" s="5"/>
      <c r="H172" s="16"/>
    </row>
    <row r="173" spans="2:8">
      <c r="B173" s="5"/>
      <c r="H173" s="16"/>
    </row>
    <row r="174" spans="2:8">
      <c r="B174" s="5"/>
      <c r="H174" s="16"/>
    </row>
    <row r="175" spans="2:8">
      <c r="B175" s="5"/>
      <c r="H175" s="16"/>
    </row>
    <row r="176" spans="2:8">
      <c r="B176" s="5"/>
      <c r="H176" s="16"/>
    </row>
    <row r="177" spans="2:8">
      <c r="B177" s="5"/>
      <c r="H177" s="16"/>
    </row>
    <row r="178" spans="2:8">
      <c r="B178" s="5"/>
      <c r="H178" s="16"/>
    </row>
    <row r="179" spans="2:8">
      <c r="B179" s="5"/>
      <c r="H179" s="16"/>
    </row>
    <row r="180" spans="2:8">
      <c r="B180" s="5"/>
      <c r="H180" s="16"/>
    </row>
    <row r="181" spans="2:8">
      <c r="B181" s="5"/>
      <c r="H181" s="16"/>
    </row>
    <row r="182" spans="2:8">
      <c r="B182" s="5"/>
      <c r="H182" s="16"/>
    </row>
    <row r="183" spans="2:8">
      <c r="B183" s="5"/>
      <c r="H183" s="16"/>
    </row>
    <row r="184" spans="2:8">
      <c r="B184" s="5"/>
      <c r="H184" s="16"/>
    </row>
    <row r="185" spans="2:8">
      <c r="B185" s="5"/>
      <c r="H185" s="16"/>
    </row>
    <row r="186" spans="2:8">
      <c r="B186" s="5"/>
      <c r="H186" s="16"/>
    </row>
    <row r="187" spans="2:8">
      <c r="B187" s="5"/>
      <c r="H187" s="16"/>
    </row>
    <row r="188" spans="2:8">
      <c r="B188" s="5"/>
      <c r="H188" s="16"/>
    </row>
    <row r="189" spans="2:8">
      <c r="B189" s="5"/>
      <c r="H189" s="16"/>
    </row>
    <row r="190" spans="2:8">
      <c r="B190" s="5"/>
      <c r="H190" s="16"/>
    </row>
    <row r="191" spans="2:8">
      <c r="B191" s="5"/>
      <c r="H191" s="16"/>
    </row>
    <row r="192" spans="2:8">
      <c r="B192" s="5"/>
      <c r="H192" s="16"/>
    </row>
    <row r="193" spans="2:8">
      <c r="B193" s="5"/>
      <c r="H193" s="16"/>
    </row>
    <row r="194" spans="2:8">
      <c r="B194" s="5"/>
      <c r="H194" s="16"/>
    </row>
    <row r="195" spans="2:8">
      <c r="B195" s="5"/>
      <c r="H195" s="16"/>
    </row>
    <row r="196" spans="2:8">
      <c r="B196" s="5"/>
      <c r="H196" s="16"/>
    </row>
    <row r="197" spans="2:8">
      <c r="B197" s="5"/>
      <c r="H197" s="16"/>
    </row>
    <row r="198" spans="2:8">
      <c r="B198" s="5"/>
      <c r="H198" s="16"/>
    </row>
    <row r="199" spans="2:8">
      <c r="B199" s="5"/>
      <c r="H199" s="16"/>
    </row>
    <row r="200" spans="2:8">
      <c r="B200" s="5"/>
      <c r="H200" s="16"/>
    </row>
    <row r="201" spans="2:8">
      <c r="B201" s="5"/>
      <c r="H201" s="16"/>
    </row>
    <row r="202" spans="2:8">
      <c r="B202" s="5"/>
      <c r="H202" s="16"/>
    </row>
    <row r="203" spans="2:8">
      <c r="B203" s="5"/>
      <c r="H203" s="16"/>
    </row>
    <row r="204" spans="2:8">
      <c r="B204" s="5"/>
      <c r="H204" s="16"/>
    </row>
    <row r="205" spans="2:8">
      <c r="B205" s="5"/>
      <c r="H205" s="16"/>
    </row>
    <row r="206" spans="2:8">
      <c r="B206" s="5"/>
      <c r="H206" s="16"/>
    </row>
    <row r="207" spans="2:8">
      <c r="B207" s="5"/>
      <c r="H207" s="16"/>
    </row>
    <row r="208" spans="2:8">
      <c r="B208" s="5"/>
      <c r="H208" s="16"/>
    </row>
    <row r="209" spans="2:8">
      <c r="B209" s="5"/>
      <c r="H209" s="16"/>
    </row>
    <row r="210" spans="2:8">
      <c r="B210" s="5"/>
      <c r="H210" s="16"/>
    </row>
    <row r="211" spans="2:8">
      <c r="B211" s="5"/>
      <c r="H211" s="16"/>
    </row>
    <row r="212" spans="2:8">
      <c r="B212" s="5"/>
      <c r="H212" s="16"/>
    </row>
    <row r="213" spans="2:8">
      <c r="B213" s="5"/>
      <c r="H213" s="16"/>
    </row>
    <row r="214" spans="2:8">
      <c r="B214" s="5"/>
      <c r="H214" s="16"/>
    </row>
    <row r="215" spans="2:8">
      <c r="B215" s="5"/>
      <c r="H215" s="16"/>
    </row>
    <row r="216" spans="2:8">
      <c r="B216" s="5"/>
      <c r="H216" s="16"/>
    </row>
    <row r="217" spans="2:8">
      <c r="B217" s="5"/>
      <c r="H217" s="16"/>
    </row>
    <row r="218" spans="2:8">
      <c r="B218" s="5"/>
      <c r="H218" s="16"/>
    </row>
    <row r="219" spans="2:8">
      <c r="B219" s="5"/>
      <c r="H219" s="16"/>
    </row>
    <row r="220" spans="2:8">
      <c r="B220" s="5"/>
      <c r="H220" s="16"/>
    </row>
    <row r="221" spans="2:8">
      <c r="B221" s="5"/>
      <c r="H221" s="16"/>
    </row>
    <row r="222" spans="2:8">
      <c r="B222" s="5"/>
      <c r="H222" s="16"/>
    </row>
    <row r="223" spans="2:8">
      <c r="B223" s="5"/>
      <c r="H223" s="16"/>
    </row>
    <row r="224" spans="2:8">
      <c r="B224" s="5"/>
      <c r="H224" s="16"/>
    </row>
    <row r="225" spans="2:8">
      <c r="B225" s="5"/>
      <c r="H225" s="16"/>
    </row>
    <row r="226" spans="2:8">
      <c r="B226" s="5"/>
      <c r="H226" s="16"/>
    </row>
    <row r="227" spans="2:8">
      <c r="B227" s="5"/>
      <c r="H227" s="16"/>
    </row>
    <row r="228" spans="2:8">
      <c r="B228" s="5"/>
      <c r="H228" s="16"/>
    </row>
    <row r="229" spans="2:8">
      <c r="B229" s="5"/>
      <c r="H229" s="16"/>
    </row>
    <row r="230" spans="2:8">
      <c r="B230" s="5"/>
      <c r="H230" s="16"/>
    </row>
    <row r="231" spans="2:8">
      <c r="B231" s="5"/>
      <c r="H231" s="16"/>
    </row>
    <row r="232" spans="2:8">
      <c r="B232" s="5"/>
      <c r="H232" s="16"/>
    </row>
    <row r="233" spans="2:8">
      <c r="B233" s="5"/>
      <c r="H233" s="16"/>
    </row>
    <row r="234" spans="2:8">
      <c r="B234" s="5"/>
      <c r="H234" s="16"/>
    </row>
    <row r="235" spans="2:8">
      <c r="B235" s="5"/>
      <c r="H235" s="16"/>
    </row>
    <row r="236" spans="2:8">
      <c r="B236" s="5"/>
      <c r="H236" s="16"/>
    </row>
    <row r="237" spans="2:8">
      <c r="B237" s="5"/>
      <c r="H237" s="16"/>
    </row>
    <row r="238" spans="2:8">
      <c r="B238" s="5"/>
      <c r="H238" s="16"/>
    </row>
    <row r="239" spans="2:8">
      <c r="B239" s="5"/>
      <c r="H239" s="16"/>
    </row>
    <row r="240" spans="2:8">
      <c r="B240" s="5"/>
      <c r="H240" s="16"/>
    </row>
    <row r="241" spans="2:8">
      <c r="B241" s="5"/>
      <c r="H241" s="16"/>
    </row>
    <row r="242" spans="2:8">
      <c r="B242" s="5"/>
      <c r="H242" s="16"/>
    </row>
    <row r="243" spans="2:8">
      <c r="B243" s="5"/>
      <c r="H243" s="16"/>
    </row>
    <row r="244" spans="2:8">
      <c r="B244" s="5"/>
      <c r="H244" s="16"/>
    </row>
    <row r="245" spans="2:8">
      <c r="B245" s="5"/>
      <c r="H245" s="16"/>
    </row>
    <row r="246" spans="2:8">
      <c r="B246" s="5"/>
      <c r="H246" s="16"/>
    </row>
    <row r="247" spans="2:8">
      <c r="B247" s="5"/>
      <c r="H247" s="16"/>
    </row>
    <row r="248" spans="2:8">
      <c r="B248" s="5"/>
      <c r="H248" s="16"/>
    </row>
    <row r="249" spans="2:8">
      <c r="B249" s="5"/>
      <c r="H249" s="16"/>
    </row>
    <row r="250" spans="2:8">
      <c r="B250" s="5"/>
      <c r="H250" s="16"/>
    </row>
    <row r="251" spans="2:8">
      <c r="B251" s="5"/>
      <c r="H251" s="16"/>
    </row>
    <row r="252" spans="2:8">
      <c r="B252" s="5"/>
      <c r="H252" s="16"/>
    </row>
    <row r="253" spans="2:8">
      <c r="B253" s="5"/>
      <c r="H253" s="16"/>
    </row>
    <row r="254" spans="2:8">
      <c r="B254" s="5"/>
      <c r="H254" s="16"/>
    </row>
    <row r="255" spans="2:8">
      <c r="B255" s="5"/>
      <c r="H255" s="16"/>
    </row>
    <row r="256" spans="2:8">
      <c r="B256" s="5"/>
      <c r="H256" s="16"/>
    </row>
    <row r="257" spans="2:8">
      <c r="B257" s="5"/>
      <c r="H257" s="16"/>
    </row>
    <row r="258" spans="2:8">
      <c r="B258" s="5"/>
      <c r="H258" s="16"/>
    </row>
    <row r="259" spans="2:8">
      <c r="B259" s="5"/>
      <c r="H259" s="16"/>
    </row>
    <row r="260" spans="2:8">
      <c r="B260" s="5"/>
      <c r="H260" s="16"/>
    </row>
    <row r="261" spans="2:8">
      <c r="B261" s="5"/>
      <c r="H261" s="16"/>
    </row>
    <row r="262" spans="2:8">
      <c r="B262" s="5"/>
      <c r="H262" s="16"/>
    </row>
    <row r="263" spans="2:8">
      <c r="B263" s="5"/>
      <c r="H263" s="16"/>
    </row>
    <row r="264" spans="2:8">
      <c r="B264" s="5"/>
      <c r="H264" s="16"/>
    </row>
    <row r="265" spans="2:8">
      <c r="B265" s="5"/>
      <c r="H265" s="16"/>
    </row>
    <row r="266" spans="2:8">
      <c r="B266" s="5"/>
      <c r="H266" s="16"/>
    </row>
    <row r="267" spans="2:8">
      <c r="B267" s="5"/>
      <c r="H267" s="16"/>
    </row>
    <row r="268" spans="2:8">
      <c r="B268" s="5"/>
      <c r="H268" s="16"/>
    </row>
    <row r="269" spans="2:8">
      <c r="B269" s="5"/>
      <c r="H269" s="16"/>
    </row>
    <row r="270" spans="2:8">
      <c r="B270" s="5"/>
      <c r="H270" s="16"/>
    </row>
    <row r="271" spans="2:8">
      <c r="B271" s="5"/>
      <c r="H271" s="16"/>
    </row>
    <row r="272" spans="2:8">
      <c r="B272" s="5"/>
      <c r="H272" s="16"/>
    </row>
    <row r="273" spans="2:8">
      <c r="B273" s="5"/>
      <c r="H273" s="16"/>
    </row>
    <row r="274" spans="2:8">
      <c r="B274" s="5"/>
      <c r="H274" s="16"/>
    </row>
    <row r="275" spans="2:8">
      <c r="B275" s="5"/>
      <c r="H275" s="16"/>
    </row>
    <row r="276" spans="2:8">
      <c r="B276" s="5"/>
      <c r="H276" s="16"/>
    </row>
    <row r="277" spans="2:8">
      <c r="B277" s="5"/>
      <c r="H277" s="16"/>
    </row>
    <row r="278" spans="2:8">
      <c r="B278" s="5"/>
      <c r="H278" s="16"/>
    </row>
    <row r="279" spans="2:8">
      <c r="B279" s="5"/>
      <c r="H279" s="16"/>
    </row>
    <row r="280" spans="2:8">
      <c r="B280" s="5"/>
      <c r="H280" s="16"/>
    </row>
    <row r="281" spans="2:8">
      <c r="B281" s="5"/>
      <c r="H281" s="16"/>
    </row>
    <row r="282" spans="2:8">
      <c r="B282" s="5"/>
      <c r="H282" s="16"/>
    </row>
    <row r="283" spans="2:8">
      <c r="B283" s="5"/>
      <c r="H283" s="16"/>
    </row>
    <row r="284" spans="2:8">
      <c r="B284" s="5"/>
      <c r="H284" s="16"/>
    </row>
    <row r="285" spans="2:8">
      <c r="B285" s="5"/>
      <c r="H285" s="16"/>
    </row>
    <row r="286" spans="2:8">
      <c r="B286" s="5"/>
      <c r="H286" s="16"/>
    </row>
    <row r="287" spans="2:8">
      <c r="B287" s="5"/>
      <c r="H287" s="16"/>
    </row>
    <row r="288" spans="2:8">
      <c r="B288" s="5"/>
      <c r="H288" s="16"/>
    </row>
    <row r="289" spans="2:8">
      <c r="B289" s="5"/>
      <c r="H289" s="16"/>
    </row>
    <row r="290" spans="2:8">
      <c r="B290" s="5"/>
      <c r="H290" s="16"/>
    </row>
    <row r="291" spans="2:8">
      <c r="B291" s="5"/>
      <c r="H291" s="16"/>
    </row>
    <row r="292" spans="2:8">
      <c r="B292" s="5"/>
      <c r="H292" s="16"/>
    </row>
    <row r="293" spans="2:8">
      <c r="B293" s="5"/>
      <c r="H293" s="16"/>
    </row>
    <row r="294" spans="2:8">
      <c r="B294" s="5"/>
      <c r="H294" s="16"/>
    </row>
    <row r="295" spans="2:8">
      <c r="B295" s="5"/>
      <c r="H295" s="16"/>
    </row>
    <row r="296" spans="2:8">
      <c r="B296" s="5"/>
      <c r="H296" s="16"/>
    </row>
    <row r="297" spans="2:8">
      <c r="B297" s="5"/>
      <c r="H297" s="16"/>
    </row>
    <row r="298" spans="2:8">
      <c r="B298" s="5"/>
      <c r="H298" s="16"/>
    </row>
    <row r="299" spans="2:8">
      <c r="B299" s="5"/>
      <c r="H299" s="16"/>
    </row>
    <row r="300" spans="2:8">
      <c r="B300" s="5"/>
      <c r="H300" s="16"/>
    </row>
    <row r="301" spans="2:8">
      <c r="B301" s="5"/>
      <c r="H301" s="16"/>
    </row>
    <row r="302" spans="2:8">
      <c r="B302" s="5"/>
      <c r="H302" s="16"/>
    </row>
    <row r="303" spans="2:8">
      <c r="B303" s="5"/>
      <c r="H303" s="16"/>
    </row>
    <row r="304" spans="2:8">
      <c r="B304" s="5"/>
      <c r="H304" s="16"/>
    </row>
    <row r="305" spans="2:8">
      <c r="B305" s="5"/>
      <c r="H305" s="16"/>
    </row>
    <row r="306" spans="2:8">
      <c r="B306" s="5"/>
      <c r="H306" s="16"/>
    </row>
    <row r="307" spans="2:8">
      <c r="B307" s="5"/>
      <c r="H307" s="16"/>
    </row>
    <row r="308" spans="2:8">
      <c r="B308" s="5"/>
      <c r="H308" s="16"/>
    </row>
    <row r="309" spans="2:8">
      <c r="B309" s="5"/>
      <c r="H309" s="16"/>
    </row>
    <row r="310" spans="2:8">
      <c r="B310" s="5"/>
      <c r="H310" s="16"/>
    </row>
    <row r="311" spans="2:8">
      <c r="B311" s="5"/>
      <c r="H311" s="16"/>
    </row>
    <row r="312" spans="2:8">
      <c r="B312" s="5"/>
      <c r="H312" s="16"/>
    </row>
    <row r="313" spans="2:8">
      <c r="B313" s="5"/>
      <c r="H313" s="16"/>
    </row>
    <row r="314" spans="2:8">
      <c r="B314" s="5"/>
      <c r="H314" s="16"/>
    </row>
    <row r="315" spans="2:8">
      <c r="B315" s="5"/>
      <c r="H315" s="16"/>
    </row>
    <row r="316" spans="2:8">
      <c r="B316" s="5"/>
      <c r="H316" s="16"/>
    </row>
    <row r="317" spans="2:8">
      <c r="B317" s="5"/>
      <c r="H317" s="16"/>
    </row>
    <row r="318" spans="2:8">
      <c r="B318" s="5"/>
      <c r="H318" s="16"/>
    </row>
    <row r="319" spans="2:8">
      <c r="B319" s="5"/>
      <c r="H319" s="16"/>
    </row>
    <row r="320" spans="2:8">
      <c r="B320" s="5"/>
      <c r="H320" s="16"/>
    </row>
    <row r="321" spans="2:8">
      <c r="B321" s="5"/>
      <c r="H321" s="16"/>
    </row>
    <row r="322" spans="2:8">
      <c r="B322" s="5"/>
      <c r="H322" s="16"/>
    </row>
    <row r="323" spans="2:8">
      <c r="B323" s="5"/>
      <c r="H323" s="16"/>
    </row>
    <row r="324" spans="2:8">
      <c r="B324" s="5"/>
      <c r="H324" s="16"/>
    </row>
    <row r="325" spans="2:8">
      <c r="B325" s="5"/>
      <c r="H325" s="16"/>
    </row>
    <row r="326" spans="2:8">
      <c r="B326" s="5"/>
      <c r="H326" s="16"/>
    </row>
    <row r="327" spans="2:8">
      <c r="B327" s="5"/>
      <c r="H327" s="16"/>
    </row>
    <row r="328" spans="2:8">
      <c r="B328" s="5"/>
      <c r="H328" s="16"/>
    </row>
    <row r="329" spans="2:8">
      <c r="B329" s="5"/>
      <c r="H329" s="16"/>
    </row>
    <row r="330" spans="2:8">
      <c r="B330" s="5"/>
      <c r="H330" s="16"/>
    </row>
    <row r="331" spans="2:8">
      <c r="B331" s="5"/>
      <c r="H331" s="16"/>
    </row>
    <row r="332" spans="2:8">
      <c r="B332" s="5"/>
      <c r="H332" s="16"/>
    </row>
    <row r="333" spans="2:8">
      <c r="B333" s="5"/>
      <c r="H333" s="16"/>
    </row>
    <row r="334" spans="2:8">
      <c r="B334" s="5"/>
      <c r="H334" s="16"/>
    </row>
    <row r="335" spans="2:8">
      <c r="B335" s="5"/>
      <c r="H335" s="16"/>
    </row>
    <row r="336" spans="2:8">
      <c r="B336" s="5"/>
      <c r="H336" s="16"/>
    </row>
    <row r="337" spans="2:8">
      <c r="B337" s="5"/>
      <c r="H337" s="16"/>
    </row>
    <row r="338" spans="2:8">
      <c r="B338" s="5"/>
      <c r="H338" s="16"/>
    </row>
    <row r="339" spans="2:8">
      <c r="B339" s="5"/>
      <c r="H339" s="16"/>
    </row>
    <row r="340" spans="2:8">
      <c r="B340" s="5"/>
      <c r="H340" s="16"/>
    </row>
    <row r="341" spans="2:8">
      <c r="B341" s="5"/>
      <c r="H341" s="16"/>
    </row>
    <row r="342" spans="2:8">
      <c r="B342" s="5"/>
      <c r="H342" s="16"/>
    </row>
    <row r="343" spans="2:8">
      <c r="B343" s="5"/>
      <c r="H343" s="16"/>
    </row>
    <row r="344" spans="2:8">
      <c r="B344" s="5"/>
      <c r="H344" s="16"/>
    </row>
    <row r="345" spans="2:8">
      <c r="B345" s="5"/>
      <c r="H345" s="16"/>
    </row>
    <row r="346" spans="2:8">
      <c r="B346" s="5"/>
      <c r="H346" s="16"/>
    </row>
    <row r="347" spans="2:8">
      <c r="B347" s="5"/>
      <c r="H347" s="16"/>
    </row>
    <row r="348" spans="2:8">
      <c r="B348" s="5"/>
      <c r="H348" s="16"/>
    </row>
    <row r="349" spans="2:8">
      <c r="B349" s="5"/>
      <c r="H349" s="16"/>
    </row>
    <row r="350" spans="2:8">
      <c r="B350" s="5"/>
      <c r="H350" s="16"/>
    </row>
    <row r="351" spans="2:8">
      <c r="B351" s="5"/>
      <c r="H351" s="16"/>
    </row>
    <row r="352" spans="2:8">
      <c r="B352" s="5"/>
      <c r="H352" s="16"/>
    </row>
    <row r="353" spans="2:8">
      <c r="B353" s="5"/>
      <c r="H353" s="16"/>
    </row>
    <row r="354" spans="2:8">
      <c r="B354" s="5"/>
      <c r="H354" s="16"/>
    </row>
    <row r="355" spans="2:8">
      <c r="B355" s="5"/>
      <c r="H355" s="16"/>
    </row>
    <row r="356" spans="2:8">
      <c r="B356" s="5"/>
      <c r="H356" s="16"/>
    </row>
    <row r="357" spans="2:8">
      <c r="B357" s="5"/>
      <c r="H357" s="16"/>
    </row>
    <row r="358" spans="2:8">
      <c r="B358" s="5"/>
      <c r="H358" s="16"/>
    </row>
    <row r="359" spans="2:8">
      <c r="B359" s="5"/>
      <c r="H359" s="16"/>
    </row>
    <row r="360" spans="2:8">
      <c r="B360" s="5"/>
      <c r="H360" s="16"/>
    </row>
    <row r="361" spans="2:8">
      <c r="B361" s="5"/>
      <c r="H361" s="16"/>
    </row>
    <row r="362" spans="2:8">
      <c r="B362" s="5"/>
      <c r="H362" s="16"/>
    </row>
    <row r="363" spans="2:8">
      <c r="B363" s="5"/>
      <c r="H363" s="16"/>
    </row>
    <row r="364" spans="2:8">
      <c r="B364" s="5"/>
      <c r="H364" s="16"/>
    </row>
    <row r="365" spans="2:8">
      <c r="B365" s="5"/>
      <c r="H365" s="16"/>
    </row>
    <row r="366" spans="2:8">
      <c r="B366" s="5"/>
      <c r="H366" s="16"/>
    </row>
    <row r="367" spans="2:8">
      <c r="B367" s="5"/>
      <c r="H367" s="16"/>
    </row>
    <row r="368" spans="2:8">
      <c r="B368" s="5"/>
      <c r="H368" s="16"/>
    </row>
    <row r="369" spans="2:8">
      <c r="B369" s="5"/>
      <c r="H369" s="16"/>
    </row>
    <row r="370" spans="2:8">
      <c r="B370" s="5"/>
      <c r="H370" s="16"/>
    </row>
    <row r="371" spans="2:8">
      <c r="B371" s="5"/>
      <c r="H371" s="16"/>
    </row>
    <row r="372" spans="2:8">
      <c r="B372" s="5"/>
      <c r="H372" s="16"/>
    </row>
    <row r="373" spans="2:8">
      <c r="B373" s="5"/>
      <c r="H373" s="16"/>
    </row>
    <row r="374" spans="2:8">
      <c r="B374" s="5"/>
      <c r="H374" s="16"/>
    </row>
    <row r="375" spans="2:8">
      <c r="B375" s="5"/>
      <c r="H375" s="16"/>
    </row>
    <row r="376" spans="2:8">
      <c r="B376" s="5"/>
      <c r="H376" s="16"/>
    </row>
    <row r="377" spans="2:8">
      <c r="B377" s="5"/>
      <c r="H377" s="16"/>
    </row>
    <row r="378" spans="2:8">
      <c r="B378" s="5"/>
      <c r="H378" s="16"/>
    </row>
    <row r="379" spans="2:8">
      <c r="B379" s="5"/>
      <c r="H379" s="16"/>
    </row>
    <row r="380" spans="2:8">
      <c r="B380" s="5"/>
      <c r="H380" s="16"/>
    </row>
    <row r="381" spans="2:8">
      <c r="B381" s="5"/>
      <c r="H381" s="16"/>
    </row>
    <row r="382" spans="2:8">
      <c r="B382" s="5"/>
      <c r="H382" s="16"/>
    </row>
    <row r="383" spans="2:8">
      <c r="B383" s="5"/>
      <c r="H383" s="16"/>
    </row>
    <row r="384" spans="2:8">
      <c r="B384" s="5"/>
      <c r="H384" s="16"/>
    </row>
    <row r="385" spans="2:8">
      <c r="B385" s="5"/>
      <c r="H385" s="16"/>
    </row>
    <row r="386" spans="2:8">
      <c r="B386" s="5"/>
      <c r="H386" s="16"/>
    </row>
    <row r="387" spans="2:8">
      <c r="B387" s="5"/>
      <c r="H387" s="16"/>
    </row>
    <row r="388" spans="2:8">
      <c r="B388" s="5"/>
      <c r="H388" s="16"/>
    </row>
    <row r="389" spans="2:8">
      <c r="B389" s="5"/>
      <c r="H389" s="16"/>
    </row>
    <row r="390" spans="2:8">
      <c r="B390" s="5"/>
      <c r="H390" s="16"/>
    </row>
    <row r="391" spans="2:8">
      <c r="B391" s="5"/>
      <c r="H391" s="16"/>
    </row>
    <row r="392" spans="2:8">
      <c r="B392" s="5"/>
      <c r="H392" s="16"/>
    </row>
    <row r="393" spans="2:8">
      <c r="B393" s="5"/>
      <c r="H393" s="16"/>
    </row>
    <row r="394" spans="2:8">
      <c r="B394" s="5"/>
      <c r="H394" s="16"/>
    </row>
    <row r="395" spans="2:8">
      <c r="B395" s="5"/>
      <c r="H395" s="16"/>
    </row>
    <row r="396" spans="2:8">
      <c r="B396" s="5"/>
      <c r="H396" s="16"/>
    </row>
    <row r="397" spans="2:8">
      <c r="B397" s="5"/>
      <c r="H397" s="16"/>
    </row>
    <row r="398" spans="2:8">
      <c r="B398" s="5"/>
      <c r="H398" s="16"/>
    </row>
    <row r="399" spans="2:8">
      <c r="B399" s="5"/>
      <c r="H399" s="16"/>
    </row>
    <row r="400" spans="2:8">
      <c r="B400" s="5"/>
      <c r="H400" s="16"/>
    </row>
    <row r="401" spans="2:8">
      <c r="B401" s="5"/>
      <c r="H401" s="16"/>
    </row>
    <row r="402" spans="2:8">
      <c r="B402" s="5"/>
      <c r="H402" s="16"/>
    </row>
    <row r="403" spans="2:8">
      <c r="B403" s="5"/>
      <c r="H403" s="16"/>
    </row>
    <row r="404" spans="2:8">
      <c r="B404" s="5"/>
      <c r="H404" s="16"/>
    </row>
    <row r="405" spans="2:8">
      <c r="B405" s="5"/>
      <c r="H405" s="16"/>
    </row>
    <row r="406" spans="2:8">
      <c r="B406" s="5"/>
      <c r="H406" s="16"/>
    </row>
    <row r="407" spans="2:8">
      <c r="B407" s="5"/>
      <c r="H407" s="16"/>
    </row>
    <row r="408" spans="2:8">
      <c r="B408" s="5"/>
      <c r="H408" s="16"/>
    </row>
    <row r="409" spans="2:8">
      <c r="B409" s="5"/>
      <c r="H409" s="16"/>
    </row>
    <row r="410" spans="2:8">
      <c r="B410" s="5"/>
      <c r="H410" s="16"/>
    </row>
    <row r="411" spans="2:8">
      <c r="B411" s="5"/>
      <c r="H411" s="16"/>
    </row>
    <row r="412" spans="2:8">
      <c r="B412" s="5"/>
      <c r="H412" s="16"/>
    </row>
    <row r="413" spans="2:8">
      <c r="B413" s="5"/>
      <c r="H413" s="16"/>
    </row>
    <row r="414" spans="2:8">
      <c r="B414" s="5"/>
      <c r="H414" s="16"/>
    </row>
    <row r="415" spans="2:8">
      <c r="B415" s="5"/>
      <c r="H415" s="16"/>
    </row>
    <row r="416" spans="2:8">
      <c r="B416" s="5"/>
      <c r="H416" s="16"/>
    </row>
    <row r="417" spans="2:8">
      <c r="B417" s="5"/>
      <c r="H417" s="16"/>
    </row>
    <row r="418" spans="2:8">
      <c r="B418" s="5"/>
      <c r="H418" s="16"/>
    </row>
    <row r="419" spans="2:8">
      <c r="B419" s="5"/>
      <c r="H419" s="16"/>
    </row>
    <row r="420" spans="2:8">
      <c r="B420" s="5"/>
      <c r="H420" s="16"/>
    </row>
    <row r="421" spans="2:8">
      <c r="B421" s="5"/>
      <c r="H421" s="16"/>
    </row>
    <row r="422" spans="2:8">
      <c r="B422" s="5"/>
      <c r="H422" s="16"/>
    </row>
    <row r="423" spans="2:8">
      <c r="B423" s="5"/>
      <c r="H423" s="16"/>
    </row>
    <row r="424" spans="2:8">
      <c r="B424" s="5"/>
      <c r="H424" s="16"/>
    </row>
    <row r="425" spans="2:8">
      <c r="B425" s="5"/>
      <c r="H425" s="16"/>
    </row>
    <row r="426" spans="2:8">
      <c r="B426" s="5"/>
      <c r="H426" s="16"/>
    </row>
    <row r="427" spans="2:8">
      <c r="B427" s="5"/>
      <c r="H427" s="16"/>
    </row>
    <row r="428" spans="2:8">
      <c r="B428" s="5"/>
      <c r="H428" s="16"/>
    </row>
    <row r="429" spans="2:8">
      <c r="B429" s="5"/>
      <c r="H429" s="16"/>
    </row>
    <row r="430" spans="2:8">
      <c r="B430" s="5"/>
      <c r="H430" s="16"/>
    </row>
    <row r="431" spans="2:8">
      <c r="B431" s="5"/>
      <c r="H431" s="16"/>
    </row>
    <row r="432" spans="2:8">
      <c r="B432" s="5"/>
      <c r="H432" s="16"/>
    </row>
    <row r="433" spans="2:8">
      <c r="B433" s="5"/>
      <c r="H433" s="16"/>
    </row>
    <row r="434" spans="2:8">
      <c r="B434" s="5"/>
      <c r="H434" s="16"/>
    </row>
    <row r="435" spans="2:8">
      <c r="B435" s="5"/>
      <c r="H435" s="16"/>
    </row>
    <row r="436" spans="2:8">
      <c r="B436" s="5"/>
      <c r="H436" s="16"/>
    </row>
    <row r="437" spans="2:8">
      <c r="B437" s="5"/>
      <c r="H437" s="16"/>
    </row>
    <row r="438" spans="2:8">
      <c r="B438" s="5"/>
      <c r="H438" s="16"/>
    </row>
    <row r="439" spans="2:8">
      <c r="B439" s="5"/>
      <c r="H439" s="16"/>
    </row>
    <row r="440" spans="2:8">
      <c r="B440" s="5"/>
      <c r="H440" s="16"/>
    </row>
    <row r="441" spans="2:8">
      <c r="B441" s="5"/>
      <c r="H441" s="16"/>
    </row>
    <row r="442" spans="2:8">
      <c r="B442" s="5"/>
      <c r="H442" s="16"/>
    </row>
    <row r="443" spans="2:8">
      <c r="B443" s="5"/>
      <c r="H443" s="16"/>
    </row>
    <row r="444" spans="2:8">
      <c r="B444" s="5"/>
      <c r="H444" s="16"/>
    </row>
    <row r="445" spans="2:8">
      <c r="B445" s="5"/>
      <c r="H445" s="16"/>
    </row>
    <row r="446" spans="2:8">
      <c r="B446" s="5"/>
      <c r="H446" s="16"/>
    </row>
    <row r="447" spans="2:8">
      <c r="B447" s="5"/>
      <c r="H447" s="16"/>
    </row>
    <row r="448" spans="2:8">
      <c r="B448" s="5"/>
      <c r="H448" s="16"/>
    </row>
    <row r="449" spans="2:8">
      <c r="B449" s="5"/>
      <c r="H449" s="16"/>
    </row>
    <row r="450" spans="2:8">
      <c r="B450" s="5"/>
      <c r="H450" s="16"/>
    </row>
    <row r="451" spans="2:8">
      <c r="B451" s="5"/>
      <c r="H451" s="16"/>
    </row>
    <row r="452" spans="2:8">
      <c r="B452" s="5"/>
      <c r="H452" s="16"/>
    </row>
    <row r="453" spans="2:8">
      <c r="B453" s="5"/>
      <c r="H453" s="16"/>
    </row>
    <row r="454" spans="2:8">
      <c r="B454" s="5"/>
      <c r="H454" s="16"/>
    </row>
    <row r="455" spans="2:8">
      <c r="B455" s="5"/>
      <c r="H455" s="16"/>
    </row>
    <row r="456" spans="2:8">
      <c r="B456" s="5"/>
      <c r="H456" s="16"/>
    </row>
    <row r="457" spans="2:8">
      <c r="B457" s="5"/>
      <c r="H457" s="16"/>
    </row>
    <row r="458" spans="2:8">
      <c r="B458" s="5"/>
      <c r="H458" s="16"/>
    </row>
    <row r="459" spans="2:8">
      <c r="B459" s="5"/>
      <c r="H459" s="16"/>
    </row>
    <row r="460" spans="2:8">
      <c r="B460" s="5"/>
      <c r="H460" s="16"/>
    </row>
    <row r="461" spans="2:8">
      <c r="B461" s="5"/>
      <c r="H461" s="16"/>
    </row>
    <row r="462" spans="2:8">
      <c r="B462" s="5"/>
      <c r="H462" s="16"/>
    </row>
    <row r="463" spans="2:8">
      <c r="B463" s="5"/>
      <c r="H463" s="16"/>
    </row>
    <row r="464" spans="2:8">
      <c r="B464" s="5"/>
      <c r="H464" s="16"/>
    </row>
    <row r="465" spans="2:8">
      <c r="B465" s="5"/>
      <c r="H465" s="16"/>
    </row>
    <row r="466" spans="2:8">
      <c r="B466" s="5"/>
      <c r="H466" s="16"/>
    </row>
    <row r="467" spans="2:8">
      <c r="B467" s="5"/>
      <c r="H467" s="16"/>
    </row>
    <row r="468" spans="2:8">
      <c r="B468" s="5"/>
      <c r="H468" s="16"/>
    </row>
    <row r="469" spans="2:8">
      <c r="B469" s="5"/>
      <c r="H469" s="16"/>
    </row>
    <row r="470" spans="2:8">
      <c r="B470" s="5"/>
      <c r="H470" s="16"/>
    </row>
    <row r="471" spans="2:8">
      <c r="B471" s="5"/>
      <c r="H471" s="16"/>
    </row>
    <row r="472" spans="2:8">
      <c r="B472" s="5"/>
      <c r="H472" s="16"/>
    </row>
    <row r="473" spans="2:8">
      <c r="B473" s="5"/>
      <c r="H473" s="16"/>
    </row>
    <row r="474" spans="2:8">
      <c r="B474" s="5"/>
      <c r="H474" s="16"/>
    </row>
    <row r="475" spans="2:8">
      <c r="B475" s="5"/>
      <c r="H475" s="16"/>
    </row>
    <row r="476" spans="2:8">
      <c r="B476" s="5"/>
      <c r="H476" s="16"/>
    </row>
    <row r="477" spans="2:8">
      <c r="B477" s="5"/>
      <c r="H477" s="16"/>
    </row>
    <row r="478" spans="2:8">
      <c r="B478" s="5"/>
      <c r="H478" s="16"/>
    </row>
    <row r="479" spans="2:8">
      <c r="B479" s="5"/>
      <c r="H479" s="16"/>
    </row>
    <row r="480" spans="2:8">
      <c r="B480" s="5"/>
      <c r="H480" s="16"/>
    </row>
    <row r="481" spans="2:8">
      <c r="B481" s="5"/>
      <c r="H481" s="16"/>
    </row>
    <row r="482" spans="2:8">
      <c r="B482" s="5"/>
      <c r="H482" s="16"/>
    </row>
    <row r="483" spans="2:8">
      <c r="B483" s="5"/>
      <c r="H483" s="16"/>
    </row>
    <row r="484" spans="2:8">
      <c r="B484" s="5"/>
      <c r="H484" s="16"/>
    </row>
    <row r="485" spans="2:8">
      <c r="B485" s="5"/>
      <c r="H485" s="16"/>
    </row>
    <row r="486" spans="2:8">
      <c r="B486" s="5"/>
      <c r="H486" s="16"/>
    </row>
    <row r="487" spans="2:8">
      <c r="B487" s="5"/>
      <c r="H487" s="16"/>
    </row>
    <row r="488" spans="2:8">
      <c r="B488" s="5"/>
      <c r="H488" s="16"/>
    </row>
    <row r="489" spans="2:8">
      <c r="B489" s="5"/>
      <c r="H489" s="16"/>
    </row>
    <row r="490" spans="2:8">
      <c r="B490" s="5"/>
      <c r="H490" s="16"/>
    </row>
    <row r="491" spans="2:8">
      <c r="B491" s="5"/>
      <c r="H491" s="16"/>
    </row>
    <row r="492" spans="2:8">
      <c r="B492" s="5"/>
      <c r="H492" s="16"/>
    </row>
    <row r="493" spans="2:8">
      <c r="B493" s="5"/>
      <c r="H493" s="16"/>
    </row>
    <row r="494" spans="2:8">
      <c r="B494" s="5"/>
      <c r="H494" s="16"/>
    </row>
    <row r="495" spans="2:8">
      <c r="B495" s="5"/>
      <c r="H495" s="16"/>
    </row>
    <row r="496" spans="2:8">
      <c r="B496" s="5"/>
      <c r="H496" s="16"/>
    </row>
    <row r="497" spans="2:8">
      <c r="B497" s="5"/>
      <c r="H497" s="16"/>
    </row>
    <row r="498" spans="2:8">
      <c r="B498" s="5"/>
      <c r="H498" s="16"/>
    </row>
    <row r="499" spans="2:8">
      <c r="B499" s="5"/>
      <c r="H499" s="16"/>
    </row>
    <row r="500" spans="2:8">
      <c r="B500" s="5"/>
      <c r="H500" s="16"/>
    </row>
    <row r="501" spans="2:8">
      <c r="B501" s="5"/>
      <c r="H501" s="16"/>
    </row>
    <row r="502" spans="2:8">
      <c r="B502" s="5"/>
      <c r="H502" s="16"/>
    </row>
    <row r="503" spans="2:8">
      <c r="B503" s="5"/>
      <c r="H503" s="16"/>
    </row>
    <row r="504" spans="2:8">
      <c r="B504" s="5"/>
      <c r="H504" s="16"/>
    </row>
    <row r="505" spans="2:8">
      <c r="B505" s="5"/>
      <c r="H505" s="16"/>
    </row>
    <row r="506" spans="2:8">
      <c r="B506" s="5"/>
      <c r="H506" s="16"/>
    </row>
    <row r="507" spans="2:8">
      <c r="B507" s="5"/>
      <c r="H507" s="16"/>
    </row>
    <row r="508" spans="2:8">
      <c r="B508" s="5"/>
      <c r="H508" s="16"/>
    </row>
    <row r="509" spans="2:8">
      <c r="B509" s="5"/>
      <c r="H509" s="16"/>
    </row>
    <row r="510" spans="2:8">
      <c r="B510" s="5"/>
      <c r="H510" s="16"/>
    </row>
    <row r="511" spans="2:8">
      <c r="B511" s="5"/>
      <c r="H511" s="16"/>
    </row>
    <row r="512" spans="2:8">
      <c r="B512" s="5"/>
      <c r="H512" s="16"/>
    </row>
    <row r="513" spans="2:8">
      <c r="B513" s="5"/>
      <c r="H513" s="16"/>
    </row>
    <row r="514" spans="2:8">
      <c r="B514" s="5"/>
      <c r="H514" s="16"/>
    </row>
    <row r="515" spans="2:8">
      <c r="B515" s="5"/>
      <c r="H515" s="16"/>
    </row>
    <row r="516" spans="2:8">
      <c r="B516" s="5"/>
      <c r="H516" s="16"/>
    </row>
    <row r="517" spans="2:8">
      <c r="B517" s="5"/>
      <c r="H517" s="16"/>
    </row>
    <row r="518" spans="2:8">
      <c r="B518" s="5"/>
      <c r="H518" s="16"/>
    </row>
    <row r="519" spans="2:8">
      <c r="B519" s="5"/>
      <c r="H519" s="16"/>
    </row>
    <row r="520" spans="2:8">
      <c r="B520" s="5"/>
      <c r="H520" s="16"/>
    </row>
    <row r="521" spans="2:8">
      <c r="B521" s="5"/>
      <c r="H521" s="16"/>
    </row>
    <row r="522" spans="2:8">
      <c r="B522" s="5"/>
      <c r="H522" s="16"/>
    </row>
    <row r="523" spans="2:8">
      <c r="B523" s="5"/>
      <c r="H523" s="16"/>
    </row>
    <row r="524" spans="2:8">
      <c r="B524" s="5"/>
      <c r="H524" s="16"/>
    </row>
    <row r="525" spans="2:8">
      <c r="B525" s="5"/>
      <c r="H525" s="16"/>
    </row>
    <row r="526" spans="2:8">
      <c r="B526" s="5"/>
      <c r="H526" s="16"/>
    </row>
    <row r="527" spans="2:8">
      <c r="B527" s="5"/>
      <c r="H527" s="16"/>
    </row>
    <row r="528" spans="2:8">
      <c r="B528" s="5"/>
      <c r="H528" s="16"/>
    </row>
    <row r="529" spans="2:8">
      <c r="B529" s="5"/>
      <c r="H529" s="16"/>
    </row>
    <row r="530" spans="2:8">
      <c r="B530" s="5"/>
      <c r="H530" s="16"/>
    </row>
    <row r="531" spans="2:8">
      <c r="B531" s="5"/>
      <c r="H531" s="16"/>
    </row>
    <row r="532" spans="2:8">
      <c r="B532" s="5"/>
      <c r="H532" s="16"/>
    </row>
    <row r="533" spans="2:8">
      <c r="B533" s="5"/>
      <c r="H533" s="16"/>
    </row>
    <row r="534" spans="2:8">
      <c r="B534" s="5"/>
      <c r="H534" s="16"/>
    </row>
    <row r="535" spans="2:8">
      <c r="B535" s="5"/>
      <c r="H535" s="16"/>
    </row>
    <row r="536" spans="2:8">
      <c r="B536" s="5"/>
      <c r="H536" s="16"/>
    </row>
    <row r="537" spans="2:8">
      <c r="B537" s="5"/>
      <c r="H537" s="16"/>
    </row>
    <row r="538" spans="2:8">
      <c r="B538" s="5"/>
      <c r="H538" s="16"/>
    </row>
    <row r="539" spans="2:8">
      <c r="B539" s="5"/>
      <c r="H539" s="16"/>
    </row>
    <row r="540" spans="2:8">
      <c r="B540" s="5"/>
      <c r="H540" s="16"/>
    </row>
    <row r="541" spans="2:8">
      <c r="B541" s="5"/>
      <c r="H541" s="16"/>
    </row>
    <row r="542" spans="2:8">
      <c r="B542" s="5"/>
      <c r="H542" s="16"/>
    </row>
    <row r="543" spans="2:8">
      <c r="B543" s="5"/>
      <c r="H543" s="16"/>
    </row>
    <row r="544" spans="2:8">
      <c r="B544" s="5"/>
      <c r="H544" s="16"/>
    </row>
    <row r="545" spans="2:8">
      <c r="B545" s="5"/>
      <c r="H545" s="16"/>
    </row>
    <row r="546" spans="2:8">
      <c r="B546" s="5"/>
      <c r="H546" s="16"/>
    </row>
    <row r="547" spans="2:8">
      <c r="B547" s="5"/>
      <c r="H547" s="16"/>
    </row>
    <row r="548" spans="2:8">
      <c r="B548" s="5"/>
      <c r="H548" s="16"/>
    </row>
    <row r="549" spans="2:8">
      <c r="B549" s="5"/>
      <c r="H549" s="16"/>
    </row>
    <row r="550" spans="2:8">
      <c r="B550" s="5"/>
      <c r="H550" s="16"/>
    </row>
    <row r="551" spans="2:8">
      <c r="B551" s="5"/>
      <c r="H551" s="16"/>
    </row>
    <row r="552" spans="2:8">
      <c r="B552" s="5"/>
      <c r="H552" s="16"/>
    </row>
    <row r="553" spans="2:8">
      <c r="B553" s="5"/>
      <c r="H553" s="16"/>
    </row>
    <row r="554" spans="2:8">
      <c r="B554" s="5"/>
      <c r="H554" s="16"/>
    </row>
    <row r="555" spans="2:8">
      <c r="B555" s="5"/>
      <c r="H555" s="16"/>
    </row>
    <row r="556" spans="2:8">
      <c r="B556" s="5"/>
      <c r="H556" s="16"/>
    </row>
    <row r="557" spans="2:8">
      <c r="B557" s="5"/>
      <c r="H557" s="16"/>
    </row>
    <row r="558" spans="2:8">
      <c r="B558" s="5"/>
      <c r="H558" s="16"/>
    </row>
    <row r="559" spans="2:8">
      <c r="B559" s="5"/>
      <c r="H559" s="16"/>
    </row>
    <row r="560" spans="2:8">
      <c r="B560" s="5"/>
      <c r="H560" s="16"/>
    </row>
    <row r="561" spans="2:8">
      <c r="B561" s="5"/>
      <c r="H561" s="16"/>
    </row>
    <row r="562" spans="2:8">
      <c r="B562" s="5"/>
      <c r="H562" s="16"/>
    </row>
    <row r="563" spans="2:8">
      <c r="B563" s="5"/>
      <c r="H563" s="16"/>
    </row>
    <row r="564" spans="2:8">
      <c r="B564" s="5"/>
      <c r="H564" s="16"/>
    </row>
    <row r="565" spans="2:8">
      <c r="B565" s="5"/>
      <c r="H565" s="16"/>
    </row>
    <row r="566" spans="2:8">
      <c r="B566" s="5"/>
      <c r="H566" s="16"/>
    </row>
    <row r="567" spans="2:8">
      <c r="B567" s="5"/>
      <c r="H567" s="16"/>
    </row>
    <row r="568" spans="2:8">
      <c r="B568" s="5"/>
      <c r="H568" s="16"/>
    </row>
    <row r="569" spans="2:8">
      <c r="B569" s="5"/>
      <c r="H569" s="16"/>
    </row>
    <row r="570" spans="2:8">
      <c r="B570" s="5"/>
      <c r="H570" s="16"/>
    </row>
    <row r="571" spans="2:8">
      <c r="B571" s="5"/>
      <c r="H571" s="16"/>
    </row>
    <row r="572" spans="2:8">
      <c r="B572" s="5"/>
      <c r="H572" s="16"/>
    </row>
    <row r="573" spans="2:8">
      <c r="B573" s="5"/>
      <c r="H573" s="16"/>
    </row>
    <row r="574" spans="2:8">
      <c r="B574" s="5"/>
      <c r="H574" s="16"/>
    </row>
    <row r="575" spans="2:8">
      <c r="B575" s="5"/>
      <c r="H575" s="16"/>
    </row>
    <row r="576" spans="2:8">
      <c r="B576" s="5"/>
      <c r="H576" s="16"/>
    </row>
    <row r="577" spans="2:8">
      <c r="B577" s="5"/>
      <c r="H577" s="16"/>
    </row>
    <row r="578" spans="2:8">
      <c r="B578" s="5"/>
      <c r="H578" s="16"/>
    </row>
    <row r="579" spans="2:8">
      <c r="B579" s="5"/>
      <c r="H579" s="16"/>
    </row>
    <row r="580" spans="2:8">
      <c r="B580" s="5"/>
      <c r="H580" s="16"/>
    </row>
    <row r="581" spans="2:8">
      <c r="B581" s="5"/>
      <c r="H581" s="16"/>
    </row>
    <row r="582" spans="2:8">
      <c r="B582" s="5"/>
      <c r="H582" s="16"/>
    </row>
    <row r="583" spans="2:8">
      <c r="B583" s="5"/>
      <c r="H583" s="16"/>
    </row>
    <row r="584" spans="2:8">
      <c r="B584" s="5"/>
      <c r="H584" s="16"/>
    </row>
    <row r="585" spans="2:8">
      <c r="B585" s="5"/>
      <c r="H585" s="16"/>
    </row>
    <row r="586" spans="2:8">
      <c r="B586" s="5"/>
      <c r="H586" s="16"/>
    </row>
    <row r="587" spans="2:8">
      <c r="B587" s="5"/>
      <c r="H587" s="16"/>
    </row>
    <row r="588" spans="2:8">
      <c r="B588" s="5"/>
      <c r="H588" s="16"/>
    </row>
    <row r="589" spans="2:8">
      <c r="B589" s="5"/>
      <c r="H589" s="16"/>
    </row>
    <row r="590" spans="2:8">
      <c r="B590" s="5"/>
      <c r="H590" s="16"/>
    </row>
    <row r="591" spans="2:8">
      <c r="B591" s="5"/>
      <c r="H591" s="16"/>
    </row>
    <row r="592" spans="2:8">
      <c r="B592" s="5"/>
      <c r="H592" s="16"/>
    </row>
    <row r="593" spans="2:8">
      <c r="B593" s="5"/>
      <c r="H593" s="16"/>
    </row>
    <row r="594" spans="2:8">
      <c r="B594" s="5"/>
      <c r="H594" s="16"/>
    </row>
    <row r="595" spans="2:8">
      <c r="B595" s="5"/>
      <c r="H595" s="16"/>
    </row>
    <row r="596" spans="2:8">
      <c r="B596" s="5"/>
      <c r="H596" s="16"/>
    </row>
    <row r="597" spans="2:8">
      <c r="B597" s="5"/>
      <c r="H597" s="16"/>
    </row>
    <row r="598" spans="2:8">
      <c r="B598" s="5"/>
      <c r="H598" s="16"/>
    </row>
    <row r="599" spans="2:8">
      <c r="B599" s="5"/>
      <c r="H599" s="16"/>
    </row>
    <row r="600" spans="2:8">
      <c r="B600" s="5"/>
      <c r="H600" s="16"/>
    </row>
    <row r="601" spans="2:8">
      <c r="B601" s="5"/>
      <c r="H601" s="16"/>
    </row>
    <row r="602" spans="2:8">
      <c r="B602" s="5"/>
      <c r="H602" s="16"/>
    </row>
    <row r="603" spans="2:8">
      <c r="B603" s="5"/>
      <c r="H603" s="16"/>
    </row>
    <row r="604" spans="2:8">
      <c r="B604" s="5"/>
      <c r="H604" s="16"/>
    </row>
    <row r="605" spans="2:8">
      <c r="B605" s="5"/>
      <c r="H605" s="16"/>
    </row>
    <row r="606" spans="2:8">
      <c r="B606" s="5"/>
      <c r="H606" s="16"/>
    </row>
    <row r="607" spans="2:8">
      <c r="B607" s="5"/>
      <c r="H607" s="16"/>
    </row>
    <row r="608" spans="2:8">
      <c r="B608" s="5"/>
      <c r="H608" s="16"/>
    </row>
    <row r="609" spans="2:8">
      <c r="B609" s="5"/>
      <c r="H609" s="16"/>
    </row>
    <row r="610" spans="2:8">
      <c r="B610" s="5"/>
      <c r="H610" s="16"/>
    </row>
    <row r="611" spans="2:8">
      <c r="B611" s="5"/>
      <c r="H611" s="16"/>
    </row>
    <row r="612" spans="2:8">
      <c r="B612" s="5"/>
      <c r="H612" s="16"/>
    </row>
    <row r="613" spans="2:8">
      <c r="B613" s="5"/>
      <c r="H613" s="16"/>
    </row>
    <row r="614" spans="2:8">
      <c r="B614" s="5"/>
      <c r="H614" s="16"/>
    </row>
    <row r="615" spans="2:8">
      <c r="B615" s="5"/>
      <c r="H615" s="16"/>
    </row>
    <row r="616" spans="2:8">
      <c r="B616" s="5"/>
      <c r="H616" s="16"/>
    </row>
    <row r="617" spans="2:8">
      <c r="B617" s="5"/>
      <c r="H617" s="16"/>
    </row>
    <row r="618" spans="2:8">
      <c r="B618" s="5"/>
      <c r="H618" s="16"/>
    </row>
    <row r="619" spans="2:8">
      <c r="B619" s="5"/>
      <c r="H619" s="16"/>
    </row>
    <row r="620" spans="2:8">
      <c r="B620" s="5"/>
      <c r="H620" s="16"/>
    </row>
    <row r="621" spans="2:8">
      <c r="B621" s="5"/>
      <c r="H621" s="16"/>
    </row>
    <row r="622" spans="2:8">
      <c r="B622" s="5"/>
      <c r="H622" s="16"/>
    </row>
    <row r="623" spans="2:8">
      <c r="B623" s="5"/>
      <c r="H623" s="16"/>
    </row>
    <row r="624" spans="2:8">
      <c r="B624" s="5"/>
      <c r="H624" s="16"/>
    </row>
    <row r="625" spans="2:8">
      <c r="B625" s="5"/>
      <c r="H625" s="16"/>
    </row>
    <row r="626" spans="2:8">
      <c r="B626" s="5"/>
      <c r="H626" s="16"/>
    </row>
    <row r="627" spans="2:8">
      <c r="B627" s="5"/>
      <c r="H627" s="16"/>
    </row>
    <row r="628" spans="2:8">
      <c r="B628" s="5"/>
      <c r="H628" s="16"/>
    </row>
    <row r="629" spans="2:8">
      <c r="B629" s="5"/>
      <c r="H629" s="16"/>
    </row>
    <row r="630" spans="2:8">
      <c r="B630" s="5"/>
      <c r="H630" s="16"/>
    </row>
    <row r="631" spans="2:8">
      <c r="B631" s="5"/>
      <c r="H631" s="16"/>
    </row>
    <row r="632" spans="2:8">
      <c r="B632" s="5"/>
      <c r="H632" s="16"/>
    </row>
    <row r="633" spans="2:8">
      <c r="B633" s="5"/>
      <c r="H633" s="16"/>
    </row>
    <row r="634" spans="2:8">
      <c r="B634" s="5"/>
      <c r="H634" s="16"/>
    </row>
    <row r="635" spans="2:8">
      <c r="B635" s="5"/>
      <c r="H635" s="16"/>
    </row>
    <row r="636" spans="2:8">
      <c r="B636" s="5"/>
      <c r="H636" s="16"/>
    </row>
    <row r="637" spans="2:8">
      <c r="B637" s="5"/>
      <c r="H637" s="16"/>
    </row>
    <row r="638" spans="2:8">
      <c r="B638" s="5"/>
      <c r="H638" s="16"/>
    </row>
    <row r="639" spans="2:8">
      <c r="B639" s="5"/>
      <c r="H639" s="16"/>
    </row>
    <row r="640" spans="2:8">
      <c r="B640" s="5"/>
      <c r="H640" s="16"/>
    </row>
    <row r="641" spans="2:8">
      <c r="B641" s="5"/>
      <c r="H641" s="16"/>
    </row>
    <row r="642" spans="2:8">
      <c r="B642" s="5"/>
      <c r="H642" s="16"/>
    </row>
    <row r="643" spans="2:8">
      <c r="B643" s="5"/>
      <c r="H643" s="16"/>
    </row>
    <row r="644" spans="2:8">
      <c r="B644" s="5"/>
      <c r="H644" s="16"/>
    </row>
    <row r="645" spans="2:8">
      <c r="B645" s="5"/>
      <c r="H645" s="16"/>
    </row>
    <row r="646" spans="2:8">
      <c r="B646" s="5"/>
      <c r="H646" s="16"/>
    </row>
    <row r="647" spans="2:8">
      <c r="B647" s="5"/>
      <c r="H647" s="16"/>
    </row>
    <row r="648" spans="2:8">
      <c r="B648" s="5"/>
      <c r="H648" s="16"/>
    </row>
    <row r="649" spans="2:8">
      <c r="B649" s="5"/>
      <c r="H649" s="16"/>
    </row>
    <row r="650" spans="2:8">
      <c r="B650" s="5"/>
      <c r="H650" s="16"/>
    </row>
    <row r="651" spans="2:8">
      <c r="B651" s="5"/>
      <c r="H651" s="16"/>
    </row>
    <row r="652" spans="2:8">
      <c r="B652" s="5"/>
      <c r="H652" s="16"/>
    </row>
    <row r="653" spans="2:8">
      <c r="B653" s="5"/>
      <c r="H653" s="16"/>
    </row>
    <row r="654" spans="2:8">
      <c r="B654" s="5"/>
      <c r="H654" s="16"/>
    </row>
    <row r="655" spans="2:8">
      <c r="B655" s="5"/>
      <c r="H655" s="16"/>
    </row>
    <row r="656" spans="2:8">
      <c r="B656" s="5"/>
      <c r="H656" s="16"/>
    </row>
    <row r="657" spans="2:8">
      <c r="B657" s="5"/>
      <c r="H657" s="16"/>
    </row>
    <row r="658" spans="2:8">
      <c r="B658" s="5"/>
      <c r="H658" s="16"/>
    </row>
    <row r="659" spans="2:8">
      <c r="B659" s="5"/>
      <c r="H659" s="16"/>
    </row>
    <row r="660" spans="2:8">
      <c r="B660" s="5"/>
      <c r="H660" s="16"/>
    </row>
    <row r="661" spans="2:8">
      <c r="B661" s="5"/>
      <c r="H661" s="16"/>
    </row>
    <row r="662" spans="2:8">
      <c r="B662" s="5"/>
      <c r="H662" s="16"/>
    </row>
    <row r="663" spans="2:8">
      <c r="B663" s="5"/>
      <c r="H663" s="16"/>
    </row>
    <row r="664" spans="2:8">
      <c r="B664" s="5"/>
      <c r="H664" s="16"/>
    </row>
    <row r="665" spans="2:8">
      <c r="B665" s="5"/>
      <c r="H665" s="16"/>
    </row>
    <row r="666" spans="2:8">
      <c r="B666" s="5"/>
      <c r="H666" s="16"/>
    </row>
    <row r="667" spans="2:8">
      <c r="B667" s="5"/>
      <c r="H667" s="16"/>
    </row>
    <row r="668" spans="2:8">
      <c r="B668" s="5"/>
      <c r="H668" s="16"/>
    </row>
    <row r="669" spans="2:8">
      <c r="B669" s="5"/>
      <c r="H669" s="16"/>
    </row>
    <row r="670" spans="2:8">
      <c r="B670" s="5"/>
      <c r="H670" s="16"/>
    </row>
    <row r="671" spans="2:8">
      <c r="B671" s="5"/>
      <c r="H671" s="16"/>
    </row>
    <row r="672" spans="2:8">
      <c r="B672" s="5"/>
      <c r="H672" s="16"/>
    </row>
    <row r="673" spans="2:8">
      <c r="B673" s="5"/>
      <c r="H673" s="16"/>
    </row>
    <row r="674" spans="2:8">
      <c r="B674" s="5"/>
      <c r="H674" s="16"/>
    </row>
    <row r="675" spans="2:8">
      <c r="B675" s="5"/>
      <c r="H675" s="16"/>
    </row>
    <row r="676" spans="2:8">
      <c r="B676" s="5"/>
      <c r="H676" s="16"/>
    </row>
    <row r="677" spans="2:8">
      <c r="B677" s="5"/>
      <c r="H677" s="16"/>
    </row>
    <row r="678" spans="2:8">
      <c r="B678" s="5"/>
      <c r="H678" s="16"/>
    </row>
    <row r="679" spans="2:8">
      <c r="B679" s="5"/>
      <c r="H679" s="16"/>
    </row>
    <row r="680" spans="2:8">
      <c r="B680" s="5"/>
      <c r="H680" s="16"/>
    </row>
    <row r="681" spans="2:8">
      <c r="B681" s="5"/>
      <c r="H681" s="16"/>
    </row>
    <row r="682" spans="2:8">
      <c r="B682" s="5"/>
      <c r="H682" s="16"/>
    </row>
    <row r="683" spans="2:8">
      <c r="B683" s="5"/>
      <c r="H683" s="16"/>
    </row>
    <row r="684" spans="2:8">
      <c r="B684" s="5"/>
      <c r="H684" s="16"/>
    </row>
    <row r="685" spans="2:8">
      <c r="B685" s="5"/>
      <c r="H685" s="16"/>
    </row>
    <row r="686" spans="2:8">
      <c r="B686" s="5"/>
      <c r="H686" s="16"/>
    </row>
    <row r="687" spans="2:8">
      <c r="B687" s="5"/>
      <c r="H687" s="16"/>
    </row>
    <row r="688" spans="2:8">
      <c r="B688" s="5"/>
      <c r="H688" s="16"/>
    </row>
    <row r="689" spans="2:8">
      <c r="B689" s="5"/>
      <c r="H689" s="16"/>
    </row>
    <row r="690" spans="2:8">
      <c r="B690" s="5"/>
      <c r="H690" s="16"/>
    </row>
    <row r="691" spans="2:8">
      <c r="B691" s="5"/>
      <c r="H691" s="16"/>
    </row>
    <row r="692" spans="2:8">
      <c r="B692" s="5"/>
      <c r="H692" s="16"/>
    </row>
    <row r="693" spans="2:8">
      <c r="B693" s="5"/>
      <c r="H693" s="16"/>
    </row>
    <row r="694" spans="2:8">
      <c r="B694" s="5"/>
      <c r="H694" s="16"/>
    </row>
    <row r="695" spans="2:8">
      <c r="B695" s="5"/>
      <c r="H695" s="16"/>
    </row>
    <row r="696" spans="2:8">
      <c r="B696" s="5"/>
      <c r="H696" s="16"/>
    </row>
    <row r="697" spans="2:8">
      <c r="B697" s="5"/>
      <c r="H697" s="16"/>
    </row>
    <row r="698" spans="2:8">
      <c r="B698" s="5"/>
      <c r="H698" s="16"/>
    </row>
    <row r="699" spans="2:8">
      <c r="B699" s="5"/>
      <c r="H699" s="16"/>
    </row>
    <row r="700" spans="2:8">
      <c r="B700" s="5"/>
      <c r="H700" s="16"/>
    </row>
    <row r="701" spans="2:8">
      <c r="B701" s="5"/>
      <c r="H701" s="16"/>
    </row>
    <row r="702" spans="2:8">
      <c r="B702" s="5"/>
      <c r="H702" s="16"/>
    </row>
    <row r="703" spans="2:8">
      <c r="B703" s="5"/>
      <c r="H703" s="16"/>
    </row>
    <row r="704" spans="2:8">
      <c r="B704" s="5"/>
      <c r="H704" s="16"/>
    </row>
    <row r="705" spans="2:8">
      <c r="B705" s="5"/>
      <c r="H705" s="16"/>
    </row>
    <row r="706" spans="2:8">
      <c r="B706" s="5"/>
      <c r="H706" s="16"/>
    </row>
    <row r="707" spans="2:8">
      <c r="B707" s="5"/>
      <c r="H707" s="16"/>
    </row>
    <row r="708" spans="2:8">
      <c r="B708" s="5"/>
      <c r="H708" s="16"/>
    </row>
    <row r="709" spans="2:8">
      <c r="B709" s="5"/>
      <c r="H709" s="16"/>
    </row>
    <row r="710" spans="2:8">
      <c r="B710" s="5"/>
      <c r="H710" s="16"/>
    </row>
    <row r="711" spans="2:8">
      <c r="B711" s="5"/>
      <c r="H711" s="16"/>
    </row>
    <row r="712" spans="2:8">
      <c r="B712" s="5"/>
      <c r="H712" s="16"/>
    </row>
    <row r="713" spans="2:8">
      <c r="B713" s="5"/>
      <c r="H713" s="16"/>
    </row>
    <row r="714" spans="2:8">
      <c r="B714" s="5"/>
      <c r="H714" s="16"/>
    </row>
    <row r="715" spans="2:8">
      <c r="B715" s="5"/>
      <c r="H715" s="16"/>
    </row>
    <row r="716" spans="2:8">
      <c r="B716" s="5"/>
      <c r="H716" s="16"/>
    </row>
    <row r="717" spans="2:8">
      <c r="B717" s="5"/>
      <c r="H717" s="16"/>
    </row>
    <row r="718" spans="2:8">
      <c r="B718" s="5"/>
      <c r="H718" s="16"/>
    </row>
    <row r="719" spans="2:8">
      <c r="B719" s="5"/>
      <c r="H719" s="16"/>
    </row>
    <row r="720" spans="2:8">
      <c r="B720" s="5"/>
      <c r="H720" s="16"/>
    </row>
    <row r="721" spans="2:8">
      <c r="B721" s="5"/>
      <c r="H721" s="16"/>
    </row>
    <row r="722" spans="2:8">
      <c r="B722" s="5"/>
      <c r="H722" s="16"/>
    </row>
    <row r="723" spans="2:8">
      <c r="B723" s="5"/>
      <c r="H723" s="16"/>
    </row>
    <row r="724" spans="2:8">
      <c r="B724" s="5"/>
      <c r="H724" s="16"/>
    </row>
    <row r="725" spans="2:8">
      <c r="B725" s="5"/>
      <c r="H725" s="16"/>
    </row>
    <row r="726" spans="2:8">
      <c r="B726" s="5"/>
      <c r="H726" s="16"/>
    </row>
    <row r="727" spans="2:8">
      <c r="B727" s="5"/>
      <c r="H727" s="16"/>
    </row>
    <row r="728" spans="2:8">
      <c r="B728" s="5"/>
      <c r="H728" s="16"/>
    </row>
    <row r="729" spans="2:8">
      <c r="B729" s="5"/>
      <c r="H729" s="16"/>
    </row>
    <row r="730" spans="2:8">
      <c r="B730" s="5"/>
      <c r="H730" s="16"/>
    </row>
    <row r="731" spans="2:8">
      <c r="B731" s="5"/>
      <c r="H731" s="16"/>
    </row>
    <row r="732" spans="2:8">
      <c r="B732" s="5"/>
      <c r="H732" s="16"/>
    </row>
    <row r="733" spans="2:8">
      <c r="B733" s="5"/>
      <c r="H733" s="16"/>
    </row>
    <row r="734" spans="2:8">
      <c r="B734" s="5"/>
      <c r="H734" s="16"/>
    </row>
    <row r="735" spans="2:8">
      <c r="B735" s="5"/>
      <c r="H735" s="16"/>
    </row>
    <row r="736" spans="2:8">
      <c r="B736" s="5"/>
      <c r="H736" s="16"/>
    </row>
    <row r="737" spans="2:8">
      <c r="B737" s="5"/>
      <c r="H737" s="16"/>
    </row>
    <row r="738" spans="2:8">
      <c r="B738" s="5"/>
      <c r="H738" s="16"/>
    </row>
    <row r="739" spans="2:8">
      <c r="B739" s="5"/>
      <c r="H739" s="16"/>
    </row>
    <row r="740" spans="2:8">
      <c r="B740" s="5"/>
      <c r="H740" s="16"/>
    </row>
    <row r="741" spans="2:8">
      <c r="B741" s="5"/>
      <c r="H741" s="16"/>
    </row>
    <row r="742" spans="2:8">
      <c r="B742" s="5"/>
      <c r="H742" s="16"/>
    </row>
    <row r="743" spans="2:8">
      <c r="B743" s="5"/>
      <c r="H743" s="16"/>
    </row>
    <row r="744" spans="2:8">
      <c r="B744" s="5"/>
      <c r="H744" s="16"/>
    </row>
    <row r="745" spans="2:8">
      <c r="B745" s="5"/>
      <c r="H745" s="16"/>
    </row>
    <row r="746" spans="2:8">
      <c r="B746" s="5"/>
      <c r="H746" s="16"/>
    </row>
    <row r="747" spans="2:8">
      <c r="B747" s="5"/>
      <c r="H747" s="16"/>
    </row>
    <row r="748" spans="2:8">
      <c r="B748" s="5"/>
      <c r="H748" s="16"/>
    </row>
    <row r="749" spans="2:8">
      <c r="B749" s="5"/>
      <c r="H749" s="16"/>
    </row>
    <row r="750" spans="2:8">
      <c r="B750" s="5"/>
      <c r="H750" s="16"/>
    </row>
    <row r="751" spans="2:8">
      <c r="B751" s="5"/>
      <c r="H751" s="16"/>
    </row>
    <row r="752" spans="2:8">
      <c r="B752" s="5"/>
      <c r="H752" s="16"/>
    </row>
    <row r="753" spans="2:8">
      <c r="B753" s="5"/>
      <c r="H753" s="16"/>
    </row>
    <row r="754" spans="2:8">
      <c r="B754" s="5"/>
      <c r="H754" s="16"/>
    </row>
    <row r="755" spans="2:8">
      <c r="B755" s="5"/>
      <c r="H755" s="16"/>
    </row>
    <row r="756" spans="2:8">
      <c r="B756" s="5"/>
      <c r="H756" s="16"/>
    </row>
    <row r="757" spans="2:8">
      <c r="B757" s="5"/>
      <c r="H757" s="16"/>
    </row>
    <row r="758" spans="2:8">
      <c r="B758" s="5"/>
      <c r="H758" s="16"/>
    </row>
    <row r="759" spans="2:8">
      <c r="B759" s="5"/>
      <c r="H759" s="16"/>
    </row>
    <row r="760" spans="2:8">
      <c r="B760" s="5"/>
      <c r="H760" s="16"/>
    </row>
    <row r="761" spans="2:8">
      <c r="B761" s="5"/>
      <c r="H761" s="16"/>
    </row>
    <row r="762" spans="2:8">
      <c r="B762" s="5"/>
      <c r="H762" s="16"/>
    </row>
    <row r="763" spans="2:8">
      <c r="B763" s="5"/>
      <c r="H763" s="16"/>
    </row>
    <row r="764" spans="2:8">
      <c r="B764" s="5"/>
      <c r="H764" s="16"/>
    </row>
    <row r="765" spans="2:8">
      <c r="B765" s="5"/>
      <c r="H765" s="16"/>
    </row>
    <row r="766" spans="2:8">
      <c r="B766" s="5"/>
      <c r="H766" s="16"/>
    </row>
    <row r="767" spans="2:8">
      <c r="B767" s="5"/>
      <c r="H767" s="16"/>
    </row>
    <row r="768" spans="2:8">
      <c r="B768" s="5"/>
      <c r="H768" s="16"/>
    </row>
    <row r="769" spans="2:8">
      <c r="B769" s="5"/>
      <c r="H769" s="16"/>
    </row>
    <row r="770" spans="2:8">
      <c r="B770" s="5"/>
      <c r="H770" s="16"/>
    </row>
    <row r="771" spans="2:8">
      <c r="B771" s="5"/>
      <c r="H771" s="16"/>
    </row>
    <row r="772" spans="2:8">
      <c r="B772" s="5"/>
      <c r="H772" s="16"/>
    </row>
    <row r="773" spans="2:8">
      <c r="B773" s="5"/>
      <c r="H773" s="16"/>
    </row>
    <row r="774" spans="2:8">
      <c r="B774" s="5"/>
      <c r="H774" s="16"/>
    </row>
    <row r="775" spans="2:8">
      <c r="B775" s="5"/>
      <c r="H775" s="16"/>
    </row>
    <row r="776" spans="2:8">
      <c r="B776" s="5"/>
      <c r="H776" s="16"/>
    </row>
    <row r="777" spans="2:8">
      <c r="B777" s="5"/>
      <c r="H777" s="16"/>
    </row>
    <row r="778" spans="2:8">
      <c r="B778" s="5"/>
      <c r="H778" s="16"/>
    </row>
    <row r="779" spans="2:8">
      <c r="B779" s="5"/>
      <c r="H779" s="16"/>
    </row>
    <row r="780" spans="2:8">
      <c r="B780" s="5"/>
      <c r="H780" s="16"/>
    </row>
    <row r="781" spans="2:8">
      <c r="B781" s="5"/>
      <c r="H781" s="16"/>
    </row>
    <row r="782" spans="2:8">
      <c r="B782" s="5"/>
      <c r="H782" s="16"/>
    </row>
    <row r="783" spans="2:8">
      <c r="B783" s="5"/>
      <c r="H783" s="16"/>
    </row>
    <row r="784" spans="2:8">
      <c r="B784" s="5"/>
      <c r="H784" s="16"/>
    </row>
    <row r="785" spans="2:8">
      <c r="B785" s="5"/>
      <c r="H785" s="16"/>
    </row>
    <row r="786" spans="2:8">
      <c r="B786" s="5"/>
      <c r="H786" s="16"/>
    </row>
    <row r="787" spans="2:8">
      <c r="B787" s="5"/>
      <c r="H787" s="16"/>
    </row>
    <row r="788" spans="2:8">
      <c r="B788" s="5"/>
      <c r="H788" s="16"/>
    </row>
    <row r="789" spans="2:8">
      <c r="B789" s="5"/>
      <c r="H789" s="16"/>
    </row>
    <row r="790" spans="2:8">
      <c r="B790" s="5"/>
      <c r="H790" s="16"/>
    </row>
    <row r="791" spans="2:8">
      <c r="B791" s="5"/>
      <c r="H791" s="16"/>
    </row>
    <row r="792" spans="2:8">
      <c r="B792" s="5"/>
      <c r="H792" s="16"/>
    </row>
    <row r="793" spans="2:8">
      <c r="B793" s="5"/>
      <c r="H793" s="16"/>
    </row>
    <row r="794" spans="2:8">
      <c r="B794" s="5"/>
      <c r="H794" s="16"/>
    </row>
    <row r="795" spans="2:8">
      <c r="B795" s="5"/>
      <c r="H795" s="16"/>
    </row>
    <row r="796" spans="2:8">
      <c r="B796" s="5"/>
      <c r="H796" s="16"/>
    </row>
    <row r="797" spans="2:8">
      <c r="B797" s="5"/>
      <c r="H797" s="16"/>
    </row>
    <row r="798" spans="2:8">
      <c r="B798" s="5"/>
      <c r="H798" s="16"/>
    </row>
    <row r="799" spans="2:8">
      <c r="B799" s="5"/>
      <c r="H799" s="16"/>
    </row>
    <row r="800" spans="2:8">
      <c r="B800" s="5"/>
      <c r="H800" s="16"/>
    </row>
    <row r="801" spans="2:8">
      <c r="B801" s="5"/>
      <c r="H801" s="16"/>
    </row>
    <row r="802" spans="2:8">
      <c r="B802" s="5"/>
      <c r="H802" s="16"/>
    </row>
    <row r="803" spans="2:8">
      <c r="B803" s="5"/>
      <c r="H803" s="16"/>
    </row>
    <row r="804" spans="2:8">
      <c r="B804" s="5"/>
      <c r="H804" s="16"/>
    </row>
    <row r="805" spans="2:8">
      <c r="B805" s="5"/>
      <c r="H805" s="16"/>
    </row>
    <row r="806" spans="2:8">
      <c r="B806" s="5"/>
      <c r="H806" s="16"/>
    </row>
    <row r="807" spans="2:8">
      <c r="B807" s="5"/>
      <c r="H807" s="16"/>
    </row>
    <row r="808" spans="2:8">
      <c r="B808" s="5"/>
      <c r="H808" s="16"/>
    </row>
    <row r="809" spans="2:8">
      <c r="B809" s="5"/>
      <c r="H809" s="16"/>
    </row>
    <row r="810" spans="2:8">
      <c r="B810" s="5"/>
      <c r="H810" s="16"/>
    </row>
    <row r="811" spans="2:8">
      <c r="B811" s="5"/>
      <c r="H811" s="16"/>
    </row>
    <row r="812" spans="2:8">
      <c r="B812" s="5"/>
      <c r="H812" s="16"/>
    </row>
    <row r="813" spans="2:8">
      <c r="B813" s="5"/>
      <c r="H813" s="16"/>
    </row>
    <row r="814" spans="2:8">
      <c r="B814" s="5"/>
      <c r="H814" s="16"/>
    </row>
    <row r="815" spans="2:8">
      <c r="B815" s="5"/>
      <c r="H815" s="16"/>
    </row>
    <row r="816" spans="2:8">
      <c r="B816" s="5"/>
      <c r="H816" s="16"/>
    </row>
    <row r="817" spans="2:8">
      <c r="B817" s="5"/>
      <c r="H817" s="16"/>
    </row>
    <row r="818" spans="2:8">
      <c r="B818" s="5"/>
      <c r="H818" s="16"/>
    </row>
    <row r="819" spans="2:8">
      <c r="B819" s="5"/>
      <c r="H819" s="16"/>
    </row>
    <row r="820" spans="2:8">
      <c r="B820" s="5"/>
      <c r="H820" s="16"/>
    </row>
    <row r="821" spans="2:8">
      <c r="B821" s="5"/>
      <c r="H821" s="16"/>
    </row>
    <row r="822" spans="2:8">
      <c r="B822" s="5"/>
      <c r="H822" s="16"/>
    </row>
    <row r="823" spans="2:8">
      <c r="B823" s="5"/>
      <c r="H823" s="16"/>
    </row>
    <row r="824" spans="2:8">
      <c r="B824" s="5"/>
      <c r="H824" s="16"/>
    </row>
    <row r="825" spans="2:8">
      <c r="B825" s="5"/>
      <c r="H825" s="16"/>
    </row>
    <row r="826" spans="2:8">
      <c r="B826" s="5"/>
      <c r="H826" s="16"/>
    </row>
    <row r="827" spans="2:8">
      <c r="B827" s="5"/>
      <c r="H827" s="16"/>
    </row>
    <row r="828" spans="2:8">
      <c r="B828" s="5"/>
      <c r="H828" s="16"/>
    </row>
    <row r="829" spans="2:8">
      <c r="B829" s="5"/>
      <c r="H829" s="16"/>
    </row>
    <row r="830" spans="2:8">
      <c r="B830" s="5"/>
      <c r="H830" s="16"/>
    </row>
    <row r="831" spans="2:8">
      <c r="B831" s="5"/>
      <c r="H831" s="16"/>
    </row>
    <row r="832" spans="2:8">
      <c r="B832" s="5"/>
      <c r="H832" s="16"/>
    </row>
    <row r="833" spans="2:8">
      <c r="B833" s="5"/>
      <c r="H833" s="16"/>
    </row>
    <row r="834" spans="2:8">
      <c r="B834" s="5"/>
      <c r="H834" s="16"/>
    </row>
    <row r="835" spans="2:8">
      <c r="B835" s="5"/>
      <c r="H835" s="16"/>
    </row>
    <row r="836" spans="2:8">
      <c r="B836" s="5"/>
      <c r="H836" s="16"/>
    </row>
    <row r="837" spans="2:8">
      <c r="B837" s="5"/>
      <c r="H837" s="16"/>
    </row>
    <row r="838" spans="2:8">
      <c r="B838" s="5"/>
      <c r="H838" s="16"/>
    </row>
    <row r="839" spans="2:8">
      <c r="B839" s="5"/>
      <c r="H839" s="16"/>
    </row>
    <row r="840" spans="2:8">
      <c r="B840" s="5"/>
      <c r="H840" s="16"/>
    </row>
    <row r="841" spans="2:8">
      <c r="B841" s="5"/>
      <c r="H841" s="16"/>
    </row>
    <row r="842" spans="2:8">
      <c r="B842" s="5"/>
      <c r="H842" s="16"/>
    </row>
    <row r="843" spans="2:8">
      <c r="B843" s="5"/>
      <c r="H843" s="16"/>
    </row>
    <row r="844" spans="2:8">
      <c r="B844" s="5"/>
      <c r="H844" s="16"/>
    </row>
    <row r="845" spans="2:8">
      <c r="B845" s="5"/>
      <c r="H845" s="16"/>
    </row>
    <row r="846" spans="2:8">
      <c r="B846" s="5"/>
      <c r="H846" s="16"/>
    </row>
    <row r="847" spans="2:8">
      <c r="B847" s="5"/>
      <c r="H847" s="16"/>
    </row>
    <row r="848" spans="2:8">
      <c r="B848" s="5"/>
      <c r="H848" s="16"/>
    </row>
    <row r="849" spans="2:8">
      <c r="B849" s="5"/>
      <c r="H849" s="16"/>
    </row>
    <row r="850" spans="2:8">
      <c r="B850" s="5"/>
      <c r="H850" s="16"/>
    </row>
    <row r="851" spans="2:8">
      <c r="B851" s="5"/>
      <c r="H851" s="16"/>
    </row>
    <row r="852" spans="2:8">
      <c r="B852" s="5"/>
      <c r="H852" s="16"/>
    </row>
    <row r="853" spans="2:8">
      <c r="B853" s="5"/>
      <c r="H853" s="16"/>
    </row>
    <row r="854" spans="2:8">
      <c r="B854" s="5"/>
      <c r="H854" s="16"/>
    </row>
    <row r="855" spans="2:8">
      <c r="B855" s="5"/>
      <c r="H855" s="16"/>
    </row>
    <row r="856" spans="2:8">
      <c r="B856" s="5"/>
      <c r="H856" s="16"/>
    </row>
    <row r="857" spans="2:8">
      <c r="B857" s="5"/>
      <c r="H857" s="16"/>
    </row>
    <row r="858" spans="2:8">
      <c r="B858" s="5"/>
      <c r="H858" s="16"/>
    </row>
    <row r="859" spans="2:8">
      <c r="B859" s="5"/>
      <c r="H859" s="16"/>
    </row>
    <row r="860" spans="2:8">
      <c r="B860" s="5"/>
      <c r="H860" s="16"/>
    </row>
    <row r="861" spans="2:8">
      <c r="B861" s="5"/>
      <c r="H861" s="16"/>
    </row>
    <row r="862" spans="2:8">
      <c r="B862" s="5"/>
      <c r="H862" s="16"/>
    </row>
    <row r="863" spans="2:8">
      <c r="B863" s="5"/>
      <c r="H863" s="16"/>
    </row>
    <row r="864" spans="2:8">
      <c r="B864" s="5"/>
      <c r="H864" s="16"/>
    </row>
    <row r="865" spans="2:8">
      <c r="B865" s="5"/>
      <c r="H865" s="16"/>
    </row>
    <row r="866" spans="2:8">
      <c r="B866" s="5"/>
      <c r="H866" s="16"/>
    </row>
    <row r="867" spans="2:8">
      <c r="B867" s="5"/>
      <c r="H867" s="16"/>
    </row>
    <row r="868" spans="2:8">
      <c r="B868" s="5"/>
      <c r="H868" s="16"/>
    </row>
    <row r="869" spans="2:8">
      <c r="B869" s="5"/>
      <c r="H869" s="16"/>
    </row>
    <row r="870" spans="2:8">
      <c r="B870" s="5"/>
      <c r="H870" s="16"/>
    </row>
    <row r="871" spans="2:8">
      <c r="B871" s="5"/>
      <c r="H871" s="16"/>
    </row>
    <row r="872" spans="2:8">
      <c r="B872" s="5"/>
      <c r="H872" s="16"/>
    </row>
    <row r="873" spans="2:8">
      <c r="B873" s="5"/>
      <c r="H873" s="16"/>
    </row>
    <row r="874" spans="2:8">
      <c r="B874" s="5"/>
      <c r="H874" s="16"/>
    </row>
    <row r="875" spans="2:8">
      <c r="B875" s="5"/>
      <c r="H875" s="16"/>
    </row>
    <row r="876" spans="2:8">
      <c r="B876" s="5"/>
      <c r="H876" s="16"/>
    </row>
    <row r="877" spans="2:8">
      <c r="B877" s="5"/>
      <c r="H877" s="16"/>
    </row>
    <row r="878" spans="2:8">
      <c r="B878" s="5"/>
      <c r="H878" s="16"/>
    </row>
    <row r="879" spans="2:8">
      <c r="B879" s="5"/>
      <c r="H879" s="16"/>
    </row>
    <row r="880" spans="2:8">
      <c r="B880" s="5"/>
      <c r="H880" s="16"/>
    </row>
    <row r="881" spans="2:8">
      <c r="B881" s="5"/>
      <c r="H881" s="16"/>
    </row>
    <row r="882" spans="2:8">
      <c r="B882" s="5"/>
      <c r="H882" s="16"/>
    </row>
    <row r="883" spans="2:8">
      <c r="B883" s="5"/>
      <c r="H883" s="16"/>
    </row>
    <row r="884" spans="2:8">
      <c r="B884" s="5"/>
      <c r="H884" s="16"/>
    </row>
    <row r="885" spans="2:8">
      <c r="B885" s="5"/>
      <c r="H885" s="16"/>
    </row>
    <row r="886" spans="2:8">
      <c r="B886" s="5"/>
      <c r="H886" s="16"/>
    </row>
    <row r="887" spans="2:8">
      <c r="B887" s="5"/>
      <c r="H887" s="16"/>
    </row>
    <row r="888" spans="2:8">
      <c r="B888" s="5"/>
      <c r="H888" s="16"/>
    </row>
    <row r="889" spans="2:8">
      <c r="B889" s="5"/>
      <c r="H889" s="16"/>
    </row>
    <row r="890" spans="2:8">
      <c r="B890" s="5"/>
      <c r="H890" s="16"/>
    </row>
    <row r="891" spans="2:8">
      <c r="B891" s="5"/>
      <c r="H891" s="16"/>
    </row>
    <row r="892" spans="2:8">
      <c r="B892" s="5"/>
      <c r="H892" s="16"/>
    </row>
  </sheetData>
  <mergeCells count="27">
    <mergeCell ref="C50:F50"/>
    <mergeCell ref="G50:H50"/>
    <mergeCell ref="C47:F47"/>
    <mergeCell ref="G47:H47"/>
    <mergeCell ref="C48:F48"/>
    <mergeCell ref="G48:H48"/>
    <mergeCell ref="C49:F49"/>
    <mergeCell ref="G49:H49"/>
    <mergeCell ref="C44:F44"/>
    <mergeCell ref="G44:H44"/>
    <mergeCell ref="C45:F45"/>
    <mergeCell ref="G45:H45"/>
    <mergeCell ref="C46:F46"/>
    <mergeCell ref="G46:H46"/>
    <mergeCell ref="C43:F43"/>
    <mergeCell ref="G43:H43"/>
    <mergeCell ref="A4:H4"/>
    <mergeCell ref="A10:F10"/>
    <mergeCell ref="A17:F17"/>
    <mergeCell ref="A23:F23"/>
    <mergeCell ref="A29:F29"/>
    <mergeCell ref="A35:F35"/>
    <mergeCell ref="A38:F38"/>
    <mergeCell ref="C41:F41"/>
    <mergeCell ref="G41:H41"/>
    <mergeCell ref="C42:F42"/>
    <mergeCell ref="G42:H42"/>
  </mergeCells>
  <phoneticPr fontId="24" type="noConversion"/>
  <dataValidations count="1">
    <dataValidation type="list" allowBlank="1" showInputMessage="1" showErrorMessage="1" sqref="B42:B48" xr:uid="{00000000-0002-0000-1500-000000000000}">
      <formula1>$L$41:$L$45</formula1>
    </dataValidation>
  </dataValidations>
  <pageMargins left="0.7" right="0.7" top="0.75" bottom="0.75" header="0.3" footer="0.3"/>
  <pageSetup scale="52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L892"/>
  <sheetViews>
    <sheetView showZeros="0" view="pageBreakPreview" zoomScale="60" zoomScaleNormal="70" workbookViewId="0">
      <selection activeCell="E11" sqref="E11"/>
    </sheetView>
  </sheetViews>
  <sheetFormatPr defaultColWidth="10.875" defaultRowHeight="18.95"/>
  <cols>
    <col min="1" max="1" width="35.625" customWidth="1"/>
    <col min="2" max="2" width="14.625" style="16" customWidth="1"/>
    <col min="3" max="7" width="15.875" style="5" customWidth="1"/>
    <col min="8" max="8" width="15.875" style="17" customWidth="1"/>
    <col min="9" max="9" width="10.875" style="5"/>
    <col min="10" max="12" width="0" style="5" hidden="1" customWidth="1"/>
    <col min="13" max="16384" width="10.875" style="5"/>
  </cols>
  <sheetData>
    <row r="1" spans="1:10" customFormat="1" ht="15.95">
      <c r="A1" s="41"/>
      <c r="B1" s="42"/>
      <c r="C1" s="43"/>
      <c r="D1" s="43"/>
      <c r="E1" s="45" t="s">
        <v>25</v>
      </c>
      <c r="F1" s="43"/>
      <c r="G1" s="45" t="s">
        <v>26</v>
      </c>
      <c r="H1" s="44">
        <v>5</v>
      </c>
    </row>
    <row r="2" spans="1:10">
      <c r="A2" s="30"/>
      <c r="B2" s="18" t="str">
        <f>TEXT(B3,"dddd")</f>
        <v>Sunday</v>
      </c>
      <c r="C2" s="18" t="str">
        <f t="shared" ref="C2:H2" si="0">TEXT(C3,"dddd")</f>
        <v>Monday</v>
      </c>
      <c r="D2" s="18" t="str">
        <f t="shared" si="0"/>
        <v>Tuesday</v>
      </c>
      <c r="E2" s="18" t="str">
        <f t="shared" si="0"/>
        <v>Wednesday</v>
      </c>
      <c r="F2" s="18" t="str">
        <f t="shared" si="0"/>
        <v>Thursday</v>
      </c>
      <c r="G2" s="18" t="str">
        <f t="shared" si="0"/>
        <v>Friday</v>
      </c>
      <c r="H2" s="18" t="str">
        <f t="shared" si="0"/>
        <v>Saturday</v>
      </c>
    </row>
    <row r="3" spans="1:10" ht="21" customHeight="1">
      <c r="A3" s="31" t="s">
        <v>7</v>
      </c>
      <c r="B3" s="6">
        <f>Opening!H3+1</f>
        <v>46026</v>
      </c>
      <c r="C3" s="6">
        <f>B3+1</f>
        <v>46027</v>
      </c>
      <c r="D3" s="6">
        <f t="shared" ref="D3:H3" si="1">C3+1</f>
        <v>46028</v>
      </c>
      <c r="E3" s="6">
        <f t="shared" si="1"/>
        <v>46029</v>
      </c>
      <c r="F3" s="6">
        <f t="shared" si="1"/>
        <v>46030</v>
      </c>
      <c r="G3" s="6">
        <f t="shared" si="1"/>
        <v>46031</v>
      </c>
      <c r="H3" s="6">
        <f t="shared" si="1"/>
        <v>46032</v>
      </c>
    </row>
    <row r="4" spans="1:10" s="7" customFormat="1">
      <c r="A4" s="181" t="s">
        <v>128</v>
      </c>
      <c r="B4" s="181"/>
      <c r="C4" s="181"/>
      <c r="D4" s="181"/>
      <c r="E4" s="181"/>
      <c r="F4" s="181"/>
      <c r="G4" s="181"/>
      <c r="H4" s="181"/>
    </row>
    <row r="5" spans="1:10" s="7" customFormat="1" ht="26.1" customHeight="1">
      <c r="A5" s="32" t="s">
        <v>8</v>
      </c>
      <c r="B5" s="27"/>
      <c r="C5" s="27"/>
      <c r="D5" s="27"/>
      <c r="E5" s="27"/>
      <c r="F5" s="27"/>
      <c r="G5" s="27"/>
      <c r="H5" s="27"/>
    </row>
    <row r="6" spans="1:10" s="7" customFormat="1" ht="26.1" customHeight="1">
      <c r="A6" s="4" t="s">
        <v>23</v>
      </c>
      <c r="B6" s="62"/>
      <c r="C6" s="62"/>
      <c r="D6" s="62"/>
      <c r="E6" s="62"/>
      <c r="F6" s="62"/>
      <c r="G6" s="62"/>
      <c r="H6" s="62"/>
    </row>
    <row r="7" spans="1:10" s="7" customFormat="1" ht="21.95" customHeight="1">
      <c r="A7" s="32" t="s">
        <v>35</v>
      </c>
      <c r="B7" s="27"/>
      <c r="C7" s="28"/>
      <c r="D7" s="28"/>
      <c r="E7" s="28"/>
      <c r="F7" s="28"/>
      <c r="G7" s="28"/>
      <c r="H7" s="27"/>
    </row>
    <row r="8" spans="1:10" s="7" customFormat="1" ht="24.95" customHeight="1" thickBot="1">
      <c r="A8" s="83" t="s">
        <v>36</v>
      </c>
      <c r="B8" s="84">
        <f t="shared" ref="B8:H8" si="2">B5+B6+B7</f>
        <v>0</v>
      </c>
      <c r="C8" s="84">
        <f t="shared" si="2"/>
        <v>0</v>
      </c>
      <c r="D8" s="84">
        <f t="shared" si="2"/>
        <v>0</v>
      </c>
      <c r="E8" s="84">
        <f t="shared" si="2"/>
        <v>0</v>
      </c>
      <c r="F8" s="84">
        <f t="shared" si="2"/>
        <v>0</v>
      </c>
      <c r="G8" s="84">
        <f t="shared" si="2"/>
        <v>0</v>
      </c>
      <c r="H8" s="84">
        <f t="shared" si="2"/>
        <v>0</v>
      </c>
    </row>
    <row r="9" spans="1:10" s="7" customFormat="1" ht="24.95" customHeight="1" thickBot="1">
      <c r="A9" s="33"/>
      <c r="B9" s="29"/>
      <c r="C9" s="29"/>
      <c r="D9" s="29"/>
      <c r="E9" s="29"/>
      <c r="F9" s="29"/>
      <c r="G9" s="63" t="s">
        <v>37</v>
      </c>
      <c r="H9" s="64">
        <f>SUM(B8:H8)</f>
        <v>0</v>
      </c>
    </row>
    <row r="10" spans="1:10" s="7" customFormat="1" ht="21" thickTop="1" thickBot="1">
      <c r="A10" s="182" t="s">
        <v>129</v>
      </c>
      <c r="B10" s="183"/>
      <c r="C10" s="183"/>
      <c r="D10" s="183"/>
      <c r="E10" s="183"/>
      <c r="F10" s="183"/>
      <c r="G10" s="65" t="s">
        <v>39</v>
      </c>
      <c r="H10" s="66">
        <v>-0.15</v>
      </c>
      <c r="I10" s="5"/>
      <c r="J10" s="26"/>
    </row>
    <row r="11" spans="1:10" s="7" customFormat="1" ht="30" customHeight="1">
      <c r="A11" s="39" t="s">
        <v>8</v>
      </c>
      <c r="B11" s="9"/>
      <c r="C11" s="9"/>
      <c r="D11" s="67"/>
      <c r="E11" s="67"/>
      <c r="F11" s="9"/>
      <c r="G11" s="68"/>
      <c r="H11" s="69"/>
    </row>
    <row r="12" spans="1:10" s="7" customFormat="1" ht="30" customHeight="1">
      <c r="A12" s="70" t="s">
        <v>23</v>
      </c>
      <c r="B12" s="59"/>
      <c r="C12" s="58"/>
      <c r="D12" s="58"/>
      <c r="E12" s="58"/>
      <c r="F12" s="58"/>
      <c r="G12" s="58"/>
      <c r="H12" s="58"/>
    </row>
    <row r="13" spans="1:10" s="7" customFormat="1" ht="30" customHeight="1">
      <c r="A13" s="3" t="s">
        <v>35</v>
      </c>
      <c r="B13" s="8"/>
      <c r="C13" s="8"/>
      <c r="D13" s="8"/>
      <c r="E13" s="8"/>
      <c r="F13" s="8"/>
      <c r="G13" s="8"/>
      <c r="H13" s="8"/>
    </row>
    <row r="14" spans="1:10" s="7" customFormat="1" ht="27" customHeight="1" thickBot="1">
      <c r="A14" s="85" t="s">
        <v>36</v>
      </c>
      <c r="B14" s="87">
        <f t="shared" ref="B14:H14" si="3">B11+B12+B13</f>
        <v>0</v>
      </c>
      <c r="C14" s="87">
        <f t="shared" si="3"/>
        <v>0</v>
      </c>
      <c r="D14" s="87">
        <f t="shared" si="3"/>
        <v>0</v>
      </c>
      <c r="E14" s="87">
        <f t="shared" si="3"/>
        <v>0</v>
      </c>
      <c r="F14" s="87">
        <f t="shared" si="3"/>
        <v>0</v>
      </c>
      <c r="G14" s="87">
        <f t="shared" si="3"/>
        <v>0</v>
      </c>
      <c r="H14" s="87">
        <f t="shared" si="3"/>
        <v>0</v>
      </c>
    </row>
    <row r="15" spans="1:10" s="7" customFormat="1" ht="24.95" customHeight="1" thickBot="1">
      <c r="A15" s="86" t="s">
        <v>40</v>
      </c>
      <c r="B15" s="92" t="e">
        <f t="shared" ref="B15:H15" si="4">(B14-B8)/B8</f>
        <v>#DIV/0!</v>
      </c>
      <c r="C15" s="93" t="e">
        <f t="shared" si="4"/>
        <v>#DIV/0!</v>
      </c>
      <c r="D15" s="93" t="e">
        <f t="shared" si="4"/>
        <v>#DIV/0!</v>
      </c>
      <c r="E15" s="93" t="e">
        <f t="shared" si="4"/>
        <v>#DIV/0!</v>
      </c>
      <c r="F15" s="93" t="e">
        <f t="shared" si="4"/>
        <v>#DIV/0!</v>
      </c>
      <c r="G15" s="93" t="e">
        <f t="shared" si="4"/>
        <v>#DIV/0!</v>
      </c>
      <c r="H15" s="94" t="e">
        <f t="shared" si="4"/>
        <v>#DIV/0!</v>
      </c>
      <c r="I15" s="71"/>
    </row>
    <row r="16" spans="1:10" ht="30" customHeight="1" thickBot="1">
      <c r="B16" s="88"/>
      <c r="C16" s="88"/>
      <c r="D16" s="88"/>
      <c r="E16" s="88"/>
      <c r="F16" s="89"/>
      <c r="G16" s="90" t="s">
        <v>37</v>
      </c>
      <c r="H16" s="91">
        <f>SUM(B14:H14)</f>
        <v>0</v>
      </c>
    </row>
    <row r="17" spans="1:8" s="7" customFormat="1" ht="21.95" thickTop="1" thickBot="1">
      <c r="A17" s="184" t="s">
        <v>41</v>
      </c>
      <c r="B17" s="185"/>
      <c r="C17" s="185"/>
      <c r="D17" s="185"/>
      <c r="E17" s="185"/>
      <c r="F17" s="185"/>
      <c r="G17" s="72" t="s">
        <v>42</v>
      </c>
      <c r="H17" s="66" t="e">
        <f>(H16-H9)/H9</f>
        <v>#DIV/0!</v>
      </c>
    </row>
    <row r="18" spans="1:8" s="7" customFormat="1" ht="30" customHeight="1">
      <c r="A18" s="35" t="s">
        <v>43</v>
      </c>
      <c r="B18" s="12"/>
      <c r="C18" s="12"/>
      <c r="D18" s="73"/>
      <c r="E18" s="73"/>
      <c r="F18" s="12"/>
      <c r="G18" s="24"/>
      <c r="H18" s="74"/>
    </row>
    <row r="19" spans="1:8" s="7" customFormat="1" ht="30" customHeight="1">
      <c r="A19" s="35" t="str">
        <f>Opening!A25</f>
        <v>Non Meal Plan Meals</v>
      </c>
      <c r="B19" s="12"/>
      <c r="C19" s="12"/>
      <c r="D19" s="73"/>
      <c r="E19" s="73"/>
      <c r="F19" s="12"/>
      <c r="G19" s="24"/>
      <c r="H19" s="74"/>
    </row>
    <row r="20" spans="1:8" s="7" customFormat="1" ht="30" customHeight="1">
      <c r="A20" s="35" t="str">
        <f>Opening!A26</f>
        <v xml:space="preserve">Meal numbers </v>
      </c>
      <c r="B20" s="95"/>
      <c r="C20" s="95"/>
      <c r="D20" s="67"/>
      <c r="E20" s="67"/>
      <c r="F20" s="95"/>
      <c r="G20" s="95"/>
      <c r="H20" s="75"/>
    </row>
    <row r="21" spans="1:8" s="7" customFormat="1" ht="24.95" customHeight="1" thickBot="1">
      <c r="A21" s="36" t="s">
        <v>45</v>
      </c>
      <c r="B21" s="77">
        <f t="shared" ref="B21:G21" si="5">B18+B20</f>
        <v>0</v>
      </c>
      <c r="C21" s="77">
        <f t="shared" si="5"/>
        <v>0</v>
      </c>
      <c r="D21" s="96"/>
      <c r="E21" s="96"/>
      <c r="F21" s="77">
        <f t="shared" si="5"/>
        <v>0</v>
      </c>
      <c r="G21" s="77">
        <f t="shared" si="5"/>
        <v>0</v>
      </c>
      <c r="H21" s="77">
        <f>H18+H20</f>
        <v>0</v>
      </c>
    </row>
    <row r="22" spans="1:8" s="7" customFormat="1" ht="24.95" customHeight="1" thickBot="1">
      <c r="A22" s="34" t="s">
        <v>40</v>
      </c>
      <c r="B22" s="92" t="e">
        <f>(B21-B5)/B5</f>
        <v>#DIV/0!</v>
      </c>
      <c r="C22" s="93" t="e">
        <f>(C21-C5)/C5</f>
        <v>#DIV/0!</v>
      </c>
      <c r="D22" s="99"/>
      <c r="E22" s="99"/>
      <c r="F22" s="93" t="e">
        <f>(F21-F5)/F5</f>
        <v>#DIV/0!</v>
      </c>
      <c r="G22" s="93" t="e">
        <f>(G21-G5)/G5</f>
        <v>#DIV/0!</v>
      </c>
      <c r="H22" s="94" t="e">
        <f>(H21-H5)/H5</f>
        <v>#DIV/0!</v>
      </c>
    </row>
    <row r="23" spans="1:8" s="7" customFormat="1">
      <c r="A23" s="186" t="s">
        <v>46</v>
      </c>
      <c r="B23" s="187"/>
      <c r="C23" s="187"/>
      <c r="D23" s="187"/>
      <c r="E23" s="187"/>
      <c r="F23" s="188" t="s">
        <v>47</v>
      </c>
      <c r="G23" s="97"/>
      <c r="H23" s="98"/>
    </row>
    <row r="24" spans="1:8" s="7" customFormat="1" ht="30" customHeight="1">
      <c r="A24" s="35" t="s">
        <v>43</v>
      </c>
      <c r="B24" s="11"/>
      <c r="C24" s="12"/>
      <c r="D24" s="12"/>
      <c r="E24" s="12"/>
      <c r="F24" s="12"/>
      <c r="G24" s="12"/>
      <c r="H24" s="11"/>
    </row>
    <row r="25" spans="1:8" s="7" customFormat="1" ht="30" customHeight="1">
      <c r="A25" s="35" t="str">
        <f>A19</f>
        <v>Non Meal Plan Meals</v>
      </c>
      <c r="B25" s="117"/>
      <c r="C25" s="117"/>
      <c r="D25" s="117"/>
      <c r="E25" s="117"/>
      <c r="F25" s="117"/>
      <c r="G25" s="117"/>
      <c r="H25" s="117"/>
    </row>
    <row r="26" spans="1:8" s="7" customFormat="1" ht="30" customHeight="1">
      <c r="A26" s="35" t="str">
        <f>A20</f>
        <v xml:space="preserve">Meal numbers </v>
      </c>
      <c r="B26" s="11"/>
      <c r="C26" s="11"/>
      <c r="D26" s="11"/>
      <c r="E26" s="11"/>
      <c r="F26" s="11"/>
      <c r="G26" s="11"/>
      <c r="H26" s="11"/>
    </row>
    <row r="27" spans="1:8" s="7" customFormat="1" ht="27.95" customHeight="1" thickBot="1">
      <c r="A27" s="36" t="s">
        <v>50</v>
      </c>
      <c r="B27" s="100">
        <f>B24+B25+B26</f>
        <v>0</v>
      </c>
      <c r="C27" s="100">
        <f t="shared" ref="C27:G27" si="6">C24+C25+C26</f>
        <v>0</v>
      </c>
      <c r="D27" s="100">
        <f t="shared" si="6"/>
        <v>0</v>
      </c>
      <c r="E27" s="100">
        <f t="shared" si="6"/>
        <v>0</v>
      </c>
      <c r="F27" s="100">
        <f t="shared" si="6"/>
        <v>0</v>
      </c>
      <c r="G27" s="100">
        <f t="shared" si="6"/>
        <v>0</v>
      </c>
      <c r="H27" s="100">
        <f>H24+H25+H26</f>
        <v>0</v>
      </c>
    </row>
    <row r="28" spans="1:8" s="7" customFormat="1" ht="24.95" customHeight="1" thickBot="1">
      <c r="A28" s="34" t="s">
        <v>40</v>
      </c>
      <c r="B28" s="92" t="e">
        <f t="shared" ref="B28:H28" si="7">(B27-B6)/B6</f>
        <v>#DIV/0!</v>
      </c>
      <c r="C28" s="93" t="e">
        <f t="shared" si="7"/>
        <v>#DIV/0!</v>
      </c>
      <c r="D28" s="93" t="e">
        <f t="shared" si="7"/>
        <v>#DIV/0!</v>
      </c>
      <c r="E28" s="93" t="e">
        <f t="shared" si="7"/>
        <v>#DIV/0!</v>
      </c>
      <c r="F28" s="93" t="e">
        <f t="shared" si="7"/>
        <v>#DIV/0!</v>
      </c>
      <c r="G28" s="93" t="e">
        <f t="shared" si="7"/>
        <v>#DIV/0!</v>
      </c>
      <c r="H28" s="94" t="e">
        <f t="shared" si="7"/>
        <v>#DIV/0!</v>
      </c>
    </row>
    <row r="29" spans="1:8" s="7" customFormat="1">
      <c r="A29" s="189" t="s">
        <v>51</v>
      </c>
      <c r="B29" s="190"/>
      <c r="C29" s="190"/>
      <c r="D29" s="190"/>
      <c r="E29" s="190"/>
      <c r="F29" s="191" t="s">
        <v>35</v>
      </c>
      <c r="G29" s="101"/>
      <c r="H29" s="102"/>
    </row>
    <row r="30" spans="1:8" s="7" customFormat="1" ht="30" customHeight="1">
      <c r="A30" s="35" t="s">
        <v>43</v>
      </c>
      <c r="B30" s="10"/>
      <c r="C30" s="9"/>
      <c r="D30" s="9"/>
      <c r="E30" s="9"/>
      <c r="F30" s="9"/>
      <c r="G30" s="9"/>
      <c r="H30" s="10"/>
    </row>
    <row r="31" spans="1:8" s="7" customFormat="1" ht="30" customHeight="1">
      <c r="A31" s="35" t="str">
        <f>A25</f>
        <v>Non Meal Plan Meals</v>
      </c>
      <c r="B31" s="60"/>
      <c r="C31" s="60"/>
      <c r="D31" s="60"/>
      <c r="E31" s="60"/>
      <c r="F31" s="60"/>
      <c r="G31" s="60"/>
      <c r="H31" s="60"/>
    </row>
    <row r="32" spans="1:8" s="7" customFormat="1" ht="30" customHeight="1">
      <c r="A32" s="35" t="str">
        <f>A26</f>
        <v xml:space="preserve">Meal numbers </v>
      </c>
      <c r="B32" s="10"/>
      <c r="C32" s="10"/>
      <c r="D32" s="10"/>
      <c r="E32" s="10"/>
      <c r="F32" s="10"/>
      <c r="G32" s="10"/>
      <c r="H32" s="10"/>
    </row>
    <row r="33" spans="1:12" s="7" customFormat="1" ht="30.95" customHeight="1" thickBot="1">
      <c r="A33" s="36" t="s">
        <v>53</v>
      </c>
      <c r="B33" s="103">
        <f>B30+B31+B32</f>
        <v>0</v>
      </c>
      <c r="C33" s="103">
        <f>C30+C31+C32</f>
        <v>0</v>
      </c>
      <c r="D33" s="103">
        <f>D30+D31+D32</f>
        <v>0</v>
      </c>
      <c r="E33" s="103">
        <f>E30+E31+E32</f>
        <v>0</v>
      </c>
      <c r="F33" s="103">
        <f>F30+F31+F32</f>
        <v>0</v>
      </c>
      <c r="G33" s="103">
        <f>G30+G31+G32</f>
        <v>0</v>
      </c>
      <c r="H33" s="103">
        <f>H30+H31+H32</f>
        <v>0</v>
      </c>
    </row>
    <row r="34" spans="1:12" s="7" customFormat="1" ht="24.95" customHeight="1" thickBot="1">
      <c r="A34" s="34" t="s">
        <v>40</v>
      </c>
      <c r="B34" s="92" t="e">
        <f>(B33-B7)/B7</f>
        <v>#DIV/0!</v>
      </c>
      <c r="C34" s="93" t="e">
        <f>(C33-C7)/C7</f>
        <v>#DIV/0!</v>
      </c>
      <c r="D34" s="93" t="e">
        <f>(D33-D7)/D7</f>
        <v>#DIV/0!</v>
      </c>
      <c r="E34" s="93" t="e">
        <f>(E33-E7)/E7</f>
        <v>#DIV/0!</v>
      </c>
      <c r="F34" s="93" t="e">
        <f>(F33-F7)/F7</f>
        <v>#DIV/0!</v>
      </c>
      <c r="G34" s="93" t="e">
        <f>(G33-G7)/G7</f>
        <v>#DIV/0!</v>
      </c>
      <c r="H34" s="94" t="e">
        <f>(H33-H7)/H7</f>
        <v>#DIV/0!</v>
      </c>
    </row>
    <row r="35" spans="1:12" s="7" customFormat="1">
      <c r="A35" s="192" t="s">
        <v>54</v>
      </c>
      <c r="B35" s="193"/>
      <c r="C35" s="193"/>
      <c r="D35" s="193"/>
      <c r="E35" s="193"/>
      <c r="F35" s="194" t="s">
        <v>35</v>
      </c>
      <c r="G35" s="104"/>
      <c r="H35" s="105"/>
    </row>
    <row r="36" spans="1:12" s="7" customFormat="1" ht="30.95" customHeight="1" thickBot="1">
      <c r="A36" s="78" t="s">
        <v>55</v>
      </c>
      <c r="B36" s="77">
        <f>B33+B27+B21</f>
        <v>0</v>
      </c>
      <c r="C36" s="77">
        <f>C33+C27+C21</f>
        <v>0</v>
      </c>
      <c r="D36" s="77">
        <f>D33+D27+D21</f>
        <v>0</v>
      </c>
      <c r="E36" s="77">
        <f>E33+E27+E21</f>
        <v>0</v>
      </c>
      <c r="F36" s="77">
        <f>F33+F27+F21</f>
        <v>0</v>
      </c>
      <c r="G36" s="77">
        <f>G33+G27+G21</f>
        <v>0</v>
      </c>
      <c r="H36" s="77">
        <f>H33+H27+H21</f>
        <v>0</v>
      </c>
    </row>
    <row r="37" spans="1:12" s="7" customFormat="1" ht="24.95" customHeight="1" thickBot="1">
      <c r="A37" s="34" t="s">
        <v>40</v>
      </c>
      <c r="B37" s="92" t="e">
        <f>(B36-B8)/B8</f>
        <v>#DIV/0!</v>
      </c>
      <c r="C37" s="93" t="e">
        <f>(C36-C8)/C8</f>
        <v>#DIV/0!</v>
      </c>
      <c r="D37" s="93" t="e">
        <f>(D36-D8)/D8</f>
        <v>#DIV/0!</v>
      </c>
      <c r="E37" s="93" t="e">
        <f>(E36-E8)/E8</f>
        <v>#DIV/0!</v>
      </c>
      <c r="F37" s="93" t="e">
        <f>(F36-F8)/F8</f>
        <v>#DIV/0!</v>
      </c>
      <c r="G37" s="93" t="e">
        <f>(G36-G8)/G8</f>
        <v>#DIV/0!</v>
      </c>
      <c r="H37" s="94" t="e">
        <f>(H36-H8)/H8</f>
        <v>#DIV/0!</v>
      </c>
    </row>
    <row r="38" spans="1:12" ht="30" customHeight="1" thickBot="1">
      <c r="A38" s="195"/>
      <c r="B38" s="196"/>
      <c r="C38" s="196"/>
      <c r="D38" s="196"/>
      <c r="E38" s="196"/>
      <c r="F38" s="196"/>
      <c r="G38" s="106" t="s">
        <v>37</v>
      </c>
      <c r="H38" s="107">
        <f>SUM(B36:H36)</f>
        <v>0</v>
      </c>
    </row>
    <row r="39" spans="1:12" s="7" customFormat="1" ht="24.95" customHeight="1" thickTop="1">
      <c r="A39" s="37"/>
      <c r="B39" s="25"/>
      <c r="C39" s="25"/>
      <c r="D39" s="25"/>
      <c r="E39" s="25"/>
      <c r="F39" s="25"/>
      <c r="G39" s="79" t="s">
        <v>40</v>
      </c>
      <c r="H39" s="80" t="e">
        <f>(H38-H9)/H9</f>
        <v>#DIV/0!</v>
      </c>
    </row>
    <row r="40" spans="1:12" s="7" customFormat="1" ht="24.95" customHeight="1" thickBot="1">
      <c r="A40" s="37"/>
      <c r="B40" s="25"/>
      <c r="C40" s="25"/>
      <c r="D40" s="25"/>
      <c r="E40" s="25"/>
      <c r="F40" s="25"/>
      <c r="G40" s="81" t="s">
        <v>56</v>
      </c>
      <c r="H40" s="82" t="e">
        <f>(H38-H16)/H16</f>
        <v>#DIV/0!</v>
      </c>
    </row>
    <row r="41" spans="1:12" s="46" customFormat="1" ht="23.1" customHeight="1">
      <c r="A41" s="40"/>
      <c r="B41" s="47" t="s">
        <v>57</v>
      </c>
      <c r="C41" s="197" t="s">
        <v>58</v>
      </c>
      <c r="D41" s="197"/>
      <c r="E41" s="197"/>
      <c r="F41" s="197"/>
      <c r="G41" s="198">
        <v>2022</v>
      </c>
      <c r="H41" s="199"/>
    </row>
    <row r="42" spans="1:12" ht="30" customHeight="1">
      <c r="A42" s="1" t="s">
        <v>60</v>
      </c>
      <c r="B42" s="57" t="s">
        <v>59</v>
      </c>
      <c r="C42" s="180" t="s">
        <v>130</v>
      </c>
      <c r="D42" s="180"/>
      <c r="E42" s="180"/>
      <c r="F42" s="180"/>
      <c r="G42" s="178"/>
      <c r="H42" s="179"/>
      <c r="L42" s="7" t="s">
        <v>61</v>
      </c>
    </row>
    <row r="43" spans="1:12" ht="30" customHeight="1">
      <c r="A43" s="1" t="s">
        <v>1</v>
      </c>
      <c r="B43" s="57" t="s">
        <v>59</v>
      </c>
      <c r="C43" s="180" t="s">
        <v>130</v>
      </c>
      <c r="D43" s="180"/>
      <c r="E43" s="180"/>
      <c r="F43" s="180"/>
      <c r="G43" s="178"/>
      <c r="H43" s="179"/>
      <c r="L43" s="5" t="s">
        <v>62</v>
      </c>
    </row>
    <row r="44" spans="1:12" ht="30" customHeight="1">
      <c r="A44" s="1" t="s">
        <v>2</v>
      </c>
      <c r="B44" s="57" t="s">
        <v>59</v>
      </c>
      <c r="C44" s="175"/>
      <c r="D44" s="175"/>
      <c r="E44" s="175"/>
      <c r="F44" s="175"/>
      <c r="G44" s="176"/>
      <c r="H44" s="177"/>
      <c r="L44" s="5" t="s">
        <v>63</v>
      </c>
    </row>
    <row r="45" spans="1:12" ht="30" customHeight="1">
      <c r="A45" s="1" t="s">
        <v>3</v>
      </c>
      <c r="B45" s="57" t="s">
        <v>59</v>
      </c>
      <c r="C45" s="175"/>
      <c r="D45" s="175"/>
      <c r="E45" s="175"/>
      <c r="F45" s="175"/>
      <c r="G45" s="176"/>
      <c r="H45" s="177"/>
      <c r="L45" s="5" t="s">
        <v>64</v>
      </c>
    </row>
    <row r="46" spans="1:12" ht="30.95" customHeight="1">
      <c r="A46" s="1" t="s">
        <v>4</v>
      </c>
      <c r="B46" s="57" t="s">
        <v>59</v>
      </c>
      <c r="C46" s="175" t="s">
        <v>131</v>
      </c>
      <c r="D46" s="175"/>
      <c r="E46" s="175"/>
      <c r="F46" s="175"/>
      <c r="G46" s="176" t="s">
        <v>132</v>
      </c>
      <c r="H46" s="177"/>
    </row>
    <row r="47" spans="1:12" ht="30" customHeight="1">
      <c r="A47" s="1" t="s">
        <v>5</v>
      </c>
      <c r="B47" s="57" t="s">
        <v>59</v>
      </c>
      <c r="C47" s="175" t="s">
        <v>133</v>
      </c>
      <c r="D47" s="175"/>
      <c r="E47" s="175"/>
      <c r="F47" s="175"/>
      <c r="G47" s="176" t="s">
        <v>134</v>
      </c>
      <c r="H47" s="177"/>
    </row>
    <row r="48" spans="1:12" ht="30" customHeight="1">
      <c r="A48" s="1" t="s">
        <v>6</v>
      </c>
      <c r="B48" s="57" t="s">
        <v>59</v>
      </c>
      <c r="C48" s="175"/>
      <c r="D48" s="175"/>
      <c r="E48" s="175"/>
      <c r="F48" s="175"/>
      <c r="G48" s="176"/>
      <c r="H48" s="177"/>
    </row>
    <row r="49" spans="1:8" ht="30" customHeight="1">
      <c r="A49" s="1"/>
      <c r="B49" s="14"/>
      <c r="C49" s="175"/>
      <c r="D49" s="175"/>
      <c r="E49" s="175"/>
      <c r="F49" s="175"/>
      <c r="G49" s="176"/>
      <c r="H49" s="177"/>
    </row>
    <row r="50" spans="1:8" ht="30" customHeight="1">
      <c r="A50" s="2"/>
      <c r="B50" s="14"/>
      <c r="C50" s="175"/>
      <c r="D50" s="175"/>
      <c r="E50" s="175"/>
      <c r="F50" s="175"/>
      <c r="G50" s="176"/>
      <c r="H50" s="177"/>
    </row>
    <row r="51" spans="1:8">
      <c r="A51" s="30"/>
      <c r="B51" s="18" t="s">
        <v>27</v>
      </c>
      <c r="C51" s="18" t="s">
        <v>28</v>
      </c>
      <c r="D51" s="18" t="s">
        <v>65</v>
      </c>
      <c r="E51" s="18" t="s">
        <v>30</v>
      </c>
      <c r="F51" s="18" t="s">
        <v>66</v>
      </c>
      <c r="G51" s="18" t="s">
        <v>32</v>
      </c>
      <c r="H51" s="18" t="s">
        <v>33</v>
      </c>
    </row>
    <row r="52" spans="1:8">
      <c r="A52" s="38" t="s">
        <v>67</v>
      </c>
      <c r="B52" s="15"/>
      <c r="C52" s="20"/>
      <c r="D52" s="20"/>
      <c r="E52" s="20"/>
      <c r="F52" s="20"/>
      <c r="G52" s="20"/>
      <c r="H52" s="15"/>
    </row>
    <row r="53" spans="1:8" customFormat="1" ht="15.95">
      <c r="A53" s="48" t="s">
        <v>68</v>
      </c>
      <c r="B53" s="22"/>
      <c r="C53" s="21"/>
      <c r="D53" s="21"/>
      <c r="E53" s="21"/>
      <c r="F53" s="21"/>
      <c r="G53" s="23" t="s">
        <v>37</v>
      </c>
      <c r="H53" s="23">
        <f>SUM(B52:H52)</f>
        <v>0</v>
      </c>
    </row>
    <row r="54" spans="1:8">
      <c r="A54" s="30"/>
      <c r="B54" s="18" t="s">
        <v>27</v>
      </c>
      <c r="C54" s="18" t="s">
        <v>28</v>
      </c>
      <c r="D54" s="18" t="s">
        <v>65</v>
      </c>
      <c r="E54" s="18" t="s">
        <v>30</v>
      </c>
      <c r="F54" s="18" t="s">
        <v>66</v>
      </c>
      <c r="G54" s="18" t="s">
        <v>32</v>
      </c>
      <c r="H54" s="18" t="s">
        <v>33</v>
      </c>
    </row>
    <row r="55" spans="1:8">
      <c r="A55" s="38" t="s">
        <v>69</v>
      </c>
      <c r="B55" s="51"/>
      <c r="C55" s="52"/>
      <c r="D55" s="52"/>
      <c r="E55" s="52"/>
      <c r="F55" s="52"/>
      <c r="G55" s="20"/>
      <c r="H55" s="15"/>
    </row>
    <row r="56" spans="1:8" customFormat="1" ht="15.95">
      <c r="A56" s="49" t="s">
        <v>70</v>
      </c>
      <c r="B56" s="53"/>
      <c r="C56" s="53" t="s">
        <v>71</v>
      </c>
      <c r="D56" s="54"/>
      <c r="E56" s="54"/>
      <c r="F56" s="55"/>
      <c r="G56" s="50" t="s">
        <v>37</v>
      </c>
      <c r="H56" s="23"/>
    </row>
    <row r="57" spans="1:8">
      <c r="H57" s="16"/>
    </row>
    <row r="58" spans="1:8">
      <c r="H58" s="16"/>
    </row>
    <row r="59" spans="1:8">
      <c r="H59" s="16"/>
    </row>
    <row r="60" spans="1:8">
      <c r="H60" s="16"/>
    </row>
    <row r="61" spans="1:8">
      <c r="H61" s="16"/>
    </row>
    <row r="62" spans="1:8">
      <c r="H62" s="16"/>
    </row>
    <row r="63" spans="1:8">
      <c r="H63" s="16"/>
    </row>
    <row r="64" spans="1:8">
      <c r="B64" s="5"/>
      <c r="H64" s="16"/>
    </row>
    <row r="65" spans="2:8">
      <c r="B65" s="5"/>
      <c r="H65" s="16"/>
    </row>
    <row r="66" spans="2:8">
      <c r="B66" s="5"/>
      <c r="H66" s="16"/>
    </row>
    <row r="67" spans="2:8">
      <c r="B67" s="5"/>
      <c r="H67" s="16"/>
    </row>
    <row r="68" spans="2:8">
      <c r="B68" s="5"/>
      <c r="H68" s="16"/>
    </row>
    <row r="69" spans="2:8">
      <c r="B69" s="5"/>
      <c r="H69" s="16"/>
    </row>
    <row r="70" spans="2:8">
      <c r="B70" s="5"/>
      <c r="H70" s="16"/>
    </row>
    <row r="71" spans="2:8">
      <c r="B71" s="5"/>
      <c r="H71" s="16"/>
    </row>
    <row r="72" spans="2:8">
      <c r="B72" s="5"/>
      <c r="H72" s="16"/>
    </row>
    <row r="73" spans="2:8">
      <c r="B73" s="5"/>
      <c r="H73" s="16"/>
    </row>
    <row r="74" spans="2:8">
      <c r="B74" s="5"/>
      <c r="H74" s="16"/>
    </row>
    <row r="75" spans="2:8">
      <c r="B75" s="5"/>
      <c r="H75" s="16"/>
    </row>
    <row r="76" spans="2:8">
      <c r="B76" s="5"/>
      <c r="H76" s="16"/>
    </row>
    <row r="77" spans="2:8">
      <c r="B77" s="5"/>
      <c r="H77" s="16"/>
    </row>
    <row r="78" spans="2:8">
      <c r="B78" s="5"/>
      <c r="H78" s="16"/>
    </row>
    <row r="79" spans="2:8">
      <c r="B79" s="5"/>
      <c r="H79" s="16"/>
    </row>
    <row r="80" spans="2:8">
      <c r="B80" s="5"/>
      <c r="H80" s="16"/>
    </row>
    <row r="81" spans="2:8">
      <c r="B81" s="5"/>
      <c r="H81" s="16"/>
    </row>
    <row r="82" spans="2:8">
      <c r="B82" s="5"/>
      <c r="H82" s="16"/>
    </row>
    <row r="83" spans="2:8">
      <c r="B83" s="5"/>
      <c r="H83" s="16"/>
    </row>
    <row r="84" spans="2:8">
      <c r="B84" s="5"/>
      <c r="H84" s="16"/>
    </row>
    <row r="85" spans="2:8">
      <c r="B85" s="5"/>
      <c r="H85" s="16"/>
    </row>
    <row r="86" spans="2:8">
      <c r="B86" s="5"/>
      <c r="H86" s="16"/>
    </row>
    <row r="87" spans="2:8">
      <c r="B87" s="5"/>
      <c r="H87" s="16"/>
    </row>
    <row r="88" spans="2:8">
      <c r="B88" s="5"/>
      <c r="H88" s="16"/>
    </row>
    <row r="89" spans="2:8">
      <c r="B89" s="5"/>
      <c r="H89" s="16"/>
    </row>
    <row r="90" spans="2:8">
      <c r="B90" s="5"/>
      <c r="H90" s="16"/>
    </row>
    <row r="91" spans="2:8">
      <c r="B91" s="5"/>
      <c r="H91" s="16"/>
    </row>
    <row r="92" spans="2:8">
      <c r="B92" s="5"/>
      <c r="H92" s="16"/>
    </row>
    <row r="93" spans="2:8">
      <c r="B93" s="5"/>
      <c r="H93" s="16"/>
    </row>
    <row r="94" spans="2:8">
      <c r="B94" s="5"/>
      <c r="H94" s="16"/>
    </row>
    <row r="95" spans="2:8">
      <c r="B95" s="5"/>
      <c r="H95" s="16"/>
    </row>
    <row r="96" spans="2:8">
      <c r="B96" s="5"/>
      <c r="H96" s="16"/>
    </row>
    <row r="97" spans="2:8">
      <c r="B97" s="5"/>
      <c r="H97" s="16"/>
    </row>
    <row r="98" spans="2:8">
      <c r="B98" s="5"/>
      <c r="H98" s="16"/>
    </row>
    <row r="99" spans="2:8">
      <c r="B99" s="5"/>
      <c r="H99" s="16"/>
    </row>
    <row r="100" spans="2:8">
      <c r="B100" s="5"/>
      <c r="H100" s="16"/>
    </row>
    <row r="101" spans="2:8">
      <c r="B101" s="5"/>
      <c r="H101" s="16"/>
    </row>
    <row r="102" spans="2:8">
      <c r="B102" s="5"/>
      <c r="H102" s="16"/>
    </row>
    <row r="103" spans="2:8">
      <c r="B103" s="5"/>
      <c r="H103" s="16"/>
    </row>
    <row r="104" spans="2:8">
      <c r="B104" s="5"/>
      <c r="H104" s="16"/>
    </row>
    <row r="105" spans="2:8">
      <c r="B105" s="5"/>
      <c r="H105" s="16"/>
    </row>
    <row r="106" spans="2:8">
      <c r="B106" s="5"/>
      <c r="H106" s="16"/>
    </row>
    <row r="107" spans="2:8">
      <c r="B107" s="5"/>
      <c r="H107" s="16"/>
    </row>
    <row r="108" spans="2:8">
      <c r="B108" s="5"/>
      <c r="H108" s="16"/>
    </row>
    <row r="109" spans="2:8">
      <c r="B109" s="5"/>
      <c r="H109" s="16"/>
    </row>
    <row r="110" spans="2:8">
      <c r="B110" s="5"/>
      <c r="H110" s="16"/>
    </row>
    <row r="111" spans="2:8">
      <c r="B111" s="5"/>
      <c r="H111" s="16"/>
    </row>
    <row r="112" spans="2:8">
      <c r="B112" s="5"/>
      <c r="H112" s="16"/>
    </row>
    <row r="113" spans="2:8">
      <c r="B113" s="5"/>
      <c r="H113" s="16"/>
    </row>
    <row r="114" spans="2:8">
      <c r="B114" s="5"/>
      <c r="H114" s="16"/>
    </row>
    <row r="115" spans="2:8">
      <c r="B115" s="5"/>
      <c r="H115" s="16"/>
    </row>
    <row r="116" spans="2:8">
      <c r="B116" s="5"/>
      <c r="H116" s="16"/>
    </row>
    <row r="117" spans="2:8">
      <c r="B117" s="5"/>
      <c r="H117" s="16"/>
    </row>
    <row r="118" spans="2:8">
      <c r="B118" s="5"/>
      <c r="H118" s="16"/>
    </row>
    <row r="119" spans="2:8">
      <c r="B119" s="5"/>
      <c r="H119" s="16"/>
    </row>
    <row r="120" spans="2:8">
      <c r="B120" s="5"/>
      <c r="H120" s="16"/>
    </row>
    <row r="121" spans="2:8">
      <c r="B121" s="5"/>
      <c r="H121" s="16"/>
    </row>
    <row r="122" spans="2:8">
      <c r="B122" s="5"/>
      <c r="H122" s="16"/>
    </row>
    <row r="123" spans="2:8">
      <c r="B123" s="5"/>
      <c r="H123" s="16"/>
    </row>
    <row r="124" spans="2:8">
      <c r="B124" s="5"/>
      <c r="H124" s="16"/>
    </row>
    <row r="125" spans="2:8">
      <c r="B125" s="5"/>
      <c r="H125" s="16"/>
    </row>
    <row r="126" spans="2:8">
      <c r="B126" s="5"/>
      <c r="H126" s="16"/>
    </row>
    <row r="127" spans="2:8">
      <c r="B127" s="5"/>
      <c r="H127" s="16"/>
    </row>
    <row r="128" spans="2:8">
      <c r="B128" s="5"/>
      <c r="H128" s="16"/>
    </row>
    <row r="129" spans="2:8">
      <c r="B129" s="5"/>
      <c r="H129" s="16"/>
    </row>
    <row r="130" spans="2:8">
      <c r="B130" s="5"/>
      <c r="H130" s="16"/>
    </row>
    <row r="131" spans="2:8">
      <c r="B131" s="5"/>
      <c r="H131" s="16"/>
    </row>
    <row r="132" spans="2:8">
      <c r="B132" s="5"/>
      <c r="H132" s="16"/>
    </row>
    <row r="133" spans="2:8">
      <c r="B133" s="5"/>
      <c r="H133" s="16"/>
    </row>
    <row r="134" spans="2:8">
      <c r="B134" s="5"/>
      <c r="H134" s="16"/>
    </row>
    <row r="135" spans="2:8">
      <c r="B135" s="5"/>
      <c r="H135" s="16"/>
    </row>
    <row r="136" spans="2:8">
      <c r="B136" s="5"/>
      <c r="H136" s="16"/>
    </row>
    <row r="137" spans="2:8">
      <c r="B137" s="5"/>
      <c r="H137" s="16"/>
    </row>
    <row r="138" spans="2:8">
      <c r="B138" s="5"/>
      <c r="H138" s="16"/>
    </row>
    <row r="139" spans="2:8">
      <c r="B139" s="5"/>
      <c r="H139" s="16"/>
    </row>
    <row r="140" spans="2:8">
      <c r="B140" s="5"/>
      <c r="H140" s="16"/>
    </row>
    <row r="141" spans="2:8">
      <c r="B141" s="5"/>
      <c r="H141" s="16"/>
    </row>
    <row r="142" spans="2:8">
      <c r="B142" s="5"/>
      <c r="H142" s="16"/>
    </row>
    <row r="143" spans="2:8">
      <c r="B143" s="5"/>
      <c r="H143" s="16"/>
    </row>
    <row r="144" spans="2:8">
      <c r="B144" s="5"/>
      <c r="H144" s="16"/>
    </row>
    <row r="145" spans="2:8">
      <c r="B145" s="5"/>
      <c r="H145" s="16"/>
    </row>
    <row r="146" spans="2:8">
      <c r="B146" s="5"/>
      <c r="H146" s="16"/>
    </row>
    <row r="147" spans="2:8">
      <c r="B147" s="5"/>
      <c r="H147" s="16"/>
    </row>
    <row r="148" spans="2:8">
      <c r="B148" s="5"/>
      <c r="H148" s="16"/>
    </row>
    <row r="149" spans="2:8">
      <c r="B149" s="5"/>
      <c r="H149" s="16"/>
    </row>
    <row r="150" spans="2:8">
      <c r="B150" s="5"/>
      <c r="H150" s="16"/>
    </row>
    <row r="151" spans="2:8">
      <c r="B151" s="5"/>
      <c r="H151" s="16"/>
    </row>
    <row r="152" spans="2:8">
      <c r="B152" s="5"/>
      <c r="H152" s="16"/>
    </row>
    <row r="153" spans="2:8">
      <c r="B153" s="5"/>
      <c r="H153" s="16"/>
    </row>
    <row r="154" spans="2:8">
      <c r="B154" s="5"/>
      <c r="H154" s="16"/>
    </row>
    <row r="155" spans="2:8">
      <c r="B155" s="5"/>
      <c r="H155" s="16"/>
    </row>
    <row r="156" spans="2:8">
      <c r="B156" s="5"/>
      <c r="H156" s="16"/>
    </row>
    <row r="157" spans="2:8">
      <c r="B157" s="5"/>
      <c r="H157" s="16"/>
    </row>
    <row r="158" spans="2:8">
      <c r="B158" s="5"/>
      <c r="H158" s="16"/>
    </row>
    <row r="159" spans="2:8">
      <c r="B159" s="5"/>
      <c r="H159" s="16"/>
    </row>
    <row r="160" spans="2:8">
      <c r="B160" s="5"/>
      <c r="H160" s="16"/>
    </row>
    <row r="161" spans="2:8">
      <c r="B161" s="5"/>
      <c r="H161" s="16"/>
    </row>
    <row r="162" spans="2:8">
      <c r="B162" s="5"/>
      <c r="H162" s="16"/>
    </row>
    <row r="163" spans="2:8">
      <c r="B163" s="5"/>
      <c r="H163" s="16"/>
    </row>
    <row r="164" spans="2:8">
      <c r="B164" s="5"/>
      <c r="H164" s="16"/>
    </row>
    <row r="165" spans="2:8">
      <c r="B165" s="5"/>
      <c r="H165" s="16"/>
    </row>
    <row r="166" spans="2:8">
      <c r="B166" s="5"/>
      <c r="H166" s="16"/>
    </row>
    <row r="167" spans="2:8">
      <c r="B167" s="5"/>
      <c r="H167" s="16"/>
    </row>
    <row r="168" spans="2:8">
      <c r="B168" s="5"/>
      <c r="H168" s="16"/>
    </row>
    <row r="169" spans="2:8">
      <c r="B169" s="5"/>
      <c r="H169" s="16"/>
    </row>
    <row r="170" spans="2:8">
      <c r="B170" s="5"/>
      <c r="H170" s="16"/>
    </row>
    <row r="171" spans="2:8">
      <c r="B171" s="5"/>
      <c r="H171" s="16"/>
    </row>
    <row r="172" spans="2:8">
      <c r="B172" s="5"/>
      <c r="H172" s="16"/>
    </row>
    <row r="173" spans="2:8">
      <c r="B173" s="5"/>
      <c r="H173" s="16"/>
    </row>
    <row r="174" spans="2:8">
      <c r="B174" s="5"/>
      <c r="H174" s="16"/>
    </row>
    <row r="175" spans="2:8">
      <c r="B175" s="5"/>
      <c r="H175" s="16"/>
    </row>
    <row r="176" spans="2:8">
      <c r="B176" s="5"/>
      <c r="H176" s="16"/>
    </row>
    <row r="177" spans="2:8">
      <c r="B177" s="5"/>
      <c r="H177" s="16"/>
    </row>
    <row r="178" spans="2:8">
      <c r="B178" s="5"/>
      <c r="H178" s="16"/>
    </row>
    <row r="179" spans="2:8">
      <c r="B179" s="5"/>
      <c r="H179" s="16"/>
    </row>
    <row r="180" spans="2:8">
      <c r="B180" s="5"/>
      <c r="H180" s="16"/>
    </row>
    <row r="181" spans="2:8">
      <c r="B181" s="5"/>
      <c r="H181" s="16"/>
    </row>
    <row r="182" spans="2:8">
      <c r="B182" s="5"/>
      <c r="H182" s="16"/>
    </row>
    <row r="183" spans="2:8">
      <c r="B183" s="5"/>
      <c r="H183" s="16"/>
    </row>
    <row r="184" spans="2:8">
      <c r="B184" s="5"/>
      <c r="H184" s="16"/>
    </row>
    <row r="185" spans="2:8">
      <c r="B185" s="5"/>
      <c r="H185" s="16"/>
    </row>
    <row r="186" spans="2:8">
      <c r="B186" s="5"/>
      <c r="H186" s="16"/>
    </row>
    <row r="187" spans="2:8">
      <c r="B187" s="5"/>
      <c r="H187" s="16"/>
    </row>
    <row r="188" spans="2:8">
      <c r="B188" s="5"/>
      <c r="H188" s="16"/>
    </row>
    <row r="189" spans="2:8">
      <c r="B189" s="5"/>
      <c r="H189" s="16"/>
    </row>
    <row r="190" spans="2:8">
      <c r="B190" s="5"/>
      <c r="H190" s="16"/>
    </row>
    <row r="191" spans="2:8">
      <c r="B191" s="5"/>
      <c r="H191" s="16"/>
    </row>
    <row r="192" spans="2:8">
      <c r="B192" s="5"/>
      <c r="H192" s="16"/>
    </row>
    <row r="193" spans="2:8">
      <c r="B193" s="5"/>
      <c r="H193" s="16"/>
    </row>
    <row r="194" spans="2:8">
      <c r="B194" s="5"/>
      <c r="H194" s="16"/>
    </row>
    <row r="195" spans="2:8">
      <c r="B195" s="5"/>
      <c r="H195" s="16"/>
    </row>
    <row r="196" spans="2:8">
      <c r="B196" s="5"/>
      <c r="H196" s="16"/>
    </row>
    <row r="197" spans="2:8">
      <c r="B197" s="5"/>
      <c r="H197" s="16"/>
    </row>
    <row r="198" spans="2:8">
      <c r="B198" s="5"/>
      <c r="H198" s="16"/>
    </row>
    <row r="199" spans="2:8">
      <c r="B199" s="5"/>
      <c r="H199" s="16"/>
    </row>
    <row r="200" spans="2:8">
      <c r="B200" s="5"/>
      <c r="H200" s="16"/>
    </row>
    <row r="201" spans="2:8">
      <c r="B201" s="5"/>
      <c r="H201" s="16"/>
    </row>
    <row r="202" spans="2:8">
      <c r="B202" s="5"/>
      <c r="H202" s="16"/>
    </row>
    <row r="203" spans="2:8">
      <c r="B203" s="5"/>
      <c r="H203" s="16"/>
    </row>
    <row r="204" spans="2:8">
      <c r="B204" s="5"/>
      <c r="H204" s="16"/>
    </row>
    <row r="205" spans="2:8">
      <c r="B205" s="5"/>
      <c r="H205" s="16"/>
    </row>
    <row r="206" spans="2:8">
      <c r="B206" s="5"/>
      <c r="H206" s="16"/>
    </row>
    <row r="207" spans="2:8">
      <c r="B207" s="5"/>
      <c r="H207" s="16"/>
    </row>
    <row r="208" spans="2:8">
      <c r="B208" s="5"/>
      <c r="H208" s="16"/>
    </row>
    <row r="209" spans="2:8">
      <c r="B209" s="5"/>
      <c r="H209" s="16"/>
    </row>
    <row r="210" spans="2:8">
      <c r="B210" s="5"/>
      <c r="H210" s="16"/>
    </row>
    <row r="211" spans="2:8">
      <c r="B211" s="5"/>
      <c r="H211" s="16"/>
    </row>
    <row r="212" spans="2:8">
      <c r="B212" s="5"/>
      <c r="H212" s="16"/>
    </row>
    <row r="213" spans="2:8">
      <c r="B213" s="5"/>
      <c r="H213" s="16"/>
    </row>
    <row r="214" spans="2:8">
      <c r="B214" s="5"/>
      <c r="H214" s="16"/>
    </row>
    <row r="215" spans="2:8">
      <c r="B215" s="5"/>
      <c r="H215" s="16"/>
    </row>
    <row r="216" spans="2:8">
      <c r="B216" s="5"/>
      <c r="H216" s="16"/>
    </row>
    <row r="217" spans="2:8">
      <c r="B217" s="5"/>
      <c r="H217" s="16"/>
    </row>
    <row r="218" spans="2:8">
      <c r="B218" s="5"/>
      <c r="H218" s="16"/>
    </row>
    <row r="219" spans="2:8">
      <c r="B219" s="5"/>
      <c r="H219" s="16"/>
    </row>
    <row r="220" spans="2:8">
      <c r="B220" s="5"/>
      <c r="H220" s="16"/>
    </row>
    <row r="221" spans="2:8">
      <c r="B221" s="5"/>
      <c r="H221" s="16"/>
    </row>
    <row r="222" spans="2:8">
      <c r="B222" s="5"/>
      <c r="H222" s="16"/>
    </row>
    <row r="223" spans="2:8">
      <c r="B223" s="5"/>
      <c r="H223" s="16"/>
    </row>
    <row r="224" spans="2:8">
      <c r="B224" s="5"/>
      <c r="H224" s="16"/>
    </row>
    <row r="225" spans="2:8">
      <c r="B225" s="5"/>
      <c r="H225" s="16"/>
    </row>
    <row r="226" spans="2:8">
      <c r="B226" s="5"/>
      <c r="H226" s="16"/>
    </row>
    <row r="227" spans="2:8">
      <c r="B227" s="5"/>
      <c r="H227" s="16"/>
    </row>
    <row r="228" spans="2:8">
      <c r="B228" s="5"/>
      <c r="H228" s="16"/>
    </row>
    <row r="229" spans="2:8">
      <c r="B229" s="5"/>
      <c r="H229" s="16"/>
    </row>
    <row r="230" spans="2:8">
      <c r="B230" s="5"/>
      <c r="H230" s="16"/>
    </row>
    <row r="231" spans="2:8">
      <c r="B231" s="5"/>
      <c r="H231" s="16"/>
    </row>
    <row r="232" spans="2:8">
      <c r="B232" s="5"/>
      <c r="H232" s="16"/>
    </row>
    <row r="233" spans="2:8">
      <c r="B233" s="5"/>
      <c r="H233" s="16"/>
    </row>
    <row r="234" spans="2:8">
      <c r="B234" s="5"/>
      <c r="H234" s="16"/>
    </row>
    <row r="235" spans="2:8">
      <c r="B235" s="5"/>
      <c r="H235" s="16"/>
    </row>
    <row r="236" spans="2:8">
      <c r="B236" s="5"/>
      <c r="H236" s="16"/>
    </row>
    <row r="237" spans="2:8">
      <c r="B237" s="5"/>
      <c r="H237" s="16"/>
    </row>
    <row r="238" spans="2:8">
      <c r="B238" s="5"/>
      <c r="H238" s="16"/>
    </row>
    <row r="239" spans="2:8">
      <c r="B239" s="5"/>
      <c r="H239" s="16"/>
    </row>
    <row r="240" spans="2:8">
      <c r="B240" s="5"/>
      <c r="H240" s="16"/>
    </row>
    <row r="241" spans="2:8">
      <c r="B241" s="5"/>
      <c r="H241" s="16"/>
    </row>
    <row r="242" spans="2:8">
      <c r="B242" s="5"/>
      <c r="H242" s="16"/>
    </row>
    <row r="243" spans="2:8">
      <c r="B243" s="5"/>
      <c r="H243" s="16"/>
    </row>
    <row r="244" spans="2:8">
      <c r="B244" s="5"/>
      <c r="H244" s="16"/>
    </row>
    <row r="245" spans="2:8">
      <c r="B245" s="5"/>
      <c r="H245" s="16"/>
    </row>
    <row r="246" spans="2:8">
      <c r="B246" s="5"/>
      <c r="H246" s="16"/>
    </row>
    <row r="247" spans="2:8">
      <c r="B247" s="5"/>
      <c r="H247" s="16"/>
    </row>
    <row r="248" spans="2:8">
      <c r="B248" s="5"/>
      <c r="H248" s="16"/>
    </row>
    <row r="249" spans="2:8">
      <c r="B249" s="5"/>
      <c r="H249" s="16"/>
    </row>
    <row r="250" spans="2:8">
      <c r="B250" s="5"/>
      <c r="H250" s="16"/>
    </row>
    <row r="251" spans="2:8">
      <c r="B251" s="5"/>
      <c r="H251" s="16"/>
    </row>
    <row r="252" spans="2:8">
      <c r="B252" s="5"/>
      <c r="H252" s="16"/>
    </row>
    <row r="253" spans="2:8">
      <c r="B253" s="5"/>
      <c r="H253" s="16"/>
    </row>
    <row r="254" spans="2:8">
      <c r="B254" s="5"/>
      <c r="H254" s="16"/>
    </row>
    <row r="255" spans="2:8">
      <c r="B255" s="5"/>
      <c r="H255" s="16"/>
    </row>
    <row r="256" spans="2:8">
      <c r="B256" s="5"/>
      <c r="H256" s="16"/>
    </row>
    <row r="257" spans="2:8">
      <c r="B257" s="5"/>
      <c r="H257" s="16"/>
    </row>
    <row r="258" spans="2:8">
      <c r="B258" s="5"/>
      <c r="H258" s="16"/>
    </row>
    <row r="259" spans="2:8">
      <c r="B259" s="5"/>
      <c r="H259" s="16"/>
    </row>
    <row r="260" spans="2:8">
      <c r="B260" s="5"/>
      <c r="H260" s="16"/>
    </row>
    <row r="261" spans="2:8">
      <c r="B261" s="5"/>
      <c r="H261" s="16"/>
    </row>
    <row r="262" spans="2:8">
      <c r="B262" s="5"/>
      <c r="H262" s="16"/>
    </row>
    <row r="263" spans="2:8">
      <c r="B263" s="5"/>
      <c r="H263" s="16"/>
    </row>
    <row r="264" spans="2:8">
      <c r="B264" s="5"/>
      <c r="H264" s="16"/>
    </row>
    <row r="265" spans="2:8">
      <c r="B265" s="5"/>
      <c r="H265" s="16"/>
    </row>
    <row r="266" spans="2:8">
      <c r="B266" s="5"/>
      <c r="H266" s="16"/>
    </row>
    <row r="267" spans="2:8">
      <c r="B267" s="5"/>
      <c r="H267" s="16"/>
    </row>
    <row r="268" spans="2:8">
      <c r="B268" s="5"/>
      <c r="H268" s="16"/>
    </row>
    <row r="269" spans="2:8">
      <c r="B269" s="5"/>
      <c r="H269" s="16"/>
    </row>
    <row r="270" spans="2:8">
      <c r="B270" s="5"/>
      <c r="H270" s="16"/>
    </row>
    <row r="271" spans="2:8">
      <c r="B271" s="5"/>
      <c r="H271" s="16"/>
    </row>
    <row r="272" spans="2:8">
      <c r="B272" s="5"/>
      <c r="H272" s="16"/>
    </row>
    <row r="273" spans="2:8">
      <c r="B273" s="5"/>
      <c r="H273" s="16"/>
    </row>
    <row r="274" spans="2:8">
      <c r="B274" s="5"/>
      <c r="H274" s="16"/>
    </row>
    <row r="275" spans="2:8">
      <c r="B275" s="5"/>
      <c r="H275" s="16"/>
    </row>
    <row r="276" spans="2:8">
      <c r="B276" s="5"/>
      <c r="H276" s="16"/>
    </row>
    <row r="277" spans="2:8">
      <c r="B277" s="5"/>
      <c r="H277" s="16"/>
    </row>
    <row r="278" spans="2:8">
      <c r="B278" s="5"/>
      <c r="H278" s="16"/>
    </row>
    <row r="279" spans="2:8">
      <c r="B279" s="5"/>
      <c r="H279" s="16"/>
    </row>
    <row r="280" spans="2:8">
      <c r="B280" s="5"/>
      <c r="H280" s="16"/>
    </row>
    <row r="281" spans="2:8">
      <c r="B281" s="5"/>
      <c r="H281" s="16"/>
    </row>
    <row r="282" spans="2:8">
      <c r="B282" s="5"/>
      <c r="H282" s="16"/>
    </row>
    <row r="283" spans="2:8">
      <c r="B283" s="5"/>
      <c r="H283" s="16"/>
    </row>
    <row r="284" spans="2:8">
      <c r="B284" s="5"/>
      <c r="H284" s="16"/>
    </row>
    <row r="285" spans="2:8">
      <c r="B285" s="5"/>
      <c r="H285" s="16"/>
    </row>
    <row r="286" spans="2:8">
      <c r="B286" s="5"/>
      <c r="H286" s="16"/>
    </row>
    <row r="287" spans="2:8">
      <c r="B287" s="5"/>
      <c r="H287" s="16"/>
    </row>
    <row r="288" spans="2:8">
      <c r="B288" s="5"/>
      <c r="H288" s="16"/>
    </row>
    <row r="289" spans="2:8">
      <c r="B289" s="5"/>
      <c r="H289" s="16"/>
    </row>
    <row r="290" spans="2:8">
      <c r="B290" s="5"/>
      <c r="H290" s="16"/>
    </row>
    <row r="291" spans="2:8">
      <c r="B291" s="5"/>
      <c r="H291" s="16"/>
    </row>
    <row r="292" spans="2:8">
      <c r="B292" s="5"/>
      <c r="H292" s="16"/>
    </row>
    <row r="293" spans="2:8">
      <c r="B293" s="5"/>
      <c r="H293" s="16"/>
    </row>
    <row r="294" spans="2:8">
      <c r="B294" s="5"/>
      <c r="H294" s="16"/>
    </row>
    <row r="295" spans="2:8">
      <c r="B295" s="5"/>
      <c r="H295" s="16"/>
    </row>
    <row r="296" spans="2:8">
      <c r="B296" s="5"/>
      <c r="H296" s="16"/>
    </row>
    <row r="297" spans="2:8">
      <c r="B297" s="5"/>
      <c r="H297" s="16"/>
    </row>
    <row r="298" spans="2:8">
      <c r="B298" s="5"/>
      <c r="H298" s="16"/>
    </row>
    <row r="299" spans="2:8">
      <c r="B299" s="5"/>
      <c r="H299" s="16"/>
    </row>
    <row r="300" spans="2:8">
      <c r="B300" s="5"/>
      <c r="H300" s="16"/>
    </row>
    <row r="301" spans="2:8">
      <c r="B301" s="5"/>
      <c r="H301" s="16"/>
    </row>
    <row r="302" spans="2:8">
      <c r="B302" s="5"/>
      <c r="H302" s="16"/>
    </row>
    <row r="303" spans="2:8">
      <c r="B303" s="5"/>
      <c r="H303" s="16"/>
    </row>
    <row r="304" spans="2:8">
      <c r="B304" s="5"/>
      <c r="H304" s="16"/>
    </row>
    <row r="305" spans="2:8">
      <c r="B305" s="5"/>
      <c r="H305" s="16"/>
    </row>
    <row r="306" spans="2:8">
      <c r="B306" s="5"/>
      <c r="H306" s="16"/>
    </row>
    <row r="307" spans="2:8">
      <c r="B307" s="5"/>
      <c r="H307" s="16"/>
    </row>
    <row r="308" spans="2:8">
      <c r="B308" s="5"/>
      <c r="H308" s="16"/>
    </row>
    <row r="309" spans="2:8">
      <c r="B309" s="5"/>
      <c r="H309" s="16"/>
    </row>
    <row r="310" spans="2:8">
      <c r="B310" s="5"/>
      <c r="H310" s="16"/>
    </row>
    <row r="311" spans="2:8">
      <c r="B311" s="5"/>
      <c r="H311" s="16"/>
    </row>
    <row r="312" spans="2:8">
      <c r="B312" s="5"/>
      <c r="H312" s="16"/>
    </row>
    <row r="313" spans="2:8">
      <c r="B313" s="5"/>
      <c r="H313" s="16"/>
    </row>
    <row r="314" spans="2:8">
      <c r="B314" s="5"/>
      <c r="H314" s="16"/>
    </row>
    <row r="315" spans="2:8">
      <c r="B315" s="5"/>
      <c r="H315" s="16"/>
    </row>
    <row r="316" spans="2:8">
      <c r="B316" s="5"/>
      <c r="H316" s="16"/>
    </row>
    <row r="317" spans="2:8">
      <c r="B317" s="5"/>
      <c r="H317" s="16"/>
    </row>
    <row r="318" spans="2:8">
      <c r="B318" s="5"/>
      <c r="H318" s="16"/>
    </row>
    <row r="319" spans="2:8">
      <c r="B319" s="5"/>
      <c r="H319" s="16"/>
    </row>
    <row r="320" spans="2:8">
      <c r="B320" s="5"/>
      <c r="H320" s="16"/>
    </row>
    <row r="321" spans="2:8">
      <c r="B321" s="5"/>
      <c r="H321" s="16"/>
    </row>
    <row r="322" spans="2:8">
      <c r="B322" s="5"/>
      <c r="H322" s="16"/>
    </row>
    <row r="323" spans="2:8">
      <c r="B323" s="5"/>
      <c r="H323" s="16"/>
    </row>
    <row r="324" spans="2:8">
      <c r="B324" s="5"/>
      <c r="H324" s="16"/>
    </row>
    <row r="325" spans="2:8">
      <c r="B325" s="5"/>
      <c r="H325" s="16"/>
    </row>
    <row r="326" spans="2:8">
      <c r="B326" s="5"/>
      <c r="H326" s="16"/>
    </row>
    <row r="327" spans="2:8">
      <c r="B327" s="5"/>
      <c r="H327" s="16"/>
    </row>
    <row r="328" spans="2:8">
      <c r="B328" s="5"/>
      <c r="H328" s="16"/>
    </row>
    <row r="329" spans="2:8">
      <c r="B329" s="5"/>
      <c r="H329" s="16"/>
    </row>
    <row r="330" spans="2:8">
      <c r="B330" s="5"/>
      <c r="H330" s="16"/>
    </row>
    <row r="331" spans="2:8">
      <c r="B331" s="5"/>
      <c r="H331" s="16"/>
    </row>
    <row r="332" spans="2:8">
      <c r="B332" s="5"/>
      <c r="H332" s="16"/>
    </row>
    <row r="333" spans="2:8">
      <c r="B333" s="5"/>
      <c r="H333" s="16"/>
    </row>
    <row r="334" spans="2:8">
      <c r="B334" s="5"/>
      <c r="H334" s="16"/>
    </row>
    <row r="335" spans="2:8">
      <c r="B335" s="5"/>
      <c r="H335" s="16"/>
    </row>
    <row r="336" spans="2:8">
      <c r="B336" s="5"/>
      <c r="H336" s="16"/>
    </row>
    <row r="337" spans="2:8">
      <c r="B337" s="5"/>
      <c r="H337" s="16"/>
    </row>
    <row r="338" spans="2:8">
      <c r="B338" s="5"/>
      <c r="H338" s="16"/>
    </row>
    <row r="339" spans="2:8">
      <c r="B339" s="5"/>
      <c r="H339" s="16"/>
    </row>
    <row r="340" spans="2:8">
      <c r="B340" s="5"/>
      <c r="H340" s="16"/>
    </row>
    <row r="341" spans="2:8">
      <c r="B341" s="5"/>
      <c r="H341" s="16"/>
    </row>
    <row r="342" spans="2:8">
      <c r="B342" s="5"/>
      <c r="H342" s="16"/>
    </row>
    <row r="343" spans="2:8">
      <c r="B343" s="5"/>
      <c r="H343" s="16"/>
    </row>
    <row r="344" spans="2:8">
      <c r="B344" s="5"/>
      <c r="H344" s="16"/>
    </row>
    <row r="345" spans="2:8">
      <c r="B345" s="5"/>
      <c r="H345" s="16"/>
    </row>
    <row r="346" spans="2:8">
      <c r="B346" s="5"/>
      <c r="H346" s="16"/>
    </row>
    <row r="347" spans="2:8">
      <c r="B347" s="5"/>
      <c r="H347" s="16"/>
    </row>
    <row r="348" spans="2:8">
      <c r="B348" s="5"/>
      <c r="H348" s="16"/>
    </row>
    <row r="349" spans="2:8">
      <c r="B349" s="5"/>
      <c r="H349" s="16"/>
    </row>
    <row r="350" spans="2:8">
      <c r="B350" s="5"/>
      <c r="H350" s="16"/>
    </row>
    <row r="351" spans="2:8">
      <c r="B351" s="5"/>
      <c r="H351" s="16"/>
    </row>
    <row r="352" spans="2:8">
      <c r="B352" s="5"/>
      <c r="H352" s="16"/>
    </row>
    <row r="353" spans="2:8">
      <c r="B353" s="5"/>
      <c r="H353" s="16"/>
    </row>
    <row r="354" spans="2:8">
      <c r="B354" s="5"/>
      <c r="H354" s="16"/>
    </row>
    <row r="355" spans="2:8">
      <c r="B355" s="5"/>
      <c r="H355" s="16"/>
    </row>
    <row r="356" spans="2:8">
      <c r="B356" s="5"/>
      <c r="H356" s="16"/>
    </row>
    <row r="357" spans="2:8">
      <c r="B357" s="5"/>
      <c r="H357" s="16"/>
    </row>
    <row r="358" spans="2:8">
      <c r="B358" s="5"/>
      <c r="H358" s="16"/>
    </row>
    <row r="359" spans="2:8">
      <c r="B359" s="5"/>
      <c r="H359" s="16"/>
    </row>
    <row r="360" spans="2:8">
      <c r="B360" s="5"/>
      <c r="H360" s="16"/>
    </row>
    <row r="361" spans="2:8">
      <c r="B361" s="5"/>
      <c r="H361" s="16"/>
    </row>
    <row r="362" spans="2:8">
      <c r="B362" s="5"/>
      <c r="H362" s="16"/>
    </row>
    <row r="363" spans="2:8">
      <c r="B363" s="5"/>
      <c r="H363" s="16"/>
    </row>
    <row r="364" spans="2:8">
      <c r="B364" s="5"/>
      <c r="H364" s="16"/>
    </row>
    <row r="365" spans="2:8">
      <c r="B365" s="5"/>
      <c r="H365" s="16"/>
    </row>
    <row r="366" spans="2:8">
      <c r="B366" s="5"/>
      <c r="H366" s="16"/>
    </row>
    <row r="367" spans="2:8">
      <c r="B367" s="5"/>
      <c r="H367" s="16"/>
    </row>
    <row r="368" spans="2:8">
      <c r="B368" s="5"/>
      <c r="H368" s="16"/>
    </row>
    <row r="369" spans="2:8">
      <c r="B369" s="5"/>
      <c r="H369" s="16"/>
    </row>
    <row r="370" spans="2:8">
      <c r="B370" s="5"/>
      <c r="H370" s="16"/>
    </row>
    <row r="371" spans="2:8">
      <c r="B371" s="5"/>
      <c r="H371" s="16"/>
    </row>
    <row r="372" spans="2:8">
      <c r="B372" s="5"/>
      <c r="H372" s="16"/>
    </row>
    <row r="373" spans="2:8">
      <c r="B373" s="5"/>
      <c r="H373" s="16"/>
    </row>
    <row r="374" spans="2:8">
      <c r="B374" s="5"/>
      <c r="H374" s="16"/>
    </row>
    <row r="375" spans="2:8">
      <c r="B375" s="5"/>
      <c r="H375" s="16"/>
    </row>
    <row r="376" spans="2:8">
      <c r="B376" s="5"/>
      <c r="H376" s="16"/>
    </row>
    <row r="377" spans="2:8">
      <c r="B377" s="5"/>
      <c r="H377" s="16"/>
    </row>
    <row r="378" spans="2:8">
      <c r="B378" s="5"/>
      <c r="H378" s="16"/>
    </row>
    <row r="379" spans="2:8">
      <c r="B379" s="5"/>
      <c r="H379" s="16"/>
    </row>
    <row r="380" spans="2:8">
      <c r="B380" s="5"/>
      <c r="H380" s="16"/>
    </row>
    <row r="381" spans="2:8">
      <c r="B381" s="5"/>
      <c r="H381" s="16"/>
    </row>
    <row r="382" spans="2:8">
      <c r="B382" s="5"/>
      <c r="H382" s="16"/>
    </row>
    <row r="383" spans="2:8">
      <c r="B383" s="5"/>
      <c r="H383" s="16"/>
    </row>
    <row r="384" spans="2:8">
      <c r="B384" s="5"/>
      <c r="H384" s="16"/>
    </row>
    <row r="385" spans="2:8">
      <c r="B385" s="5"/>
      <c r="H385" s="16"/>
    </row>
    <row r="386" spans="2:8">
      <c r="B386" s="5"/>
      <c r="H386" s="16"/>
    </row>
    <row r="387" spans="2:8">
      <c r="B387" s="5"/>
      <c r="H387" s="16"/>
    </row>
    <row r="388" spans="2:8">
      <c r="B388" s="5"/>
      <c r="H388" s="16"/>
    </row>
    <row r="389" spans="2:8">
      <c r="B389" s="5"/>
      <c r="H389" s="16"/>
    </row>
    <row r="390" spans="2:8">
      <c r="B390" s="5"/>
      <c r="H390" s="16"/>
    </row>
    <row r="391" spans="2:8">
      <c r="B391" s="5"/>
      <c r="H391" s="16"/>
    </row>
    <row r="392" spans="2:8">
      <c r="B392" s="5"/>
      <c r="H392" s="16"/>
    </row>
    <row r="393" spans="2:8">
      <c r="B393" s="5"/>
      <c r="H393" s="16"/>
    </row>
    <row r="394" spans="2:8">
      <c r="B394" s="5"/>
      <c r="H394" s="16"/>
    </row>
    <row r="395" spans="2:8">
      <c r="B395" s="5"/>
      <c r="H395" s="16"/>
    </row>
    <row r="396" spans="2:8">
      <c r="B396" s="5"/>
      <c r="H396" s="16"/>
    </row>
    <row r="397" spans="2:8">
      <c r="B397" s="5"/>
      <c r="H397" s="16"/>
    </row>
    <row r="398" spans="2:8">
      <c r="B398" s="5"/>
      <c r="H398" s="16"/>
    </row>
    <row r="399" spans="2:8">
      <c r="B399" s="5"/>
      <c r="H399" s="16"/>
    </row>
    <row r="400" spans="2:8">
      <c r="B400" s="5"/>
      <c r="H400" s="16"/>
    </row>
    <row r="401" spans="2:8">
      <c r="B401" s="5"/>
      <c r="H401" s="16"/>
    </row>
    <row r="402" spans="2:8">
      <c r="B402" s="5"/>
      <c r="H402" s="16"/>
    </row>
    <row r="403" spans="2:8">
      <c r="B403" s="5"/>
      <c r="H403" s="16"/>
    </row>
    <row r="404" spans="2:8">
      <c r="B404" s="5"/>
      <c r="H404" s="16"/>
    </row>
    <row r="405" spans="2:8">
      <c r="B405" s="5"/>
      <c r="H405" s="16"/>
    </row>
    <row r="406" spans="2:8">
      <c r="B406" s="5"/>
      <c r="H406" s="16"/>
    </row>
    <row r="407" spans="2:8">
      <c r="B407" s="5"/>
      <c r="H407" s="16"/>
    </row>
    <row r="408" spans="2:8">
      <c r="B408" s="5"/>
      <c r="H408" s="16"/>
    </row>
    <row r="409" spans="2:8">
      <c r="B409" s="5"/>
      <c r="H409" s="16"/>
    </row>
    <row r="410" spans="2:8">
      <c r="B410" s="5"/>
      <c r="H410" s="16"/>
    </row>
    <row r="411" spans="2:8">
      <c r="B411" s="5"/>
      <c r="H411" s="16"/>
    </row>
    <row r="412" spans="2:8">
      <c r="B412" s="5"/>
      <c r="H412" s="16"/>
    </row>
    <row r="413" spans="2:8">
      <c r="B413" s="5"/>
      <c r="H413" s="16"/>
    </row>
    <row r="414" spans="2:8">
      <c r="B414" s="5"/>
      <c r="H414" s="16"/>
    </row>
    <row r="415" spans="2:8">
      <c r="B415" s="5"/>
      <c r="H415" s="16"/>
    </row>
    <row r="416" spans="2:8">
      <c r="B416" s="5"/>
      <c r="H416" s="16"/>
    </row>
    <row r="417" spans="2:8">
      <c r="B417" s="5"/>
      <c r="H417" s="16"/>
    </row>
    <row r="418" spans="2:8">
      <c r="B418" s="5"/>
      <c r="H418" s="16"/>
    </row>
    <row r="419" spans="2:8">
      <c r="B419" s="5"/>
      <c r="H419" s="16"/>
    </row>
    <row r="420" spans="2:8">
      <c r="B420" s="5"/>
      <c r="H420" s="16"/>
    </row>
    <row r="421" spans="2:8">
      <c r="B421" s="5"/>
      <c r="H421" s="16"/>
    </row>
    <row r="422" spans="2:8">
      <c r="B422" s="5"/>
      <c r="H422" s="16"/>
    </row>
    <row r="423" spans="2:8">
      <c r="B423" s="5"/>
      <c r="H423" s="16"/>
    </row>
    <row r="424" spans="2:8">
      <c r="B424" s="5"/>
      <c r="H424" s="16"/>
    </row>
    <row r="425" spans="2:8">
      <c r="B425" s="5"/>
      <c r="H425" s="16"/>
    </row>
    <row r="426" spans="2:8">
      <c r="B426" s="5"/>
      <c r="H426" s="16"/>
    </row>
    <row r="427" spans="2:8">
      <c r="B427" s="5"/>
      <c r="H427" s="16"/>
    </row>
    <row r="428" spans="2:8">
      <c r="B428" s="5"/>
      <c r="H428" s="16"/>
    </row>
    <row r="429" spans="2:8">
      <c r="B429" s="5"/>
      <c r="H429" s="16"/>
    </row>
    <row r="430" spans="2:8">
      <c r="B430" s="5"/>
      <c r="H430" s="16"/>
    </row>
    <row r="431" spans="2:8">
      <c r="B431" s="5"/>
      <c r="H431" s="16"/>
    </row>
    <row r="432" spans="2:8">
      <c r="B432" s="5"/>
      <c r="H432" s="16"/>
    </row>
    <row r="433" spans="2:8">
      <c r="B433" s="5"/>
      <c r="H433" s="16"/>
    </row>
    <row r="434" spans="2:8">
      <c r="B434" s="5"/>
      <c r="H434" s="16"/>
    </row>
    <row r="435" spans="2:8">
      <c r="B435" s="5"/>
      <c r="H435" s="16"/>
    </row>
    <row r="436" spans="2:8">
      <c r="B436" s="5"/>
      <c r="H436" s="16"/>
    </row>
    <row r="437" spans="2:8">
      <c r="B437" s="5"/>
      <c r="H437" s="16"/>
    </row>
    <row r="438" spans="2:8">
      <c r="B438" s="5"/>
      <c r="H438" s="16"/>
    </row>
    <row r="439" spans="2:8">
      <c r="B439" s="5"/>
      <c r="H439" s="16"/>
    </row>
    <row r="440" spans="2:8">
      <c r="B440" s="5"/>
      <c r="H440" s="16"/>
    </row>
    <row r="441" spans="2:8">
      <c r="B441" s="5"/>
      <c r="H441" s="16"/>
    </row>
    <row r="442" spans="2:8">
      <c r="B442" s="5"/>
      <c r="H442" s="16"/>
    </row>
    <row r="443" spans="2:8">
      <c r="B443" s="5"/>
      <c r="H443" s="16"/>
    </row>
    <row r="444" spans="2:8">
      <c r="B444" s="5"/>
      <c r="H444" s="16"/>
    </row>
    <row r="445" spans="2:8">
      <c r="B445" s="5"/>
      <c r="H445" s="16"/>
    </row>
    <row r="446" spans="2:8">
      <c r="B446" s="5"/>
      <c r="H446" s="16"/>
    </row>
    <row r="447" spans="2:8">
      <c r="B447" s="5"/>
      <c r="H447" s="16"/>
    </row>
    <row r="448" spans="2:8">
      <c r="B448" s="5"/>
      <c r="H448" s="16"/>
    </row>
    <row r="449" spans="2:8">
      <c r="B449" s="5"/>
      <c r="H449" s="16"/>
    </row>
    <row r="450" spans="2:8">
      <c r="B450" s="5"/>
      <c r="H450" s="16"/>
    </row>
    <row r="451" spans="2:8">
      <c r="B451" s="5"/>
      <c r="H451" s="16"/>
    </row>
    <row r="452" spans="2:8">
      <c r="B452" s="5"/>
      <c r="H452" s="16"/>
    </row>
    <row r="453" spans="2:8">
      <c r="B453" s="5"/>
      <c r="H453" s="16"/>
    </row>
    <row r="454" spans="2:8">
      <c r="B454" s="5"/>
      <c r="H454" s="16"/>
    </row>
    <row r="455" spans="2:8">
      <c r="B455" s="5"/>
      <c r="H455" s="16"/>
    </row>
    <row r="456" spans="2:8">
      <c r="B456" s="5"/>
      <c r="H456" s="16"/>
    </row>
    <row r="457" spans="2:8">
      <c r="B457" s="5"/>
      <c r="H457" s="16"/>
    </row>
    <row r="458" spans="2:8">
      <c r="B458" s="5"/>
      <c r="H458" s="16"/>
    </row>
    <row r="459" spans="2:8">
      <c r="B459" s="5"/>
      <c r="H459" s="16"/>
    </row>
    <row r="460" spans="2:8">
      <c r="B460" s="5"/>
      <c r="H460" s="16"/>
    </row>
    <row r="461" spans="2:8">
      <c r="B461" s="5"/>
      <c r="H461" s="16"/>
    </row>
    <row r="462" spans="2:8">
      <c r="B462" s="5"/>
      <c r="H462" s="16"/>
    </row>
    <row r="463" spans="2:8">
      <c r="B463" s="5"/>
      <c r="H463" s="16"/>
    </row>
    <row r="464" spans="2:8">
      <c r="B464" s="5"/>
      <c r="H464" s="16"/>
    </row>
    <row r="465" spans="2:8">
      <c r="B465" s="5"/>
      <c r="H465" s="16"/>
    </row>
    <row r="466" spans="2:8">
      <c r="B466" s="5"/>
      <c r="H466" s="16"/>
    </row>
    <row r="467" spans="2:8">
      <c r="B467" s="5"/>
      <c r="H467" s="16"/>
    </row>
    <row r="468" spans="2:8">
      <c r="B468" s="5"/>
      <c r="H468" s="16"/>
    </row>
    <row r="469" spans="2:8">
      <c r="B469" s="5"/>
      <c r="H469" s="16"/>
    </row>
    <row r="470" spans="2:8">
      <c r="B470" s="5"/>
      <c r="H470" s="16"/>
    </row>
    <row r="471" spans="2:8">
      <c r="B471" s="5"/>
      <c r="H471" s="16"/>
    </row>
    <row r="472" spans="2:8">
      <c r="B472" s="5"/>
      <c r="H472" s="16"/>
    </row>
    <row r="473" spans="2:8">
      <c r="B473" s="5"/>
      <c r="H473" s="16"/>
    </row>
    <row r="474" spans="2:8">
      <c r="B474" s="5"/>
      <c r="H474" s="16"/>
    </row>
    <row r="475" spans="2:8">
      <c r="B475" s="5"/>
      <c r="H475" s="16"/>
    </row>
    <row r="476" spans="2:8">
      <c r="B476" s="5"/>
      <c r="H476" s="16"/>
    </row>
    <row r="477" spans="2:8">
      <c r="B477" s="5"/>
      <c r="H477" s="16"/>
    </row>
    <row r="478" spans="2:8">
      <c r="B478" s="5"/>
      <c r="H478" s="16"/>
    </row>
    <row r="479" spans="2:8">
      <c r="B479" s="5"/>
      <c r="H479" s="16"/>
    </row>
    <row r="480" spans="2:8">
      <c r="B480" s="5"/>
      <c r="H480" s="16"/>
    </row>
    <row r="481" spans="2:8">
      <c r="B481" s="5"/>
      <c r="H481" s="16"/>
    </row>
    <row r="482" spans="2:8">
      <c r="B482" s="5"/>
      <c r="H482" s="16"/>
    </row>
    <row r="483" spans="2:8">
      <c r="B483" s="5"/>
      <c r="H483" s="16"/>
    </row>
    <row r="484" spans="2:8">
      <c r="B484" s="5"/>
      <c r="H484" s="16"/>
    </row>
    <row r="485" spans="2:8">
      <c r="B485" s="5"/>
      <c r="H485" s="16"/>
    </row>
    <row r="486" spans="2:8">
      <c r="B486" s="5"/>
      <c r="H486" s="16"/>
    </row>
    <row r="487" spans="2:8">
      <c r="B487" s="5"/>
      <c r="H487" s="16"/>
    </row>
    <row r="488" spans="2:8">
      <c r="B488" s="5"/>
      <c r="H488" s="16"/>
    </row>
    <row r="489" spans="2:8">
      <c r="B489" s="5"/>
      <c r="H489" s="16"/>
    </row>
    <row r="490" spans="2:8">
      <c r="B490" s="5"/>
      <c r="H490" s="16"/>
    </row>
    <row r="491" spans="2:8">
      <c r="B491" s="5"/>
      <c r="H491" s="16"/>
    </row>
    <row r="492" spans="2:8">
      <c r="B492" s="5"/>
      <c r="H492" s="16"/>
    </row>
    <row r="493" spans="2:8">
      <c r="B493" s="5"/>
      <c r="H493" s="16"/>
    </row>
    <row r="494" spans="2:8">
      <c r="B494" s="5"/>
      <c r="H494" s="16"/>
    </row>
    <row r="495" spans="2:8">
      <c r="B495" s="5"/>
      <c r="H495" s="16"/>
    </row>
    <row r="496" spans="2:8">
      <c r="B496" s="5"/>
      <c r="H496" s="16"/>
    </row>
    <row r="497" spans="2:8">
      <c r="B497" s="5"/>
      <c r="H497" s="16"/>
    </row>
    <row r="498" spans="2:8">
      <c r="B498" s="5"/>
      <c r="H498" s="16"/>
    </row>
    <row r="499" spans="2:8">
      <c r="B499" s="5"/>
      <c r="H499" s="16"/>
    </row>
    <row r="500" spans="2:8">
      <c r="B500" s="5"/>
      <c r="H500" s="16"/>
    </row>
    <row r="501" spans="2:8">
      <c r="B501" s="5"/>
      <c r="H501" s="16"/>
    </row>
    <row r="502" spans="2:8">
      <c r="B502" s="5"/>
      <c r="H502" s="16"/>
    </row>
    <row r="503" spans="2:8">
      <c r="B503" s="5"/>
      <c r="H503" s="16"/>
    </row>
    <row r="504" spans="2:8">
      <c r="B504" s="5"/>
      <c r="H504" s="16"/>
    </row>
    <row r="505" spans="2:8">
      <c r="B505" s="5"/>
      <c r="H505" s="16"/>
    </row>
    <row r="506" spans="2:8">
      <c r="B506" s="5"/>
      <c r="H506" s="16"/>
    </row>
    <row r="507" spans="2:8">
      <c r="B507" s="5"/>
      <c r="H507" s="16"/>
    </row>
    <row r="508" spans="2:8">
      <c r="B508" s="5"/>
      <c r="H508" s="16"/>
    </row>
    <row r="509" spans="2:8">
      <c r="B509" s="5"/>
      <c r="H509" s="16"/>
    </row>
    <row r="510" spans="2:8">
      <c r="B510" s="5"/>
      <c r="H510" s="16"/>
    </row>
    <row r="511" spans="2:8">
      <c r="B511" s="5"/>
      <c r="H511" s="16"/>
    </row>
    <row r="512" spans="2:8">
      <c r="B512" s="5"/>
      <c r="H512" s="16"/>
    </row>
    <row r="513" spans="2:8">
      <c r="B513" s="5"/>
      <c r="H513" s="16"/>
    </row>
    <row r="514" spans="2:8">
      <c r="B514" s="5"/>
      <c r="H514" s="16"/>
    </row>
    <row r="515" spans="2:8">
      <c r="B515" s="5"/>
      <c r="H515" s="16"/>
    </row>
    <row r="516" spans="2:8">
      <c r="B516" s="5"/>
      <c r="H516" s="16"/>
    </row>
    <row r="517" spans="2:8">
      <c r="B517" s="5"/>
      <c r="H517" s="16"/>
    </row>
    <row r="518" spans="2:8">
      <c r="B518" s="5"/>
      <c r="H518" s="16"/>
    </row>
    <row r="519" spans="2:8">
      <c r="B519" s="5"/>
      <c r="H519" s="16"/>
    </row>
    <row r="520" spans="2:8">
      <c r="B520" s="5"/>
      <c r="H520" s="16"/>
    </row>
    <row r="521" spans="2:8">
      <c r="B521" s="5"/>
      <c r="H521" s="16"/>
    </row>
    <row r="522" spans="2:8">
      <c r="B522" s="5"/>
      <c r="H522" s="16"/>
    </row>
    <row r="523" spans="2:8">
      <c r="B523" s="5"/>
      <c r="H523" s="16"/>
    </row>
    <row r="524" spans="2:8">
      <c r="B524" s="5"/>
      <c r="H524" s="16"/>
    </row>
    <row r="525" spans="2:8">
      <c r="B525" s="5"/>
      <c r="H525" s="16"/>
    </row>
    <row r="526" spans="2:8">
      <c r="B526" s="5"/>
      <c r="H526" s="16"/>
    </row>
    <row r="527" spans="2:8">
      <c r="B527" s="5"/>
      <c r="H527" s="16"/>
    </row>
    <row r="528" spans="2:8">
      <c r="B528" s="5"/>
      <c r="H528" s="16"/>
    </row>
    <row r="529" spans="2:8">
      <c r="B529" s="5"/>
      <c r="H529" s="16"/>
    </row>
    <row r="530" spans="2:8">
      <c r="B530" s="5"/>
      <c r="H530" s="16"/>
    </row>
    <row r="531" spans="2:8">
      <c r="B531" s="5"/>
      <c r="H531" s="16"/>
    </row>
    <row r="532" spans="2:8">
      <c r="B532" s="5"/>
      <c r="H532" s="16"/>
    </row>
    <row r="533" spans="2:8">
      <c r="B533" s="5"/>
      <c r="H533" s="16"/>
    </row>
    <row r="534" spans="2:8">
      <c r="B534" s="5"/>
      <c r="H534" s="16"/>
    </row>
    <row r="535" spans="2:8">
      <c r="B535" s="5"/>
      <c r="H535" s="16"/>
    </row>
    <row r="536" spans="2:8">
      <c r="B536" s="5"/>
      <c r="H536" s="16"/>
    </row>
    <row r="537" spans="2:8">
      <c r="B537" s="5"/>
      <c r="H537" s="16"/>
    </row>
    <row r="538" spans="2:8">
      <c r="B538" s="5"/>
      <c r="H538" s="16"/>
    </row>
    <row r="539" spans="2:8">
      <c r="B539" s="5"/>
      <c r="H539" s="16"/>
    </row>
    <row r="540" spans="2:8">
      <c r="B540" s="5"/>
      <c r="H540" s="16"/>
    </row>
    <row r="541" spans="2:8">
      <c r="B541" s="5"/>
      <c r="H541" s="16"/>
    </row>
    <row r="542" spans="2:8">
      <c r="B542" s="5"/>
      <c r="H542" s="16"/>
    </row>
    <row r="543" spans="2:8">
      <c r="B543" s="5"/>
      <c r="H543" s="16"/>
    </row>
    <row r="544" spans="2:8">
      <c r="B544" s="5"/>
      <c r="H544" s="16"/>
    </row>
    <row r="545" spans="2:8">
      <c r="B545" s="5"/>
      <c r="H545" s="16"/>
    </row>
    <row r="546" spans="2:8">
      <c r="B546" s="5"/>
      <c r="H546" s="16"/>
    </row>
    <row r="547" spans="2:8">
      <c r="B547" s="5"/>
      <c r="H547" s="16"/>
    </row>
    <row r="548" spans="2:8">
      <c r="B548" s="5"/>
      <c r="H548" s="16"/>
    </row>
    <row r="549" spans="2:8">
      <c r="B549" s="5"/>
      <c r="H549" s="16"/>
    </row>
    <row r="550" spans="2:8">
      <c r="B550" s="5"/>
      <c r="H550" s="16"/>
    </row>
    <row r="551" spans="2:8">
      <c r="B551" s="5"/>
      <c r="H551" s="16"/>
    </row>
    <row r="552" spans="2:8">
      <c r="B552" s="5"/>
      <c r="H552" s="16"/>
    </row>
    <row r="553" spans="2:8">
      <c r="B553" s="5"/>
      <c r="H553" s="16"/>
    </row>
    <row r="554" spans="2:8">
      <c r="B554" s="5"/>
      <c r="H554" s="16"/>
    </row>
    <row r="555" spans="2:8">
      <c r="B555" s="5"/>
      <c r="H555" s="16"/>
    </row>
    <row r="556" spans="2:8">
      <c r="B556" s="5"/>
      <c r="H556" s="16"/>
    </row>
    <row r="557" spans="2:8">
      <c r="B557" s="5"/>
      <c r="H557" s="16"/>
    </row>
    <row r="558" spans="2:8">
      <c r="B558" s="5"/>
      <c r="H558" s="16"/>
    </row>
    <row r="559" spans="2:8">
      <c r="B559" s="5"/>
      <c r="H559" s="16"/>
    </row>
    <row r="560" spans="2:8">
      <c r="B560" s="5"/>
      <c r="H560" s="16"/>
    </row>
    <row r="561" spans="2:8">
      <c r="B561" s="5"/>
      <c r="H561" s="16"/>
    </row>
    <row r="562" spans="2:8">
      <c r="B562" s="5"/>
      <c r="H562" s="16"/>
    </row>
    <row r="563" spans="2:8">
      <c r="B563" s="5"/>
      <c r="H563" s="16"/>
    </row>
    <row r="564" spans="2:8">
      <c r="B564" s="5"/>
      <c r="H564" s="16"/>
    </row>
    <row r="565" spans="2:8">
      <c r="B565" s="5"/>
      <c r="H565" s="16"/>
    </row>
    <row r="566" spans="2:8">
      <c r="B566" s="5"/>
      <c r="H566" s="16"/>
    </row>
    <row r="567" spans="2:8">
      <c r="B567" s="5"/>
      <c r="H567" s="16"/>
    </row>
    <row r="568" spans="2:8">
      <c r="B568" s="5"/>
      <c r="H568" s="16"/>
    </row>
    <row r="569" spans="2:8">
      <c r="B569" s="5"/>
      <c r="H569" s="16"/>
    </row>
    <row r="570" spans="2:8">
      <c r="B570" s="5"/>
      <c r="H570" s="16"/>
    </row>
    <row r="571" spans="2:8">
      <c r="B571" s="5"/>
      <c r="H571" s="16"/>
    </row>
    <row r="572" spans="2:8">
      <c r="B572" s="5"/>
      <c r="H572" s="16"/>
    </row>
    <row r="573" spans="2:8">
      <c r="B573" s="5"/>
      <c r="H573" s="16"/>
    </row>
    <row r="574" spans="2:8">
      <c r="B574" s="5"/>
      <c r="H574" s="16"/>
    </row>
    <row r="575" spans="2:8">
      <c r="B575" s="5"/>
      <c r="H575" s="16"/>
    </row>
    <row r="576" spans="2:8">
      <c r="B576" s="5"/>
      <c r="H576" s="16"/>
    </row>
    <row r="577" spans="2:8">
      <c r="B577" s="5"/>
      <c r="H577" s="16"/>
    </row>
    <row r="578" spans="2:8">
      <c r="B578" s="5"/>
      <c r="H578" s="16"/>
    </row>
    <row r="579" spans="2:8">
      <c r="B579" s="5"/>
      <c r="H579" s="16"/>
    </row>
    <row r="580" spans="2:8">
      <c r="B580" s="5"/>
      <c r="H580" s="16"/>
    </row>
    <row r="581" spans="2:8">
      <c r="B581" s="5"/>
      <c r="H581" s="16"/>
    </row>
    <row r="582" spans="2:8">
      <c r="B582" s="5"/>
      <c r="H582" s="16"/>
    </row>
    <row r="583" spans="2:8">
      <c r="B583" s="5"/>
      <c r="H583" s="16"/>
    </row>
    <row r="584" spans="2:8">
      <c r="B584" s="5"/>
      <c r="H584" s="16"/>
    </row>
    <row r="585" spans="2:8">
      <c r="B585" s="5"/>
      <c r="H585" s="16"/>
    </row>
    <row r="586" spans="2:8">
      <c r="B586" s="5"/>
      <c r="H586" s="16"/>
    </row>
    <row r="587" spans="2:8">
      <c r="B587" s="5"/>
      <c r="H587" s="16"/>
    </row>
    <row r="588" spans="2:8">
      <c r="B588" s="5"/>
      <c r="H588" s="16"/>
    </row>
    <row r="589" spans="2:8">
      <c r="B589" s="5"/>
      <c r="H589" s="16"/>
    </row>
    <row r="590" spans="2:8">
      <c r="B590" s="5"/>
      <c r="H590" s="16"/>
    </row>
    <row r="591" spans="2:8">
      <c r="B591" s="5"/>
      <c r="H591" s="16"/>
    </row>
    <row r="592" spans="2:8">
      <c r="B592" s="5"/>
      <c r="H592" s="16"/>
    </row>
    <row r="593" spans="2:8">
      <c r="B593" s="5"/>
      <c r="H593" s="16"/>
    </row>
    <row r="594" spans="2:8">
      <c r="B594" s="5"/>
      <c r="H594" s="16"/>
    </row>
    <row r="595" spans="2:8">
      <c r="B595" s="5"/>
      <c r="H595" s="16"/>
    </row>
    <row r="596" spans="2:8">
      <c r="B596" s="5"/>
      <c r="H596" s="16"/>
    </row>
    <row r="597" spans="2:8">
      <c r="B597" s="5"/>
      <c r="H597" s="16"/>
    </row>
    <row r="598" spans="2:8">
      <c r="B598" s="5"/>
      <c r="H598" s="16"/>
    </row>
    <row r="599" spans="2:8">
      <c r="B599" s="5"/>
      <c r="H599" s="16"/>
    </row>
    <row r="600" spans="2:8">
      <c r="B600" s="5"/>
      <c r="H600" s="16"/>
    </row>
    <row r="601" spans="2:8">
      <c r="B601" s="5"/>
      <c r="H601" s="16"/>
    </row>
    <row r="602" spans="2:8">
      <c r="B602" s="5"/>
      <c r="H602" s="16"/>
    </row>
    <row r="603" spans="2:8">
      <c r="B603" s="5"/>
      <c r="H603" s="16"/>
    </row>
    <row r="604" spans="2:8">
      <c r="B604" s="5"/>
      <c r="H604" s="16"/>
    </row>
    <row r="605" spans="2:8">
      <c r="B605" s="5"/>
      <c r="H605" s="16"/>
    </row>
    <row r="606" spans="2:8">
      <c r="B606" s="5"/>
      <c r="H606" s="16"/>
    </row>
    <row r="607" spans="2:8">
      <c r="B607" s="5"/>
      <c r="H607" s="16"/>
    </row>
    <row r="608" spans="2:8">
      <c r="B608" s="5"/>
      <c r="H608" s="16"/>
    </row>
    <row r="609" spans="2:8">
      <c r="B609" s="5"/>
      <c r="H609" s="16"/>
    </row>
    <row r="610" spans="2:8">
      <c r="B610" s="5"/>
      <c r="H610" s="16"/>
    </row>
    <row r="611" spans="2:8">
      <c r="B611" s="5"/>
      <c r="H611" s="16"/>
    </row>
    <row r="612" spans="2:8">
      <c r="B612" s="5"/>
      <c r="H612" s="16"/>
    </row>
    <row r="613" spans="2:8">
      <c r="B613" s="5"/>
      <c r="H613" s="16"/>
    </row>
    <row r="614" spans="2:8">
      <c r="B614" s="5"/>
      <c r="H614" s="16"/>
    </row>
    <row r="615" spans="2:8">
      <c r="B615" s="5"/>
      <c r="H615" s="16"/>
    </row>
    <row r="616" spans="2:8">
      <c r="B616" s="5"/>
      <c r="H616" s="16"/>
    </row>
    <row r="617" spans="2:8">
      <c r="B617" s="5"/>
      <c r="H617" s="16"/>
    </row>
    <row r="618" spans="2:8">
      <c r="B618" s="5"/>
      <c r="H618" s="16"/>
    </row>
    <row r="619" spans="2:8">
      <c r="B619" s="5"/>
      <c r="H619" s="16"/>
    </row>
    <row r="620" spans="2:8">
      <c r="B620" s="5"/>
      <c r="H620" s="16"/>
    </row>
    <row r="621" spans="2:8">
      <c r="B621" s="5"/>
      <c r="H621" s="16"/>
    </row>
    <row r="622" spans="2:8">
      <c r="B622" s="5"/>
      <c r="H622" s="16"/>
    </row>
    <row r="623" spans="2:8">
      <c r="B623" s="5"/>
      <c r="H623" s="16"/>
    </row>
    <row r="624" spans="2:8">
      <c r="B624" s="5"/>
      <c r="H624" s="16"/>
    </row>
    <row r="625" spans="2:8">
      <c r="B625" s="5"/>
      <c r="H625" s="16"/>
    </row>
    <row r="626" spans="2:8">
      <c r="B626" s="5"/>
      <c r="H626" s="16"/>
    </row>
    <row r="627" spans="2:8">
      <c r="B627" s="5"/>
      <c r="H627" s="16"/>
    </row>
    <row r="628" spans="2:8">
      <c r="B628" s="5"/>
      <c r="H628" s="16"/>
    </row>
    <row r="629" spans="2:8">
      <c r="B629" s="5"/>
      <c r="H629" s="16"/>
    </row>
    <row r="630" spans="2:8">
      <c r="B630" s="5"/>
      <c r="H630" s="16"/>
    </row>
    <row r="631" spans="2:8">
      <c r="B631" s="5"/>
      <c r="H631" s="16"/>
    </row>
    <row r="632" spans="2:8">
      <c r="B632" s="5"/>
      <c r="H632" s="16"/>
    </row>
    <row r="633" spans="2:8">
      <c r="B633" s="5"/>
      <c r="H633" s="16"/>
    </row>
    <row r="634" spans="2:8">
      <c r="B634" s="5"/>
      <c r="H634" s="16"/>
    </row>
    <row r="635" spans="2:8">
      <c r="B635" s="5"/>
      <c r="H635" s="16"/>
    </row>
    <row r="636" spans="2:8">
      <c r="B636" s="5"/>
      <c r="H636" s="16"/>
    </row>
    <row r="637" spans="2:8">
      <c r="B637" s="5"/>
      <c r="H637" s="16"/>
    </row>
    <row r="638" spans="2:8">
      <c r="B638" s="5"/>
      <c r="H638" s="16"/>
    </row>
    <row r="639" spans="2:8">
      <c r="B639" s="5"/>
      <c r="H639" s="16"/>
    </row>
    <row r="640" spans="2:8">
      <c r="B640" s="5"/>
      <c r="H640" s="16"/>
    </row>
    <row r="641" spans="2:8">
      <c r="B641" s="5"/>
      <c r="H641" s="16"/>
    </row>
    <row r="642" spans="2:8">
      <c r="B642" s="5"/>
      <c r="H642" s="16"/>
    </row>
    <row r="643" spans="2:8">
      <c r="B643" s="5"/>
      <c r="H643" s="16"/>
    </row>
    <row r="644" spans="2:8">
      <c r="B644" s="5"/>
      <c r="H644" s="16"/>
    </row>
    <row r="645" spans="2:8">
      <c r="B645" s="5"/>
      <c r="H645" s="16"/>
    </row>
    <row r="646" spans="2:8">
      <c r="B646" s="5"/>
      <c r="H646" s="16"/>
    </row>
    <row r="647" spans="2:8">
      <c r="B647" s="5"/>
      <c r="H647" s="16"/>
    </row>
    <row r="648" spans="2:8">
      <c r="B648" s="5"/>
      <c r="H648" s="16"/>
    </row>
    <row r="649" spans="2:8">
      <c r="B649" s="5"/>
      <c r="H649" s="16"/>
    </row>
    <row r="650" spans="2:8">
      <c r="B650" s="5"/>
      <c r="H650" s="16"/>
    </row>
    <row r="651" spans="2:8">
      <c r="B651" s="5"/>
      <c r="H651" s="16"/>
    </row>
    <row r="652" spans="2:8">
      <c r="B652" s="5"/>
      <c r="H652" s="16"/>
    </row>
    <row r="653" spans="2:8">
      <c r="B653" s="5"/>
      <c r="H653" s="16"/>
    </row>
    <row r="654" spans="2:8">
      <c r="B654" s="5"/>
      <c r="H654" s="16"/>
    </row>
    <row r="655" spans="2:8">
      <c r="B655" s="5"/>
      <c r="H655" s="16"/>
    </row>
    <row r="656" spans="2:8">
      <c r="B656" s="5"/>
      <c r="H656" s="16"/>
    </row>
    <row r="657" spans="2:8">
      <c r="B657" s="5"/>
      <c r="H657" s="16"/>
    </row>
    <row r="658" spans="2:8">
      <c r="B658" s="5"/>
      <c r="H658" s="16"/>
    </row>
    <row r="659" spans="2:8">
      <c r="B659" s="5"/>
      <c r="H659" s="16"/>
    </row>
    <row r="660" spans="2:8">
      <c r="B660" s="5"/>
      <c r="H660" s="16"/>
    </row>
    <row r="661" spans="2:8">
      <c r="B661" s="5"/>
      <c r="H661" s="16"/>
    </row>
    <row r="662" spans="2:8">
      <c r="B662" s="5"/>
      <c r="H662" s="16"/>
    </row>
    <row r="663" spans="2:8">
      <c r="B663" s="5"/>
      <c r="H663" s="16"/>
    </row>
    <row r="664" spans="2:8">
      <c r="B664" s="5"/>
      <c r="H664" s="16"/>
    </row>
    <row r="665" spans="2:8">
      <c r="B665" s="5"/>
      <c r="H665" s="16"/>
    </row>
    <row r="666" spans="2:8">
      <c r="B666" s="5"/>
      <c r="H666" s="16"/>
    </row>
    <row r="667" spans="2:8">
      <c r="B667" s="5"/>
      <c r="H667" s="16"/>
    </row>
    <row r="668" spans="2:8">
      <c r="B668" s="5"/>
      <c r="H668" s="16"/>
    </row>
    <row r="669" spans="2:8">
      <c r="B669" s="5"/>
      <c r="H669" s="16"/>
    </row>
    <row r="670" spans="2:8">
      <c r="B670" s="5"/>
      <c r="H670" s="16"/>
    </row>
    <row r="671" spans="2:8">
      <c r="B671" s="5"/>
      <c r="H671" s="16"/>
    </row>
    <row r="672" spans="2:8">
      <c r="B672" s="5"/>
      <c r="H672" s="16"/>
    </row>
    <row r="673" spans="2:8">
      <c r="B673" s="5"/>
      <c r="H673" s="16"/>
    </row>
    <row r="674" spans="2:8">
      <c r="B674" s="5"/>
      <c r="H674" s="16"/>
    </row>
    <row r="675" spans="2:8">
      <c r="B675" s="5"/>
      <c r="H675" s="16"/>
    </row>
    <row r="676" spans="2:8">
      <c r="B676" s="5"/>
      <c r="H676" s="16"/>
    </row>
    <row r="677" spans="2:8">
      <c r="B677" s="5"/>
      <c r="H677" s="16"/>
    </row>
    <row r="678" spans="2:8">
      <c r="B678" s="5"/>
      <c r="H678" s="16"/>
    </row>
    <row r="679" spans="2:8">
      <c r="B679" s="5"/>
      <c r="H679" s="16"/>
    </row>
    <row r="680" spans="2:8">
      <c r="B680" s="5"/>
      <c r="H680" s="16"/>
    </row>
    <row r="681" spans="2:8">
      <c r="B681" s="5"/>
      <c r="H681" s="16"/>
    </row>
    <row r="682" spans="2:8">
      <c r="B682" s="5"/>
      <c r="H682" s="16"/>
    </row>
    <row r="683" spans="2:8">
      <c r="B683" s="5"/>
      <c r="H683" s="16"/>
    </row>
    <row r="684" spans="2:8">
      <c r="B684" s="5"/>
      <c r="H684" s="16"/>
    </row>
    <row r="685" spans="2:8">
      <c r="B685" s="5"/>
      <c r="H685" s="16"/>
    </row>
    <row r="686" spans="2:8">
      <c r="B686" s="5"/>
      <c r="H686" s="16"/>
    </row>
    <row r="687" spans="2:8">
      <c r="B687" s="5"/>
      <c r="H687" s="16"/>
    </row>
    <row r="688" spans="2:8">
      <c r="B688" s="5"/>
      <c r="H688" s="16"/>
    </row>
    <row r="689" spans="2:8">
      <c r="B689" s="5"/>
      <c r="H689" s="16"/>
    </row>
    <row r="690" spans="2:8">
      <c r="B690" s="5"/>
      <c r="H690" s="16"/>
    </row>
    <row r="691" spans="2:8">
      <c r="B691" s="5"/>
      <c r="H691" s="16"/>
    </row>
    <row r="692" spans="2:8">
      <c r="B692" s="5"/>
      <c r="H692" s="16"/>
    </row>
    <row r="693" spans="2:8">
      <c r="B693" s="5"/>
      <c r="H693" s="16"/>
    </row>
    <row r="694" spans="2:8">
      <c r="B694" s="5"/>
      <c r="H694" s="16"/>
    </row>
    <row r="695" spans="2:8">
      <c r="B695" s="5"/>
      <c r="H695" s="16"/>
    </row>
    <row r="696" spans="2:8">
      <c r="B696" s="5"/>
      <c r="H696" s="16"/>
    </row>
    <row r="697" spans="2:8">
      <c r="B697" s="5"/>
      <c r="H697" s="16"/>
    </row>
    <row r="698" spans="2:8">
      <c r="B698" s="5"/>
      <c r="H698" s="16"/>
    </row>
    <row r="699" spans="2:8">
      <c r="B699" s="5"/>
      <c r="H699" s="16"/>
    </row>
    <row r="700" spans="2:8">
      <c r="B700" s="5"/>
      <c r="H700" s="16"/>
    </row>
    <row r="701" spans="2:8">
      <c r="B701" s="5"/>
      <c r="H701" s="16"/>
    </row>
    <row r="702" spans="2:8">
      <c r="B702" s="5"/>
      <c r="H702" s="16"/>
    </row>
    <row r="703" spans="2:8">
      <c r="B703" s="5"/>
      <c r="H703" s="16"/>
    </row>
    <row r="704" spans="2:8">
      <c r="B704" s="5"/>
      <c r="H704" s="16"/>
    </row>
    <row r="705" spans="2:8">
      <c r="B705" s="5"/>
      <c r="H705" s="16"/>
    </row>
    <row r="706" spans="2:8">
      <c r="B706" s="5"/>
      <c r="H706" s="16"/>
    </row>
    <row r="707" spans="2:8">
      <c r="B707" s="5"/>
      <c r="H707" s="16"/>
    </row>
    <row r="708" spans="2:8">
      <c r="B708" s="5"/>
      <c r="H708" s="16"/>
    </row>
    <row r="709" spans="2:8">
      <c r="B709" s="5"/>
      <c r="H709" s="16"/>
    </row>
    <row r="710" spans="2:8">
      <c r="B710" s="5"/>
      <c r="H710" s="16"/>
    </row>
    <row r="711" spans="2:8">
      <c r="B711" s="5"/>
      <c r="H711" s="16"/>
    </row>
    <row r="712" spans="2:8">
      <c r="B712" s="5"/>
      <c r="H712" s="16"/>
    </row>
    <row r="713" spans="2:8">
      <c r="B713" s="5"/>
      <c r="H713" s="16"/>
    </row>
    <row r="714" spans="2:8">
      <c r="B714" s="5"/>
      <c r="H714" s="16"/>
    </row>
    <row r="715" spans="2:8">
      <c r="B715" s="5"/>
      <c r="H715" s="16"/>
    </row>
    <row r="716" spans="2:8">
      <c r="B716" s="5"/>
      <c r="H716" s="16"/>
    </row>
    <row r="717" spans="2:8">
      <c r="B717" s="5"/>
      <c r="H717" s="16"/>
    </row>
    <row r="718" spans="2:8">
      <c r="B718" s="5"/>
      <c r="H718" s="16"/>
    </row>
    <row r="719" spans="2:8">
      <c r="B719" s="5"/>
      <c r="H719" s="16"/>
    </row>
    <row r="720" spans="2:8">
      <c r="B720" s="5"/>
      <c r="H720" s="16"/>
    </row>
    <row r="721" spans="2:8">
      <c r="B721" s="5"/>
      <c r="H721" s="16"/>
    </row>
    <row r="722" spans="2:8">
      <c r="B722" s="5"/>
      <c r="H722" s="16"/>
    </row>
    <row r="723" spans="2:8">
      <c r="B723" s="5"/>
      <c r="H723" s="16"/>
    </row>
    <row r="724" spans="2:8">
      <c r="B724" s="5"/>
      <c r="H724" s="16"/>
    </row>
    <row r="725" spans="2:8">
      <c r="B725" s="5"/>
      <c r="H725" s="16"/>
    </row>
    <row r="726" spans="2:8">
      <c r="B726" s="5"/>
      <c r="H726" s="16"/>
    </row>
    <row r="727" spans="2:8">
      <c r="B727" s="5"/>
      <c r="H727" s="16"/>
    </row>
    <row r="728" spans="2:8">
      <c r="B728" s="5"/>
      <c r="H728" s="16"/>
    </row>
    <row r="729" spans="2:8">
      <c r="B729" s="5"/>
      <c r="H729" s="16"/>
    </row>
    <row r="730" spans="2:8">
      <c r="B730" s="5"/>
      <c r="H730" s="16"/>
    </row>
    <row r="731" spans="2:8">
      <c r="B731" s="5"/>
      <c r="H731" s="16"/>
    </row>
    <row r="732" spans="2:8">
      <c r="B732" s="5"/>
      <c r="H732" s="16"/>
    </row>
    <row r="733" spans="2:8">
      <c r="B733" s="5"/>
      <c r="H733" s="16"/>
    </row>
    <row r="734" spans="2:8">
      <c r="B734" s="5"/>
      <c r="H734" s="16"/>
    </row>
    <row r="735" spans="2:8">
      <c r="B735" s="5"/>
      <c r="H735" s="16"/>
    </row>
    <row r="736" spans="2:8">
      <c r="B736" s="5"/>
      <c r="H736" s="16"/>
    </row>
    <row r="737" spans="2:8">
      <c r="B737" s="5"/>
      <c r="H737" s="16"/>
    </row>
    <row r="738" spans="2:8">
      <c r="B738" s="5"/>
      <c r="H738" s="16"/>
    </row>
    <row r="739" spans="2:8">
      <c r="B739" s="5"/>
      <c r="H739" s="16"/>
    </row>
    <row r="740" spans="2:8">
      <c r="B740" s="5"/>
      <c r="H740" s="16"/>
    </row>
    <row r="741" spans="2:8">
      <c r="B741" s="5"/>
      <c r="H741" s="16"/>
    </row>
    <row r="742" spans="2:8">
      <c r="B742" s="5"/>
      <c r="H742" s="16"/>
    </row>
    <row r="743" spans="2:8">
      <c r="B743" s="5"/>
      <c r="H743" s="16"/>
    </row>
    <row r="744" spans="2:8">
      <c r="B744" s="5"/>
      <c r="H744" s="16"/>
    </row>
    <row r="745" spans="2:8">
      <c r="B745" s="5"/>
      <c r="H745" s="16"/>
    </row>
    <row r="746" spans="2:8">
      <c r="B746" s="5"/>
      <c r="H746" s="16"/>
    </row>
    <row r="747" spans="2:8">
      <c r="B747" s="5"/>
      <c r="H747" s="16"/>
    </row>
    <row r="748" spans="2:8">
      <c r="B748" s="5"/>
      <c r="H748" s="16"/>
    </row>
    <row r="749" spans="2:8">
      <c r="B749" s="5"/>
      <c r="H749" s="16"/>
    </row>
    <row r="750" spans="2:8">
      <c r="B750" s="5"/>
      <c r="H750" s="16"/>
    </row>
    <row r="751" spans="2:8">
      <c r="B751" s="5"/>
      <c r="H751" s="16"/>
    </row>
    <row r="752" spans="2:8">
      <c r="B752" s="5"/>
      <c r="H752" s="16"/>
    </row>
    <row r="753" spans="2:8">
      <c r="B753" s="5"/>
      <c r="H753" s="16"/>
    </row>
    <row r="754" spans="2:8">
      <c r="B754" s="5"/>
      <c r="H754" s="16"/>
    </row>
    <row r="755" spans="2:8">
      <c r="B755" s="5"/>
      <c r="H755" s="16"/>
    </row>
    <row r="756" spans="2:8">
      <c r="B756" s="5"/>
      <c r="H756" s="16"/>
    </row>
    <row r="757" spans="2:8">
      <c r="B757" s="5"/>
      <c r="H757" s="16"/>
    </row>
    <row r="758" spans="2:8">
      <c r="B758" s="5"/>
      <c r="H758" s="16"/>
    </row>
    <row r="759" spans="2:8">
      <c r="B759" s="5"/>
      <c r="H759" s="16"/>
    </row>
    <row r="760" spans="2:8">
      <c r="B760" s="5"/>
      <c r="H760" s="16"/>
    </row>
    <row r="761" spans="2:8">
      <c r="B761" s="5"/>
      <c r="H761" s="16"/>
    </row>
    <row r="762" spans="2:8">
      <c r="B762" s="5"/>
      <c r="H762" s="16"/>
    </row>
    <row r="763" spans="2:8">
      <c r="B763" s="5"/>
      <c r="H763" s="16"/>
    </row>
    <row r="764" spans="2:8">
      <c r="B764" s="5"/>
      <c r="H764" s="16"/>
    </row>
    <row r="765" spans="2:8">
      <c r="B765" s="5"/>
      <c r="H765" s="16"/>
    </row>
    <row r="766" spans="2:8">
      <c r="B766" s="5"/>
      <c r="H766" s="16"/>
    </row>
    <row r="767" spans="2:8">
      <c r="B767" s="5"/>
      <c r="H767" s="16"/>
    </row>
    <row r="768" spans="2:8">
      <c r="B768" s="5"/>
      <c r="H768" s="16"/>
    </row>
    <row r="769" spans="2:8">
      <c r="B769" s="5"/>
      <c r="H769" s="16"/>
    </row>
    <row r="770" spans="2:8">
      <c r="B770" s="5"/>
      <c r="H770" s="16"/>
    </row>
    <row r="771" spans="2:8">
      <c r="B771" s="5"/>
      <c r="H771" s="16"/>
    </row>
    <row r="772" spans="2:8">
      <c r="B772" s="5"/>
      <c r="H772" s="16"/>
    </row>
    <row r="773" spans="2:8">
      <c r="B773" s="5"/>
      <c r="H773" s="16"/>
    </row>
    <row r="774" spans="2:8">
      <c r="B774" s="5"/>
      <c r="H774" s="16"/>
    </row>
    <row r="775" spans="2:8">
      <c r="B775" s="5"/>
      <c r="H775" s="16"/>
    </row>
    <row r="776" spans="2:8">
      <c r="B776" s="5"/>
      <c r="H776" s="16"/>
    </row>
    <row r="777" spans="2:8">
      <c r="B777" s="5"/>
      <c r="H777" s="16"/>
    </row>
    <row r="778" spans="2:8">
      <c r="B778" s="5"/>
      <c r="H778" s="16"/>
    </row>
    <row r="779" spans="2:8">
      <c r="B779" s="5"/>
      <c r="H779" s="16"/>
    </row>
    <row r="780" spans="2:8">
      <c r="B780" s="5"/>
      <c r="H780" s="16"/>
    </row>
    <row r="781" spans="2:8">
      <c r="B781" s="5"/>
      <c r="H781" s="16"/>
    </row>
    <row r="782" spans="2:8">
      <c r="B782" s="5"/>
      <c r="H782" s="16"/>
    </row>
    <row r="783" spans="2:8">
      <c r="B783" s="5"/>
      <c r="H783" s="16"/>
    </row>
    <row r="784" spans="2:8">
      <c r="B784" s="5"/>
      <c r="H784" s="16"/>
    </row>
    <row r="785" spans="2:8">
      <c r="B785" s="5"/>
      <c r="H785" s="16"/>
    </row>
    <row r="786" spans="2:8">
      <c r="B786" s="5"/>
      <c r="H786" s="16"/>
    </row>
    <row r="787" spans="2:8">
      <c r="B787" s="5"/>
      <c r="H787" s="16"/>
    </row>
    <row r="788" spans="2:8">
      <c r="B788" s="5"/>
      <c r="H788" s="16"/>
    </row>
    <row r="789" spans="2:8">
      <c r="B789" s="5"/>
      <c r="H789" s="16"/>
    </row>
    <row r="790" spans="2:8">
      <c r="B790" s="5"/>
      <c r="H790" s="16"/>
    </row>
    <row r="791" spans="2:8">
      <c r="B791" s="5"/>
      <c r="H791" s="16"/>
    </row>
    <row r="792" spans="2:8">
      <c r="B792" s="5"/>
      <c r="H792" s="16"/>
    </row>
    <row r="793" spans="2:8">
      <c r="B793" s="5"/>
      <c r="H793" s="16"/>
    </row>
    <row r="794" spans="2:8">
      <c r="B794" s="5"/>
      <c r="H794" s="16"/>
    </row>
    <row r="795" spans="2:8">
      <c r="B795" s="5"/>
      <c r="H795" s="16"/>
    </row>
    <row r="796" spans="2:8">
      <c r="B796" s="5"/>
      <c r="H796" s="16"/>
    </row>
    <row r="797" spans="2:8">
      <c r="B797" s="5"/>
      <c r="H797" s="16"/>
    </row>
    <row r="798" spans="2:8">
      <c r="B798" s="5"/>
      <c r="H798" s="16"/>
    </row>
    <row r="799" spans="2:8">
      <c r="B799" s="5"/>
      <c r="H799" s="16"/>
    </row>
    <row r="800" spans="2:8">
      <c r="B800" s="5"/>
      <c r="H800" s="16"/>
    </row>
    <row r="801" spans="2:8">
      <c r="B801" s="5"/>
      <c r="H801" s="16"/>
    </row>
    <row r="802" spans="2:8">
      <c r="B802" s="5"/>
      <c r="H802" s="16"/>
    </row>
    <row r="803" spans="2:8">
      <c r="B803" s="5"/>
      <c r="H803" s="16"/>
    </row>
    <row r="804" spans="2:8">
      <c r="B804" s="5"/>
      <c r="H804" s="16"/>
    </row>
    <row r="805" spans="2:8">
      <c r="B805" s="5"/>
      <c r="H805" s="16"/>
    </row>
    <row r="806" spans="2:8">
      <c r="B806" s="5"/>
      <c r="H806" s="16"/>
    </row>
    <row r="807" spans="2:8">
      <c r="B807" s="5"/>
      <c r="H807" s="16"/>
    </row>
    <row r="808" spans="2:8">
      <c r="B808" s="5"/>
      <c r="H808" s="16"/>
    </row>
    <row r="809" spans="2:8">
      <c r="B809" s="5"/>
      <c r="H809" s="16"/>
    </row>
    <row r="810" spans="2:8">
      <c r="B810" s="5"/>
      <c r="H810" s="16"/>
    </row>
    <row r="811" spans="2:8">
      <c r="B811" s="5"/>
      <c r="H811" s="16"/>
    </row>
    <row r="812" spans="2:8">
      <c r="B812" s="5"/>
      <c r="H812" s="16"/>
    </row>
    <row r="813" spans="2:8">
      <c r="B813" s="5"/>
      <c r="H813" s="16"/>
    </row>
    <row r="814" spans="2:8">
      <c r="B814" s="5"/>
      <c r="H814" s="16"/>
    </row>
    <row r="815" spans="2:8">
      <c r="B815" s="5"/>
      <c r="H815" s="16"/>
    </row>
    <row r="816" spans="2:8">
      <c r="B816" s="5"/>
      <c r="H816" s="16"/>
    </row>
    <row r="817" spans="2:8">
      <c r="B817" s="5"/>
      <c r="H817" s="16"/>
    </row>
    <row r="818" spans="2:8">
      <c r="B818" s="5"/>
      <c r="H818" s="16"/>
    </row>
    <row r="819" spans="2:8">
      <c r="B819" s="5"/>
      <c r="H819" s="16"/>
    </row>
    <row r="820" spans="2:8">
      <c r="B820" s="5"/>
      <c r="H820" s="16"/>
    </row>
    <row r="821" spans="2:8">
      <c r="B821" s="5"/>
      <c r="H821" s="16"/>
    </row>
    <row r="822" spans="2:8">
      <c r="B822" s="5"/>
      <c r="H822" s="16"/>
    </row>
    <row r="823" spans="2:8">
      <c r="B823" s="5"/>
      <c r="H823" s="16"/>
    </row>
    <row r="824" spans="2:8">
      <c r="B824" s="5"/>
      <c r="H824" s="16"/>
    </row>
    <row r="825" spans="2:8">
      <c r="B825" s="5"/>
      <c r="H825" s="16"/>
    </row>
    <row r="826" spans="2:8">
      <c r="B826" s="5"/>
      <c r="H826" s="16"/>
    </row>
    <row r="827" spans="2:8">
      <c r="B827" s="5"/>
      <c r="H827" s="16"/>
    </row>
    <row r="828" spans="2:8">
      <c r="B828" s="5"/>
      <c r="H828" s="16"/>
    </row>
    <row r="829" spans="2:8">
      <c r="B829" s="5"/>
      <c r="H829" s="16"/>
    </row>
    <row r="830" spans="2:8">
      <c r="B830" s="5"/>
      <c r="H830" s="16"/>
    </row>
    <row r="831" spans="2:8">
      <c r="B831" s="5"/>
      <c r="H831" s="16"/>
    </row>
    <row r="832" spans="2:8">
      <c r="B832" s="5"/>
      <c r="H832" s="16"/>
    </row>
    <row r="833" spans="2:8">
      <c r="B833" s="5"/>
      <c r="H833" s="16"/>
    </row>
    <row r="834" spans="2:8">
      <c r="B834" s="5"/>
      <c r="H834" s="16"/>
    </row>
    <row r="835" spans="2:8">
      <c r="B835" s="5"/>
      <c r="H835" s="16"/>
    </row>
    <row r="836" spans="2:8">
      <c r="B836" s="5"/>
      <c r="H836" s="16"/>
    </row>
    <row r="837" spans="2:8">
      <c r="B837" s="5"/>
      <c r="H837" s="16"/>
    </row>
    <row r="838" spans="2:8">
      <c r="B838" s="5"/>
      <c r="H838" s="16"/>
    </row>
    <row r="839" spans="2:8">
      <c r="B839" s="5"/>
      <c r="H839" s="16"/>
    </row>
    <row r="840" spans="2:8">
      <c r="B840" s="5"/>
      <c r="H840" s="16"/>
    </row>
    <row r="841" spans="2:8">
      <c r="B841" s="5"/>
      <c r="H841" s="16"/>
    </row>
    <row r="842" spans="2:8">
      <c r="B842" s="5"/>
      <c r="H842" s="16"/>
    </row>
    <row r="843" spans="2:8">
      <c r="B843" s="5"/>
      <c r="H843" s="16"/>
    </row>
    <row r="844" spans="2:8">
      <c r="B844" s="5"/>
      <c r="H844" s="16"/>
    </row>
    <row r="845" spans="2:8">
      <c r="B845" s="5"/>
      <c r="H845" s="16"/>
    </row>
    <row r="846" spans="2:8">
      <c r="B846" s="5"/>
      <c r="H846" s="16"/>
    </row>
    <row r="847" spans="2:8">
      <c r="B847" s="5"/>
      <c r="H847" s="16"/>
    </row>
    <row r="848" spans="2:8">
      <c r="B848" s="5"/>
      <c r="H848" s="16"/>
    </row>
    <row r="849" spans="2:8">
      <c r="B849" s="5"/>
      <c r="H849" s="16"/>
    </row>
    <row r="850" spans="2:8">
      <c r="B850" s="5"/>
      <c r="H850" s="16"/>
    </row>
    <row r="851" spans="2:8">
      <c r="B851" s="5"/>
      <c r="H851" s="16"/>
    </row>
    <row r="852" spans="2:8">
      <c r="B852" s="5"/>
      <c r="H852" s="16"/>
    </row>
    <row r="853" spans="2:8">
      <c r="B853" s="5"/>
      <c r="H853" s="16"/>
    </row>
    <row r="854" spans="2:8">
      <c r="B854" s="5"/>
      <c r="H854" s="16"/>
    </row>
    <row r="855" spans="2:8">
      <c r="B855" s="5"/>
      <c r="H855" s="16"/>
    </row>
    <row r="856" spans="2:8">
      <c r="B856" s="5"/>
      <c r="H856" s="16"/>
    </row>
    <row r="857" spans="2:8">
      <c r="B857" s="5"/>
      <c r="H857" s="16"/>
    </row>
    <row r="858" spans="2:8">
      <c r="B858" s="5"/>
      <c r="H858" s="16"/>
    </row>
    <row r="859" spans="2:8">
      <c r="B859" s="5"/>
      <c r="H859" s="16"/>
    </row>
    <row r="860" spans="2:8">
      <c r="B860" s="5"/>
      <c r="H860" s="16"/>
    </row>
    <row r="861" spans="2:8">
      <c r="B861" s="5"/>
      <c r="H861" s="16"/>
    </row>
    <row r="862" spans="2:8">
      <c r="B862" s="5"/>
      <c r="H862" s="16"/>
    </row>
    <row r="863" spans="2:8">
      <c r="B863" s="5"/>
      <c r="H863" s="16"/>
    </row>
    <row r="864" spans="2:8">
      <c r="B864" s="5"/>
      <c r="H864" s="16"/>
    </row>
    <row r="865" spans="2:8">
      <c r="B865" s="5"/>
      <c r="H865" s="16"/>
    </row>
    <row r="866" spans="2:8">
      <c r="B866" s="5"/>
      <c r="H866" s="16"/>
    </row>
    <row r="867" spans="2:8">
      <c r="B867" s="5"/>
      <c r="H867" s="16"/>
    </row>
    <row r="868" spans="2:8">
      <c r="B868" s="5"/>
      <c r="H868" s="16"/>
    </row>
    <row r="869" spans="2:8">
      <c r="B869" s="5"/>
      <c r="H869" s="16"/>
    </row>
    <row r="870" spans="2:8">
      <c r="B870" s="5"/>
      <c r="H870" s="16"/>
    </row>
    <row r="871" spans="2:8">
      <c r="B871" s="5"/>
      <c r="H871" s="16"/>
    </row>
    <row r="872" spans="2:8">
      <c r="B872" s="5"/>
      <c r="H872" s="16"/>
    </row>
    <row r="873" spans="2:8">
      <c r="B873" s="5"/>
      <c r="H873" s="16"/>
    </row>
    <row r="874" spans="2:8">
      <c r="B874" s="5"/>
      <c r="H874" s="16"/>
    </row>
    <row r="875" spans="2:8">
      <c r="B875" s="5"/>
      <c r="H875" s="16"/>
    </row>
    <row r="876" spans="2:8">
      <c r="B876" s="5"/>
      <c r="H876" s="16"/>
    </row>
    <row r="877" spans="2:8">
      <c r="B877" s="5"/>
      <c r="H877" s="16"/>
    </row>
    <row r="878" spans="2:8">
      <c r="B878" s="5"/>
      <c r="H878" s="16"/>
    </row>
    <row r="879" spans="2:8">
      <c r="B879" s="5"/>
      <c r="H879" s="16"/>
    </row>
    <row r="880" spans="2:8">
      <c r="B880" s="5"/>
      <c r="H880" s="16"/>
    </row>
    <row r="881" spans="2:8">
      <c r="B881" s="5"/>
      <c r="H881" s="16"/>
    </row>
    <row r="882" spans="2:8">
      <c r="B882" s="5"/>
      <c r="H882" s="16"/>
    </row>
    <row r="883" spans="2:8">
      <c r="B883" s="5"/>
      <c r="H883" s="16"/>
    </row>
    <row r="884" spans="2:8">
      <c r="B884" s="5"/>
      <c r="H884" s="16"/>
    </row>
    <row r="885" spans="2:8">
      <c r="B885" s="5"/>
      <c r="H885" s="16"/>
    </row>
    <row r="886" spans="2:8">
      <c r="B886" s="5"/>
      <c r="H886" s="16"/>
    </row>
    <row r="887" spans="2:8">
      <c r="B887" s="5"/>
      <c r="H887" s="16"/>
    </row>
    <row r="888" spans="2:8">
      <c r="B888" s="5"/>
      <c r="H888" s="16"/>
    </row>
    <row r="889" spans="2:8">
      <c r="B889" s="5"/>
      <c r="H889" s="16"/>
    </row>
    <row r="890" spans="2:8">
      <c r="B890" s="5"/>
      <c r="H890" s="16"/>
    </row>
    <row r="891" spans="2:8">
      <c r="B891" s="5"/>
      <c r="H891" s="16"/>
    </row>
    <row r="892" spans="2:8">
      <c r="B892" s="5"/>
      <c r="H892" s="16"/>
    </row>
  </sheetData>
  <mergeCells count="27">
    <mergeCell ref="C50:F50"/>
    <mergeCell ref="G50:H50"/>
    <mergeCell ref="C47:F47"/>
    <mergeCell ref="G47:H47"/>
    <mergeCell ref="C48:F48"/>
    <mergeCell ref="G48:H48"/>
    <mergeCell ref="C49:F49"/>
    <mergeCell ref="G49:H49"/>
    <mergeCell ref="C44:F44"/>
    <mergeCell ref="G44:H44"/>
    <mergeCell ref="C45:F45"/>
    <mergeCell ref="G45:H45"/>
    <mergeCell ref="C46:F46"/>
    <mergeCell ref="G46:H46"/>
    <mergeCell ref="C43:F43"/>
    <mergeCell ref="G43:H43"/>
    <mergeCell ref="A4:H4"/>
    <mergeCell ref="A10:F10"/>
    <mergeCell ref="A17:F17"/>
    <mergeCell ref="A23:F23"/>
    <mergeCell ref="A29:F29"/>
    <mergeCell ref="A35:F35"/>
    <mergeCell ref="A38:F38"/>
    <mergeCell ref="C41:F41"/>
    <mergeCell ref="G41:H41"/>
    <mergeCell ref="C42:F42"/>
    <mergeCell ref="G42:H42"/>
  </mergeCells>
  <phoneticPr fontId="24" type="noConversion"/>
  <dataValidations count="1">
    <dataValidation type="list" allowBlank="1" showInputMessage="1" showErrorMessage="1" sqref="B42:B48" xr:uid="{00000000-0002-0000-1600-000000000000}">
      <formula1>$L$41:$L$45</formula1>
    </dataValidation>
  </dataValidations>
  <pageMargins left="0.7" right="0.7" top="0.75" bottom="0.75" header="0.3" footer="0.3"/>
  <pageSetup scale="52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C000"/>
    <pageSetUpPr fitToPage="1"/>
  </sheetPr>
  <dimension ref="A1:L892"/>
  <sheetViews>
    <sheetView showZeros="0" view="pageBreakPreview" zoomScale="60" zoomScaleNormal="70" workbookViewId="0">
      <selection activeCell="A10" sqref="A10:F10"/>
    </sheetView>
  </sheetViews>
  <sheetFormatPr defaultColWidth="10.875" defaultRowHeight="18.95"/>
  <cols>
    <col min="1" max="1" width="35.625" customWidth="1"/>
    <col min="2" max="2" width="14.625" style="16" customWidth="1"/>
    <col min="3" max="7" width="15.875" style="5" customWidth="1"/>
    <col min="8" max="8" width="15.875" style="17" customWidth="1"/>
    <col min="9" max="9" width="10.875" style="5"/>
    <col min="10" max="12" width="0" style="5" hidden="1" customWidth="1"/>
    <col min="13" max="16384" width="10.875" style="5"/>
  </cols>
  <sheetData>
    <row r="1" spans="1:10" customFormat="1" ht="15.95">
      <c r="A1" s="41"/>
      <c r="B1" s="42"/>
      <c r="C1" s="43"/>
      <c r="D1" s="43"/>
      <c r="E1" s="45" t="s">
        <v>25</v>
      </c>
      <c r="F1" s="43"/>
      <c r="G1" s="45" t="s">
        <v>26</v>
      </c>
      <c r="H1" s="44">
        <v>6</v>
      </c>
    </row>
    <row r="2" spans="1:10">
      <c r="A2" s="30"/>
      <c r="B2" s="18" t="s">
        <v>27</v>
      </c>
      <c r="C2" s="19" t="s">
        <v>28</v>
      </c>
      <c r="D2" s="19" t="s">
        <v>29</v>
      </c>
      <c r="E2" s="18" t="s">
        <v>30</v>
      </c>
      <c r="F2" s="18" t="s">
        <v>31</v>
      </c>
      <c r="G2" s="18" t="s">
        <v>32</v>
      </c>
      <c r="H2" s="18" t="s">
        <v>33</v>
      </c>
    </row>
    <row r="3" spans="1:10" ht="21" customHeight="1">
      <c r="A3" s="31" t="s">
        <v>7</v>
      </c>
      <c r="B3" s="6">
        <f>'Week 1'!H3+1</f>
        <v>46033</v>
      </c>
      <c r="C3" s="6">
        <f>B3+1</f>
        <v>46034</v>
      </c>
      <c r="D3" s="6">
        <f t="shared" ref="D3:H3" si="0">C3+1</f>
        <v>46035</v>
      </c>
      <c r="E3" s="6">
        <f t="shared" si="0"/>
        <v>46036</v>
      </c>
      <c r="F3" s="6">
        <f t="shared" si="0"/>
        <v>46037</v>
      </c>
      <c r="G3" s="6">
        <f t="shared" si="0"/>
        <v>46038</v>
      </c>
      <c r="H3" s="6">
        <f t="shared" si="0"/>
        <v>46039</v>
      </c>
    </row>
    <row r="4" spans="1:10" s="7" customFormat="1">
      <c r="A4" s="181" t="s">
        <v>135</v>
      </c>
      <c r="B4" s="181"/>
      <c r="C4" s="181"/>
      <c r="D4" s="181"/>
      <c r="E4" s="181"/>
      <c r="F4" s="181"/>
      <c r="G4" s="181"/>
      <c r="H4" s="181"/>
    </row>
    <row r="5" spans="1:10" s="7" customFormat="1" ht="26.1" customHeight="1">
      <c r="A5" s="32" t="s">
        <v>8</v>
      </c>
      <c r="B5" s="27"/>
      <c r="C5" s="27"/>
      <c r="D5" s="27"/>
      <c r="E5" s="27"/>
      <c r="F5" s="27"/>
      <c r="G5" s="27"/>
      <c r="H5" s="27"/>
    </row>
    <row r="6" spans="1:10" s="7" customFormat="1" ht="26.1" customHeight="1">
      <c r="A6" s="4" t="s">
        <v>23</v>
      </c>
      <c r="B6" s="62"/>
      <c r="C6" s="62"/>
      <c r="D6" s="62"/>
      <c r="E6" s="62"/>
      <c r="F6" s="62"/>
      <c r="G6" s="62"/>
      <c r="H6" s="62"/>
    </row>
    <row r="7" spans="1:10" s="7" customFormat="1" ht="21.95" customHeight="1">
      <c r="A7" s="32" t="s">
        <v>35</v>
      </c>
      <c r="B7" s="27"/>
      <c r="C7" s="28"/>
      <c r="D7" s="28"/>
      <c r="E7" s="28"/>
      <c r="F7" s="28"/>
      <c r="G7" s="28"/>
      <c r="H7" s="27"/>
    </row>
    <row r="8" spans="1:10" s="7" customFormat="1" ht="24.95" customHeight="1" thickBot="1">
      <c r="A8" s="83" t="s">
        <v>36</v>
      </c>
      <c r="B8" s="84">
        <f t="shared" ref="B8:H8" si="1">B5+B6+B7</f>
        <v>0</v>
      </c>
      <c r="C8" s="84">
        <f t="shared" si="1"/>
        <v>0</v>
      </c>
      <c r="D8" s="84">
        <f t="shared" si="1"/>
        <v>0</v>
      </c>
      <c r="E8" s="84">
        <f t="shared" si="1"/>
        <v>0</v>
      </c>
      <c r="F8" s="84">
        <f t="shared" si="1"/>
        <v>0</v>
      </c>
      <c r="G8" s="84">
        <f t="shared" si="1"/>
        <v>0</v>
      </c>
      <c r="H8" s="84">
        <f t="shared" si="1"/>
        <v>0</v>
      </c>
    </row>
    <row r="9" spans="1:10" s="7" customFormat="1" ht="24.95" customHeight="1" thickBot="1">
      <c r="A9" s="33"/>
      <c r="B9" s="29"/>
      <c r="C9" s="29"/>
      <c r="D9" s="29"/>
      <c r="E9" s="29"/>
      <c r="F9" s="29"/>
      <c r="G9" s="63" t="s">
        <v>37</v>
      </c>
      <c r="H9" s="64">
        <f>SUM(B8:H8)</f>
        <v>0</v>
      </c>
    </row>
    <row r="10" spans="1:10" s="7" customFormat="1" ht="21" thickTop="1" thickBot="1">
      <c r="A10" s="182" t="s">
        <v>136</v>
      </c>
      <c r="B10" s="183"/>
      <c r="C10" s="183"/>
      <c r="D10" s="183"/>
      <c r="E10" s="183"/>
      <c r="F10" s="183"/>
      <c r="G10" s="65" t="s">
        <v>39</v>
      </c>
      <c r="H10" s="66">
        <v>-0.15</v>
      </c>
      <c r="I10" s="5"/>
      <c r="J10" s="26"/>
    </row>
    <row r="11" spans="1:10" s="7" customFormat="1" ht="30" customHeight="1">
      <c r="A11" s="39" t="s">
        <v>8</v>
      </c>
      <c r="B11" s="9"/>
      <c r="C11" s="9"/>
      <c r="D11" s="67"/>
      <c r="E11" s="67"/>
      <c r="F11" s="9"/>
      <c r="G11" s="68"/>
      <c r="H11" s="69"/>
    </row>
    <row r="12" spans="1:10" s="7" customFormat="1" ht="30" customHeight="1">
      <c r="A12" s="70" t="s">
        <v>23</v>
      </c>
      <c r="B12" s="59"/>
      <c r="C12" s="58"/>
      <c r="D12" s="58"/>
      <c r="E12" s="58"/>
      <c r="F12" s="58"/>
      <c r="G12" s="58"/>
      <c r="H12" s="58"/>
    </row>
    <row r="13" spans="1:10" s="7" customFormat="1" ht="30" customHeight="1">
      <c r="A13" s="3" t="s">
        <v>35</v>
      </c>
      <c r="B13" s="8"/>
      <c r="C13" s="8"/>
      <c r="D13" s="8"/>
      <c r="E13" s="8"/>
      <c r="F13" s="8"/>
      <c r="G13" s="8"/>
      <c r="H13" s="8"/>
    </row>
    <row r="14" spans="1:10" s="7" customFormat="1" ht="27" customHeight="1" thickBot="1">
      <c r="A14" s="85" t="s">
        <v>36</v>
      </c>
      <c r="B14" s="87">
        <f t="shared" ref="B14:H14" si="2">B11+B12+B13</f>
        <v>0</v>
      </c>
      <c r="C14" s="87">
        <f t="shared" si="2"/>
        <v>0</v>
      </c>
      <c r="D14" s="87">
        <f t="shared" si="2"/>
        <v>0</v>
      </c>
      <c r="E14" s="87">
        <f t="shared" si="2"/>
        <v>0</v>
      </c>
      <c r="F14" s="87">
        <f t="shared" si="2"/>
        <v>0</v>
      </c>
      <c r="G14" s="87">
        <f t="shared" si="2"/>
        <v>0</v>
      </c>
      <c r="H14" s="87">
        <f t="shared" si="2"/>
        <v>0</v>
      </c>
    </row>
    <row r="15" spans="1:10" s="7" customFormat="1" ht="24.95" customHeight="1" thickBot="1">
      <c r="A15" s="86" t="s">
        <v>40</v>
      </c>
      <c r="B15" s="92" t="e">
        <f t="shared" ref="B15:H15" si="3">(B14-B8)/B8</f>
        <v>#DIV/0!</v>
      </c>
      <c r="C15" s="93" t="e">
        <f t="shared" si="3"/>
        <v>#DIV/0!</v>
      </c>
      <c r="D15" s="93" t="e">
        <f t="shared" si="3"/>
        <v>#DIV/0!</v>
      </c>
      <c r="E15" s="93" t="e">
        <f t="shared" si="3"/>
        <v>#DIV/0!</v>
      </c>
      <c r="F15" s="93" t="e">
        <f t="shared" si="3"/>
        <v>#DIV/0!</v>
      </c>
      <c r="G15" s="93" t="e">
        <f t="shared" si="3"/>
        <v>#DIV/0!</v>
      </c>
      <c r="H15" s="94" t="e">
        <f t="shared" si="3"/>
        <v>#DIV/0!</v>
      </c>
      <c r="I15" s="71"/>
    </row>
    <row r="16" spans="1:10" ht="30" customHeight="1" thickBot="1">
      <c r="B16" s="88"/>
      <c r="C16" s="88"/>
      <c r="D16" s="88"/>
      <c r="E16" s="88"/>
      <c r="F16" s="89"/>
      <c r="G16" s="90" t="s">
        <v>37</v>
      </c>
      <c r="H16" s="91">
        <f>SUM(B14:H14)</f>
        <v>0</v>
      </c>
    </row>
    <row r="17" spans="1:8" s="7" customFormat="1" ht="21.95" thickTop="1" thickBot="1">
      <c r="A17" s="184" t="s">
        <v>41</v>
      </c>
      <c r="B17" s="185"/>
      <c r="C17" s="185"/>
      <c r="D17" s="185"/>
      <c r="E17" s="185"/>
      <c r="F17" s="185"/>
      <c r="G17" s="72" t="s">
        <v>42</v>
      </c>
      <c r="H17" s="66" t="e">
        <f>(H16-H9)/H9</f>
        <v>#DIV/0!</v>
      </c>
    </row>
    <row r="18" spans="1:8" s="7" customFormat="1" ht="30" customHeight="1">
      <c r="A18" s="35" t="s">
        <v>43</v>
      </c>
      <c r="B18" s="12"/>
      <c r="C18" s="12"/>
      <c r="D18" s="73"/>
      <c r="E18" s="73"/>
      <c r="F18" s="12"/>
      <c r="G18" s="24"/>
      <c r="H18" s="74"/>
    </row>
    <row r="19" spans="1:8" s="7" customFormat="1" ht="30" customHeight="1">
      <c r="A19" s="35" t="str">
        <f>'Week 1'!A31</f>
        <v>Non Meal Plan Meals</v>
      </c>
      <c r="B19" s="12"/>
      <c r="C19" s="12"/>
      <c r="D19" s="73"/>
      <c r="E19" s="73"/>
      <c r="F19" s="12"/>
      <c r="G19" s="24"/>
      <c r="H19" s="74"/>
    </row>
    <row r="20" spans="1:8" s="7" customFormat="1" ht="30" customHeight="1">
      <c r="A20" s="35" t="str">
        <f>'Week 1'!A32</f>
        <v xml:space="preserve">Meal numbers </v>
      </c>
      <c r="B20" s="95"/>
      <c r="C20" s="95"/>
      <c r="D20" s="67"/>
      <c r="E20" s="67"/>
      <c r="F20" s="95"/>
      <c r="G20" s="95"/>
      <c r="H20" s="75"/>
    </row>
    <row r="21" spans="1:8" s="7" customFormat="1" ht="24.95" customHeight="1" thickBot="1">
      <c r="A21" s="36" t="s">
        <v>45</v>
      </c>
      <c r="B21" s="77">
        <f t="shared" ref="B21:G21" si="4">B18+B20</f>
        <v>0</v>
      </c>
      <c r="C21" s="77">
        <f t="shared" si="4"/>
        <v>0</v>
      </c>
      <c r="D21" s="96"/>
      <c r="E21" s="96"/>
      <c r="F21" s="77">
        <f t="shared" si="4"/>
        <v>0</v>
      </c>
      <c r="G21" s="77">
        <f t="shared" si="4"/>
        <v>0</v>
      </c>
      <c r="H21" s="77">
        <f>H18+H20</f>
        <v>0</v>
      </c>
    </row>
    <row r="22" spans="1:8" s="7" customFormat="1" ht="24.95" customHeight="1" thickBot="1">
      <c r="A22" s="34" t="s">
        <v>40</v>
      </c>
      <c r="B22" s="92" t="e">
        <f>(B21-B5)/B5</f>
        <v>#DIV/0!</v>
      </c>
      <c r="C22" s="93" t="e">
        <f>(C21-C5)/C5</f>
        <v>#DIV/0!</v>
      </c>
      <c r="D22" s="99"/>
      <c r="E22" s="99"/>
      <c r="F22" s="93" t="e">
        <f>(F21-F5)/F5</f>
        <v>#DIV/0!</v>
      </c>
      <c r="G22" s="93" t="e">
        <f>(G21-G5)/G5</f>
        <v>#DIV/0!</v>
      </c>
      <c r="H22" s="94" t="e">
        <f>(H21-H5)/H5</f>
        <v>#DIV/0!</v>
      </c>
    </row>
    <row r="23" spans="1:8" s="7" customFormat="1">
      <c r="A23" s="186" t="s">
        <v>46</v>
      </c>
      <c r="B23" s="187"/>
      <c r="C23" s="187"/>
      <c r="D23" s="187"/>
      <c r="E23" s="187"/>
      <c r="F23" s="188" t="s">
        <v>47</v>
      </c>
      <c r="G23" s="97"/>
      <c r="H23" s="98"/>
    </row>
    <row r="24" spans="1:8" s="7" customFormat="1" ht="30" customHeight="1">
      <c r="A24" s="35" t="s">
        <v>43</v>
      </c>
      <c r="B24" s="11"/>
      <c r="C24" s="12"/>
      <c r="D24" s="12"/>
      <c r="E24" s="12"/>
      <c r="F24" s="12"/>
      <c r="G24" s="12"/>
      <c r="H24" s="11"/>
    </row>
    <row r="25" spans="1:8" s="7" customFormat="1" ht="30" customHeight="1">
      <c r="A25" s="35" t="str">
        <f>A19</f>
        <v>Non Meal Plan Meals</v>
      </c>
      <c r="B25" s="117"/>
      <c r="C25" s="117"/>
      <c r="D25" s="117"/>
      <c r="E25" s="117"/>
      <c r="F25" s="117"/>
      <c r="G25" s="117"/>
      <c r="H25" s="117"/>
    </row>
    <row r="26" spans="1:8" s="7" customFormat="1" ht="30" customHeight="1">
      <c r="A26" s="35" t="str">
        <f>A20</f>
        <v xml:space="preserve">Meal numbers </v>
      </c>
      <c r="B26" s="11"/>
      <c r="C26" s="11"/>
      <c r="D26" s="11"/>
      <c r="E26" s="11"/>
      <c r="F26" s="11"/>
      <c r="G26" s="11"/>
      <c r="H26" s="11"/>
    </row>
    <row r="27" spans="1:8" s="7" customFormat="1" ht="27.95" customHeight="1" thickBot="1">
      <c r="A27" s="36" t="s">
        <v>50</v>
      </c>
      <c r="B27" s="100">
        <f>B24+B25+B26</f>
        <v>0</v>
      </c>
      <c r="C27" s="100">
        <f t="shared" ref="C27:G27" si="5">C24+C25+C26</f>
        <v>0</v>
      </c>
      <c r="D27" s="100">
        <f t="shared" si="5"/>
        <v>0</v>
      </c>
      <c r="E27" s="100">
        <f t="shared" si="5"/>
        <v>0</v>
      </c>
      <c r="F27" s="100">
        <f t="shared" si="5"/>
        <v>0</v>
      </c>
      <c r="G27" s="100">
        <f t="shared" si="5"/>
        <v>0</v>
      </c>
      <c r="H27" s="100">
        <f>H24+H25+H26</f>
        <v>0</v>
      </c>
    </row>
    <row r="28" spans="1:8" s="7" customFormat="1" ht="24.95" customHeight="1" thickBot="1">
      <c r="A28" s="34" t="s">
        <v>40</v>
      </c>
      <c r="B28" s="92" t="e">
        <f t="shared" ref="B28:H28" si="6">(B27-B6)/B6</f>
        <v>#DIV/0!</v>
      </c>
      <c r="C28" s="93" t="e">
        <f t="shared" si="6"/>
        <v>#DIV/0!</v>
      </c>
      <c r="D28" s="93" t="e">
        <f t="shared" si="6"/>
        <v>#DIV/0!</v>
      </c>
      <c r="E28" s="93" t="e">
        <f t="shared" si="6"/>
        <v>#DIV/0!</v>
      </c>
      <c r="F28" s="93" t="e">
        <f t="shared" si="6"/>
        <v>#DIV/0!</v>
      </c>
      <c r="G28" s="93" t="e">
        <f t="shared" si="6"/>
        <v>#DIV/0!</v>
      </c>
      <c r="H28" s="94" t="e">
        <f t="shared" si="6"/>
        <v>#DIV/0!</v>
      </c>
    </row>
    <row r="29" spans="1:8" s="7" customFormat="1">
      <c r="A29" s="189" t="s">
        <v>51</v>
      </c>
      <c r="B29" s="190"/>
      <c r="C29" s="190"/>
      <c r="D29" s="190"/>
      <c r="E29" s="190"/>
      <c r="F29" s="191" t="s">
        <v>35</v>
      </c>
      <c r="G29" s="101"/>
      <c r="H29" s="102"/>
    </row>
    <row r="30" spans="1:8" s="7" customFormat="1" ht="30" customHeight="1">
      <c r="A30" s="35" t="s">
        <v>43</v>
      </c>
      <c r="B30" s="10"/>
      <c r="C30" s="9"/>
      <c r="D30" s="9"/>
      <c r="E30" s="9"/>
      <c r="F30" s="9"/>
      <c r="G30" s="9"/>
      <c r="H30" s="10"/>
    </row>
    <row r="31" spans="1:8" s="7" customFormat="1" ht="30" customHeight="1">
      <c r="A31" s="35" t="str">
        <f>A25</f>
        <v>Non Meal Plan Meals</v>
      </c>
      <c r="B31" s="60"/>
      <c r="C31" s="60"/>
      <c r="D31" s="60"/>
      <c r="E31" s="60"/>
      <c r="F31" s="60"/>
      <c r="G31" s="60"/>
      <c r="H31" s="60"/>
    </row>
    <row r="32" spans="1:8" s="7" customFormat="1" ht="30" customHeight="1">
      <c r="A32" s="35" t="str">
        <f>A26</f>
        <v xml:space="preserve">Meal numbers </v>
      </c>
      <c r="B32" s="10"/>
      <c r="C32" s="10"/>
      <c r="D32" s="10"/>
      <c r="E32" s="10"/>
      <c r="F32" s="10"/>
      <c r="G32" s="10"/>
      <c r="H32" s="10"/>
    </row>
    <row r="33" spans="1:12" s="7" customFormat="1" ht="30.95" customHeight="1" thickBot="1">
      <c r="A33" s="36" t="s">
        <v>53</v>
      </c>
      <c r="B33" s="103">
        <f>B30+B31+B32</f>
        <v>0</v>
      </c>
      <c r="C33" s="103">
        <f t="shared" ref="C33:G33" si="7">C30+C31+C32</f>
        <v>0</v>
      </c>
      <c r="D33" s="103">
        <f t="shared" si="7"/>
        <v>0</v>
      </c>
      <c r="E33" s="103">
        <f t="shared" si="7"/>
        <v>0</v>
      </c>
      <c r="F33" s="103">
        <f t="shared" si="7"/>
        <v>0</v>
      </c>
      <c r="G33" s="103">
        <f t="shared" si="7"/>
        <v>0</v>
      </c>
      <c r="H33" s="103">
        <f>H30+H31+H32</f>
        <v>0</v>
      </c>
    </row>
    <row r="34" spans="1:12" s="7" customFormat="1" ht="24.95" customHeight="1" thickBot="1">
      <c r="A34" s="34" t="s">
        <v>40</v>
      </c>
      <c r="B34" s="92" t="e">
        <f t="shared" ref="B34:H34" si="8">(B33-B7)/B7</f>
        <v>#DIV/0!</v>
      </c>
      <c r="C34" s="93" t="e">
        <f t="shared" si="8"/>
        <v>#DIV/0!</v>
      </c>
      <c r="D34" s="93" t="e">
        <f t="shared" si="8"/>
        <v>#DIV/0!</v>
      </c>
      <c r="E34" s="93" t="e">
        <f t="shared" si="8"/>
        <v>#DIV/0!</v>
      </c>
      <c r="F34" s="93" t="e">
        <f t="shared" si="8"/>
        <v>#DIV/0!</v>
      </c>
      <c r="G34" s="93" t="e">
        <f t="shared" si="8"/>
        <v>#DIV/0!</v>
      </c>
      <c r="H34" s="94" t="e">
        <f t="shared" si="8"/>
        <v>#DIV/0!</v>
      </c>
    </row>
    <row r="35" spans="1:12" s="7" customFormat="1">
      <c r="A35" s="192" t="s">
        <v>54</v>
      </c>
      <c r="B35" s="193"/>
      <c r="C35" s="193"/>
      <c r="D35" s="193"/>
      <c r="E35" s="193"/>
      <c r="F35" s="194" t="s">
        <v>35</v>
      </c>
      <c r="G35" s="104"/>
      <c r="H35" s="105"/>
    </row>
    <row r="36" spans="1:12" s="7" customFormat="1" ht="30.95" customHeight="1" thickBot="1">
      <c r="A36" s="78" t="s">
        <v>55</v>
      </c>
      <c r="B36" s="77">
        <f>B33+B27+B21</f>
        <v>0</v>
      </c>
      <c r="C36" s="77">
        <f t="shared" ref="C36:H36" si="9">C33+C27+C21</f>
        <v>0</v>
      </c>
      <c r="D36" s="77">
        <f t="shared" si="9"/>
        <v>0</v>
      </c>
      <c r="E36" s="77">
        <f t="shared" si="9"/>
        <v>0</v>
      </c>
      <c r="F36" s="77">
        <f t="shared" si="9"/>
        <v>0</v>
      </c>
      <c r="G36" s="77">
        <f t="shared" si="9"/>
        <v>0</v>
      </c>
      <c r="H36" s="77">
        <f t="shared" si="9"/>
        <v>0</v>
      </c>
    </row>
    <row r="37" spans="1:12" s="7" customFormat="1" ht="24.95" customHeight="1" thickBot="1">
      <c r="A37" s="34" t="s">
        <v>40</v>
      </c>
      <c r="B37" s="92" t="e">
        <f t="shared" ref="B37:H37" si="10">(B36-B8)/B8</f>
        <v>#DIV/0!</v>
      </c>
      <c r="C37" s="93" t="e">
        <f t="shared" si="10"/>
        <v>#DIV/0!</v>
      </c>
      <c r="D37" s="93" t="e">
        <f t="shared" si="10"/>
        <v>#DIV/0!</v>
      </c>
      <c r="E37" s="93" t="e">
        <f t="shared" si="10"/>
        <v>#DIV/0!</v>
      </c>
      <c r="F37" s="93" t="e">
        <f t="shared" si="10"/>
        <v>#DIV/0!</v>
      </c>
      <c r="G37" s="93" t="e">
        <f t="shared" si="10"/>
        <v>#DIV/0!</v>
      </c>
      <c r="H37" s="94" t="e">
        <f t="shared" si="10"/>
        <v>#DIV/0!</v>
      </c>
    </row>
    <row r="38" spans="1:12" ht="30" customHeight="1" thickBot="1">
      <c r="A38" s="195"/>
      <c r="B38" s="196"/>
      <c r="C38" s="196"/>
      <c r="D38" s="196"/>
      <c r="E38" s="196"/>
      <c r="F38" s="196"/>
      <c r="G38" s="106" t="s">
        <v>37</v>
      </c>
      <c r="H38" s="107">
        <f>SUM(B36:H36)</f>
        <v>0</v>
      </c>
    </row>
    <row r="39" spans="1:12" s="7" customFormat="1" ht="24.95" customHeight="1" thickTop="1">
      <c r="A39" s="37"/>
      <c r="B39" s="25"/>
      <c r="C39" s="25"/>
      <c r="D39" s="25"/>
      <c r="E39" s="25"/>
      <c r="F39" s="25"/>
      <c r="G39" s="79" t="s">
        <v>40</v>
      </c>
      <c r="H39" s="80" t="e">
        <f>(H38-H9)/H9</f>
        <v>#DIV/0!</v>
      </c>
    </row>
    <row r="40" spans="1:12" s="7" customFormat="1" ht="24.95" customHeight="1" thickBot="1">
      <c r="A40" s="37"/>
      <c r="B40" s="25"/>
      <c r="C40" s="25"/>
      <c r="D40" s="25"/>
      <c r="E40" s="25"/>
      <c r="F40" s="25"/>
      <c r="G40" s="81" t="s">
        <v>56</v>
      </c>
      <c r="H40" s="82" t="e">
        <f>(H38-H16)/H16</f>
        <v>#DIV/0!</v>
      </c>
    </row>
    <row r="41" spans="1:12" s="46" customFormat="1" ht="23.1" customHeight="1">
      <c r="A41" s="40"/>
      <c r="B41" s="47" t="s">
        <v>57</v>
      </c>
      <c r="C41" s="197" t="s">
        <v>58</v>
      </c>
      <c r="D41" s="197"/>
      <c r="E41" s="197"/>
      <c r="F41" s="197"/>
      <c r="G41" s="198">
        <v>2022</v>
      </c>
      <c r="H41" s="199"/>
    </row>
    <row r="42" spans="1:12" ht="30" customHeight="1">
      <c r="A42" s="1" t="s">
        <v>60</v>
      </c>
      <c r="B42" s="57" t="s">
        <v>59</v>
      </c>
      <c r="C42" s="180"/>
      <c r="D42" s="180"/>
      <c r="E42" s="180"/>
      <c r="F42" s="180"/>
      <c r="G42" s="178"/>
      <c r="H42" s="179"/>
      <c r="L42" s="7" t="s">
        <v>61</v>
      </c>
    </row>
    <row r="43" spans="1:12" ht="30" customHeight="1">
      <c r="A43" s="1" t="s">
        <v>1</v>
      </c>
      <c r="B43" s="57" t="s">
        <v>59</v>
      </c>
      <c r="C43" s="180"/>
      <c r="D43" s="180"/>
      <c r="E43" s="180"/>
      <c r="F43" s="180"/>
      <c r="G43" s="178"/>
      <c r="H43" s="179"/>
      <c r="L43" s="5" t="s">
        <v>62</v>
      </c>
    </row>
    <row r="44" spans="1:12" ht="30" customHeight="1">
      <c r="A44" s="1" t="s">
        <v>2</v>
      </c>
      <c r="B44" s="57" t="s">
        <v>59</v>
      </c>
      <c r="C44" s="175"/>
      <c r="D44" s="175"/>
      <c r="E44" s="175"/>
      <c r="F44" s="175"/>
      <c r="G44" s="176"/>
      <c r="H44" s="177"/>
      <c r="L44" s="5" t="s">
        <v>63</v>
      </c>
    </row>
    <row r="45" spans="1:12" ht="30" customHeight="1">
      <c r="A45" s="1" t="s">
        <v>3</v>
      </c>
      <c r="B45" s="57" t="s">
        <v>59</v>
      </c>
      <c r="C45" s="175"/>
      <c r="D45" s="175"/>
      <c r="E45" s="175"/>
      <c r="F45" s="175"/>
      <c r="G45" s="176"/>
      <c r="H45" s="177"/>
      <c r="L45" s="5" t="s">
        <v>64</v>
      </c>
    </row>
    <row r="46" spans="1:12" ht="30.95" customHeight="1">
      <c r="A46" s="1" t="s">
        <v>4</v>
      </c>
      <c r="B46" s="57" t="s">
        <v>59</v>
      </c>
      <c r="C46" s="175"/>
      <c r="D46" s="175"/>
      <c r="E46" s="175"/>
      <c r="F46" s="175"/>
      <c r="G46" s="176"/>
      <c r="H46" s="177"/>
    </row>
    <row r="47" spans="1:12" ht="30" customHeight="1">
      <c r="A47" s="1" t="s">
        <v>5</v>
      </c>
      <c r="B47" s="57" t="s">
        <v>59</v>
      </c>
      <c r="C47" s="175"/>
      <c r="D47" s="175"/>
      <c r="E47" s="175"/>
      <c r="F47" s="175"/>
      <c r="G47" s="176"/>
      <c r="H47" s="177"/>
    </row>
    <row r="48" spans="1:12" ht="30" customHeight="1">
      <c r="A48" s="1" t="s">
        <v>6</v>
      </c>
      <c r="B48" s="57" t="s">
        <v>59</v>
      </c>
      <c r="C48" s="175"/>
      <c r="D48" s="175"/>
      <c r="E48" s="175"/>
      <c r="F48" s="175"/>
      <c r="G48" s="176"/>
      <c r="H48" s="177"/>
    </row>
    <row r="49" spans="1:8" ht="30" customHeight="1">
      <c r="A49" s="1"/>
      <c r="B49" s="14"/>
      <c r="C49" s="175"/>
      <c r="D49" s="175"/>
      <c r="E49" s="175"/>
      <c r="F49" s="175"/>
      <c r="G49" s="176"/>
      <c r="H49" s="177"/>
    </row>
    <row r="50" spans="1:8" ht="30" customHeight="1">
      <c r="A50" s="2"/>
      <c r="B50" s="14"/>
      <c r="C50" s="175"/>
      <c r="D50" s="175"/>
      <c r="E50" s="175"/>
      <c r="F50" s="175"/>
      <c r="G50" s="176"/>
      <c r="H50" s="177"/>
    </row>
    <row r="51" spans="1:8">
      <c r="A51" s="30"/>
      <c r="B51" s="18" t="s">
        <v>27</v>
      </c>
      <c r="C51" s="18" t="s">
        <v>28</v>
      </c>
      <c r="D51" s="18" t="s">
        <v>65</v>
      </c>
      <c r="E51" s="18" t="s">
        <v>30</v>
      </c>
      <c r="F51" s="18" t="s">
        <v>66</v>
      </c>
      <c r="G51" s="18" t="s">
        <v>32</v>
      </c>
      <c r="H51" s="18" t="s">
        <v>33</v>
      </c>
    </row>
    <row r="52" spans="1:8">
      <c r="A52" s="38" t="s">
        <v>67</v>
      </c>
      <c r="B52" s="15"/>
      <c r="C52" s="20"/>
      <c r="D52" s="20"/>
      <c r="E52" s="20"/>
      <c r="F52" s="20"/>
      <c r="G52" s="20"/>
      <c r="H52" s="15"/>
    </row>
    <row r="53" spans="1:8" customFormat="1" ht="15.95">
      <c r="A53" s="48" t="s">
        <v>68</v>
      </c>
      <c r="B53" s="22"/>
      <c r="C53" s="21"/>
      <c r="D53" s="21"/>
      <c r="E53" s="21"/>
      <c r="F53" s="21"/>
      <c r="G53" s="23" t="s">
        <v>37</v>
      </c>
      <c r="H53" s="23">
        <f>SUM(B52:H52)</f>
        <v>0</v>
      </c>
    </row>
    <row r="54" spans="1:8">
      <c r="A54" s="30"/>
      <c r="B54" s="18" t="s">
        <v>27</v>
      </c>
      <c r="C54" s="18" t="s">
        <v>28</v>
      </c>
      <c r="D54" s="18" t="s">
        <v>65</v>
      </c>
      <c r="E54" s="18" t="s">
        <v>30</v>
      </c>
      <c r="F54" s="18" t="s">
        <v>66</v>
      </c>
      <c r="G54" s="18" t="s">
        <v>32</v>
      </c>
      <c r="H54" s="18" t="s">
        <v>33</v>
      </c>
    </row>
    <row r="55" spans="1:8">
      <c r="A55" s="38" t="s">
        <v>69</v>
      </c>
      <c r="B55" s="51"/>
      <c r="C55" s="52"/>
      <c r="D55" s="52"/>
      <c r="E55" s="52"/>
      <c r="F55" s="52"/>
      <c r="G55" s="20"/>
      <c r="H55" s="15"/>
    </row>
    <row r="56" spans="1:8" customFormat="1" ht="15.95">
      <c r="A56" s="49" t="s">
        <v>70</v>
      </c>
      <c r="B56" s="53"/>
      <c r="C56" s="53" t="s">
        <v>71</v>
      </c>
      <c r="D56" s="54"/>
      <c r="E56" s="54"/>
      <c r="F56" s="55"/>
      <c r="G56" s="50" t="s">
        <v>37</v>
      </c>
      <c r="H56" s="23"/>
    </row>
    <row r="57" spans="1:8">
      <c r="H57" s="16"/>
    </row>
    <row r="58" spans="1:8">
      <c r="H58" s="16"/>
    </row>
    <row r="59" spans="1:8">
      <c r="H59" s="16"/>
    </row>
    <row r="60" spans="1:8">
      <c r="H60" s="16"/>
    </row>
    <row r="61" spans="1:8">
      <c r="H61" s="16"/>
    </row>
    <row r="62" spans="1:8">
      <c r="H62" s="16"/>
    </row>
    <row r="63" spans="1:8">
      <c r="H63" s="16"/>
    </row>
    <row r="64" spans="1:8">
      <c r="B64" s="5"/>
      <c r="H64" s="16"/>
    </row>
    <row r="65" spans="2:8">
      <c r="B65" s="5"/>
      <c r="H65" s="16"/>
    </row>
    <row r="66" spans="2:8">
      <c r="B66" s="5"/>
      <c r="H66" s="16"/>
    </row>
    <row r="67" spans="2:8">
      <c r="B67" s="5"/>
      <c r="H67" s="16"/>
    </row>
    <row r="68" spans="2:8">
      <c r="B68" s="5"/>
      <c r="H68" s="16"/>
    </row>
    <row r="69" spans="2:8">
      <c r="B69" s="5"/>
      <c r="H69" s="16"/>
    </row>
    <row r="70" spans="2:8">
      <c r="B70" s="5"/>
      <c r="H70" s="16"/>
    </row>
    <row r="71" spans="2:8">
      <c r="B71" s="5"/>
      <c r="H71" s="16"/>
    </row>
    <row r="72" spans="2:8">
      <c r="B72" s="5"/>
      <c r="H72" s="16"/>
    </row>
    <row r="73" spans="2:8">
      <c r="B73" s="5"/>
      <c r="H73" s="16"/>
    </row>
    <row r="74" spans="2:8">
      <c r="B74" s="5"/>
      <c r="H74" s="16"/>
    </row>
    <row r="75" spans="2:8">
      <c r="B75" s="5"/>
      <c r="H75" s="16"/>
    </row>
    <row r="76" spans="2:8">
      <c r="B76" s="5"/>
      <c r="H76" s="16"/>
    </row>
    <row r="77" spans="2:8">
      <c r="B77" s="5"/>
      <c r="H77" s="16"/>
    </row>
    <row r="78" spans="2:8">
      <c r="B78" s="5"/>
      <c r="H78" s="16"/>
    </row>
    <row r="79" spans="2:8">
      <c r="B79" s="5"/>
      <c r="H79" s="16"/>
    </row>
    <row r="80" spans="2:8">
      <c r="B80" s="5"/>
      <c r="H80" s="16"/>
    </row>
    <row r="81" spans="2:8">
      <c r="B81" s="5"/>
      <c r="H81" s="16"/>
    </row>
    <row r="82" spans="2:8">
      <c r="B82" s="5"/>
      <c r="H82" s="16"/>
    </row>
    <row r="83" spans="2:8">
      <c r="B83" s="5"/>
      <c r="H83" s="16"/>
    </row>
    <row r="84" spans="2:8">
      <c r="B84" s="5"/>
      <c r="H84" s="16"/>
    </row>
    <row r="85" spans="2:8">
      <c r="B85" s="5"/>
      <c r="H85" s="16"/>
    </row>
    <row r="86" spans="2:8">
      <c r="B86" s="5"/>
      <c r="H86" s="16"/>
    </row>
    <row r="87" spans="2:8">
      <c r="B87" s="5"/>
      <c r="H87" s="16"/>
    </row>
    <row r="88" spans="2:8">
      <c r="B88" s="5"/>
      <c r="H88" s="16"/>
    </row>
    <row r="89" spans="2:8">
      <c r="B89" s="5"/>
      <c r="H89" s="16"/>
    </row>
    <row r="90" spans="2:8">
      <c r="B90" s="5"/>
      <c r="H90" s="16"/>
    </row>
    <row r="91" spans="2:8">
      <c r="B91" s="5"/>
      <c r="H91" s="16"/>
    </row>
    <row r="92" spans="2:8">
      <c r="B92" s="5"/>
      <c r="H92" s="16"/>
    </row>
    <row r="93" spans="2:8">
      <c r="B93" s="5"/>
      <c r="H93" s="16"/>
    </row>
    <row r="94" spans="2:8">
      <c r="B94" s="5"/>
      <c r="H94" s="16"/>
    </row>
    <row r="95" spans="2:8">
      <c r="B95" s="5"/>
      <c r="H95" s="16"/>
    </row>
    <row r="96" spans="2:8">
      <c r="B96" s="5"/>
      <c r="H96" s="16"/>
    </row>
    <row r="97" spans="2:8">
      <c r="B97" s="5"/>
      <c r="H97" s="16"/>
    </row>
    <row r="98" spans="2:8">
      <c r="B98" s="5"/>
      <c r="H98" s="16"/>
    </row>
    <row r="99" spans="2:8">
      <c r="B99" s="5"/>
      <c r="H99" s="16"/>
    </row>
    <row r="100" spans="2:8">
      <c r="B100" s="5"/>
      <c r="H100" s="16"/>
    </row>
    <row r="101" spans="2:8">
      <c r="B101" s="5"/>
      <c r="H101" s="16"/>
    </row>
    <row r="102" spans="2:8">
      <c r="B102" s="5"/>
      <c r="H102" s="16"/>
    </row>
    <row r="103" spans="2:8">
      <c r="B103" s="5"/>
      <c r="H103" s="16"/>
    </row>
    <row r="104" spans="2:8">
      <c r="B104" s="5"/>
      <c r="H104" s="16"/>
    </row>
    <row r="105" spans="2:8">
      <c r="B105" s="5"/>
      <c r="H105" s="16"/>
    </row>
    <row r="106" spans="2:8">
      <c r="B106" s="5"/>
      <c r="H106" s="16"/>
    </row>
    <row r="107" spans="2:8">
      <c r="B107" s="5"/>
      <c r="H107" s="16"/>
    </row>
    <row r="108" spans="2:8">
      <c r="B108" s="5"/>
      <c r="H108" s="16"/>
    </row>
    <row r="109" spans="2:8">
      <c r="B109" s="5"/>
      <c r="H109" s="16"/>
    </row>
    <row r="110" spans="2:8">
      <c r="B110" s="5"/>
      <c r="H110" s="16"/>
    </row>
    <row r="111" spans="2:8">
      <c r="B111" s="5"/>
      <c r="H111" s="16"/>
    </row>
    <row r="112" spans="2:8">
      <c r="B112" s="5"/>
      <c r="H112" s="16"/>
    </row>
    <row r="113" spans="2:8">
      <c r="B113" s="5"/>
      <c r="H113" s="16"/>
    </row>
    <row r="114" spans="2:8">
      <c r="B114" s="5"/>
      <c r="H114" s="16"/>
    </row>
    <row r="115" spans="2:8">
      <c r="B115" s="5"/>
      <c r="H115" s="16"/>
    </row>
    <row r="116" spans="2:8">
      <c r="B116" s="5"/>
      <c r="H116" s="16"/>
    </row>
    <row r="117" spans="2:8">
      <c r="B117" s="5"/>
      <c r="H117" s="16"/>
    </row>
    <row r="118" spans="2:8">
      <c r="B118" s="5"/>
      <c r="H118" s="16"/>
    </row>
    <row r="119" spans="2:8">
      <c r="B119" s="5"/>
      <c r="H119" s="16"/>
    </row>
    <row r="120" spans="2:8">
      <c r="B120" s="5"/>
      <c r="H120" s="16"/>
    </row>
    <row r="121" spans="2:8">
      <c r="B121" s="5"/>
      <c r="H121" s="16"/>
    </row>
    <row r="122" spans="2:8">
      <c r="B122" s="5"/>
      <c r="H122" s="16"/>
    </row>
    <row r="123" spans="2:8">
      <c r="B123" s="5"/>
      <c r="H123" s="16"/>
    </row>
    <row r="124" spans="2:8">
      <c r="B124" s="5"/>
      <c r="H124" s="16"/>
    </row>
    <row r="125" spans="2:8">
      <c r="B125" s="5"/>
      <c r="H125" s="16"/>
    </row>
    <row r="126" spans="2:8">
      <c r="B126" s="5"/>
      <c r="H126" s="16"/>
    </row>
    <row r="127" spans="2:8">
      <c r="B127" s="5"/>
      <c r="H127" s="16"/>
    </row>
    <row r="128" spans="2:8">
      <c r="B128" s="5"/>
      <c r="H128" s="16"/>
    </row>
    <row r="129" spans="2:8">
      <c r="B129" s="5"/>
      <c r="H129" s="16"/>
    </row>
    <row r="130" spans="2:8">
      <c r="B130" s="5"/>
      <c r="H130" s="16"/>
    </row>
    <row r="131" spans="2:8">
      <c r="B131" s="5"/>
      <c r="H131" s="16"/>
    </row>
    <row r="132" spans="2:8">
      <c r="B132" s="5"/>
      <c r="H132" s="16"/>
    </row>
    <row r="133" spans="2:8">
      <c r="B133" s="5"/>
      <c r="H133" s="16"/>
    </row>
    <row r="134" spans="2:8">
      <c r="B134" s="5"/>
      <c r="H134" s="16"/>
    </row>
    <row r="135" spans="2:8">
      <c r="B135" s="5"/>
      <c r="H135" s="16"/>
    </row>
    <row r="136" spans="2:8">
      <c r="B136" s="5"/>
      <c r="H136" s="16"/>
    </row>
    <row r="137" spans="2:8">
      <c r="B137" s="5"/>
      <c r="H137" s="16"/>
    </row>
    <row r="138" spans="2:8">
      <c r="B138" s="5"/>
      <c r="H138" s="16"/>
    </row>
    <row r="139" spans="2:8">
      <c r="B139" s="5"/>
      <c r="H139" s="16"/>
    </row>
    <row r="140" spans="2:8">
      <c r="B140" s="5"/>
      <c r="H140" s="16"/>
    </row>
    <row r="141" spans="2:8">
      <c r="B141" s="5"/>
      <c r="H141" s="16"/>
    </row>
    <row r="142" spans="2:8">
      <c r="B142" s="5"/>
      <c r="H142" s="16"/>
    </row>
    <row r="143" spans="2:8">
      <c r="B143" s="5"/>
      <c r="H143" s="16"/>
    </row>
    <row r="144" spans="2:8">
      <c r="B144" s="5"/>
      <c r="H144" s="16"/>
    </row>
    <row r="145" spans="2:8">
      <c r="B145" s="5"/>
      <c r="H145" s="16"/>
    </row>
    <row r="146" spans="2:8">
      <c r="B146" s="5"/>
      <c r="H146" s="16"/>
    </row>
    <row r="147" spans="2:8">
      <c r="B147" s="5"/>
      <c r="H147" s="16"/>
    </row>
    <row r="148" spans="2:8">
      <c r="B148" s="5"/>
      <c r="H148" s="16"/>
    </row>
    <row r="149" spans="2:8">
      <c r="B149" s="5"/>
      <c r="H149" s="16"/>
    </row>
    <row r="150" spans="2:8">
      <c r="B150" s="5"/>
      <c r="H150" s="16"/>
    </row>
    <row r="151" spans="2:8">
      <c r="B151" s="5"/>
      <c r="H151" s="16"/>
    </row>
    <row r="152" spans="2:8">
      <c r="B152" s="5"/>
      <c r="H152" s="16"/>
    </row>
    <row r="153" spans="2:8">
      <c r="B153" s="5"/>
      <c r="H153" s="16"/>
    </row>
    <row r="154" spans="2:8">
      <c r="B154" s="5"/>
      <c r="H154" s="16"/>
    </row>
    <row r="155" spans="2:8">
      <c r="B155" s="5"/>
      <c r="H155" s="16"/>
    </row>
    <row r="156" spans="2:8">
      <c r="B156" s="5"/>
      <c r="H156" s="16"/>
    </row>
    <row r="157" spans="2:8">
      <c r="B157" s="5"/>
      <c r="H157" s="16"/>
    </row>
    <row r="158" spans="2:8">
      <c r="B158" s="5"/>
      <c r="H158" s="16"/>
    </row>
    <row r="159" spans="2:8">
      <c r="B159" s="5"/>
      <c r="H159" s="16"/>
    </row>
    <row r="160" spans="2:8">
      <c r="B160" s="5"/>
      <c r="H160" s="16"/>
    </row>
    <row r="161" spans="2:8">
      <c r="B161" s="5"/>
      <c r="H161" s="16"/>
    </row>
    <row r="162" spans="2:8">
      <c r="B162" s="5"/>
      <c r="H162" s="16"/>
    </row>
    <row r="163" spans="2:8">
      <c r="B163" s="5"/>
      <c r="H163" s="16"/>
    </row>
    <row r="164" spans="2:8">
      <c r="B164" s="5"/>
      <c r="H164" s="16"/>
    </row>
    <row r="165" spans="2:8">
      <c r="B165" s="5"/>
      <c r="H165" s="16"/>
    </row>
    <row r="166" spans="2:8">
      <c r="B166" s="5"/>
      <c r="H166" s="16"/>
    </row>
    <row r="167" spans="2:8">
      <c r="B167" s="5"/>
      <c r="H167" s="16"/>
    </row>
    <row r="168" spans="2:8">
      <c r="B168" s="5"/>
      <c r="H168" s="16"/>
    </row>
    <row r="169" spans="2:8">
      <c r="B169" s="5"/>
      <c r="H169" s="16"/>
    </row>
    <row r="170" spans="2:8">
      <c r="B170" s="5"/>
      <c r="H170" s="16"/>
    </row>
    <row r="171" spans="2:8">
      <c r="B171" s="5"/>
      <c r="H171" s="16"/>
    </row>
    <row r="172" spans="2:8">
      <c r="B172" s="5"/>
      <c r="H172" s="16"/>
    </row>
    <row r="173" spans="2:8">
      <c r="B173" s="5"/>
      <c r="H173" s="16"/>
    </row>
    <row r="174" spans="2:8">
      <c r="B174" s="5"/>
      <c r="H174" s="16"/>
    </row>
    <row r="175" spans="2:8">
      <c r="B175" s="5"/>
      <c r="H175" s="16"/>
    </row>
    <row r="176" spans="2:8">
      <c r="B176" s="5"/>
      <c r="H176" s="16"/>
    </row>
    <row r="177" spans="2:8">
      <c r="B177" s="5"/>
      <c r="H177" s="16"/>
    </row>
    <row r="178" spans="2:8">
      <c r="B178" s="5"/>
      <c r="H178" s="16"/>
    </row>
    <row r="179" spans="2:8">
      <c r="B179" s="5"/>
      <c r="H179" s="16"/>
    </row>
    <row r="180" spans="2:8">
      <c r="B180" s="5"/>
      <c r="H180" s="16"/>
    </row>
    <row r="181" spans="2:8">
      <c r="B181" s="5"/>
      <c r="H181" s="16"/>
    </row>
    <row r="182" spans="2:8">
      <c r="B182" s="5"/>
      <c r="H182" s="16"/>
    </row>
    <row r="183" spans="2:8">
      <c r="B183" s="5"/>
      <c r="H183" s="16"/>
    </row>
    <row r="184" spans="2:8">
      <c r="B184" s="5"/>
      <c r="H184" s="16"/>
    </row>
    <row r="185" spans="2:8">
      <c r="B185" s="5"/>
      <c r="H185" s="16"/>
    </row>
    <row r="186" spans="2:8">
      <c r="B186" s="5"/>
      <c r="H186" s="16"/>
    </row>
    <row r="187" spans="2:8">
      <c r="B187" s="5"/>
      <c r="H187" s="16"/>
    </row>
    <row r="188" spans="2:8">
      <c r="B188" s="5"/>
      <c r="H188" s="16"/>
    </row>
    <row r="189" spans="2:8">
      <c r="B189" s="5"/>
      <c r="H189" s="16"/>
    </row>
    <row r="190" spans="2:8">
      <c r="B190" s="5"/>
      <c r="H190" s="16"/>
    </row>
    <row r="191" spans="2:8">
      <c r="B191" s="5"/>
      <c r="H191" s="16"/>
    </row>
    <row r="192" spans="2:8">
      <c r="B192" s="5"/>
      <c r="H192" s="16"/>
    </row>
    <row r="193" spans="2:8">
      <c r="B193" s="5"/>
      <c r="H193" s="16"/>
    </row>
    <row r="194" spans="2:8">
      <c r="B194" s="5"/>
      <c r="H194" s="16"/>
    </row>
    <row r="195" spans="2:8">
      <c r="B195" s="5"/>
      <c r="H195" s="16"/>
    </row>
    <row r="196" spans="2:8">
      <c r="B196" s="5"/>
      <c r="H196" s="16"/>
    </row>
    <row r="197" spans="2:8">
      <c r="B197" s="5"/>
      <c r="H197" s="16"/>
    </row>
    <row r="198" spans="2:8">
      <c r="B198" s="5"/>
      <c r="H198" s="16"/>
    </row>
    <row r="199" spans="2:8">
      <c r="B199" s="5"/>
      <c r="H199" s="16"/>
    </row>
    <row r="200" spans="2:8">
      <c r="B200" s="5"/>
      <c r="H200" s="16"/>
    </row>
    <row r="201" spans="2:8">
      <c r="B201" s="5"/>
      <c r="H201" s="16"/>
    </row>
    <row r="202" spans="2:8">
      <c r="B202" s="5"/>
      <c r="H202" s="16"/>
    </row>
    <row r="203" spans="2:8">
      <c r="B203" s="5"/>
      <c r="H203" s="16"/>
    </row>
    <row r="204" spans="2:8">
      <c r="B204" s="5"/>
      <c r="H204" s="16"/>
    </row>
    <row r="205" spans="2:8">
      <c r="B205" s="5"/>
      <c r="H205" s="16"/>
    </row>
    <row r="206" spans="2:8">
      <c r="B206" s="5"/>
      <c r="H206" s="16"/>
    </row>
    <row r="207" spans="2:8">
      <c r="B207" s="5"/>
      <c r="H207" s="16"/>
    </row>
    <row r="208" spans="2:8">
      <c r="B208" s="5"/>
      <c r="H208" s="16"/>
    </row>
    <row r="209" spans="2:8">
      <c r="B209" s="5"/>
      <c r="H209" s="16"/>
    </row>
    <row r="210" spans="2:8">
      <c r="B210" s="5"/>
      <c r="H210" s="16"/>
    </row>
    <row r="211" spans="2:8">
      <c r="B211" s="5"/>
      <c r="H211" s="16"/>
    </row>
    <row r="212" spans="2:8">
      <c r="B212" s="5"/>
      <c r="H212" s="16"/>
    </row>
    <row r="213" spans="2:8">
      <c r="B213" s="5"/>
      <c r="H213" s="16"/>
    </row>
    <row r="214" spans="2:8">
      <c r="B214" s="5"/>
      <c r="H214" s="16"/>
    </row>
    <row r="215" spans="2:8">
      <c r="B215" s="5"/>
      <c r="H215" s="16"/>
    </row>
    <row r="216" spans="2:8">
      <c r="B216" s="5"/>
      <c r="H216" s="16"/>
    </row>
    <row r="217" spans="2:8">
      <c r="B217" s="5"/>
      <c r="H217" s="16"/>
    </row>
    <row r="218" spans="2:8">
      <c r="B218" s="5"/>
      <c r="H218" s="16"/>
    </row>
    <row r="219" spans="2:8">
      <c r="B219" s="5"/>
      <c r="H219" s="16"/>
    </row>
    <row r="220" spans="2:8">
      <c r="B220" s="5"/>
      <c r="H220" s="16"/>
    </row>
    <row r="221" spans="2:8">
      <c r="B221" s="5"/>
      <c r="H221" s="16"/>
    </row>
    <row r="222" spans="2:8">
      <c r="B222" s="5"/>
      <c r="H222" s="16"/>
    </row>
    <row r="223" spans="2:8">
      <c r="B223" s="5"/>
      <c r="H223" s="16"/>
    </row>
    <row r="224" spans="2:8">
      <c r="B224" s="5"/>
      <c r="H224" s="16"/>
    </row>
    <row r="225" spans="2:8">
      <c r="B225" s="5"/>
      <c r="H225" s="16"/>
    </row>
    <row r="226" spans="2:8">
      <c r="B226" s="5"/>
      <c r="H226" s="16"/>
    </row>
    <row r="227" spans="2:8">
      <c r="B227" s="5"/>
      <c r="H227" s="16"/>
    </row>
    <row r="228" spans="2:8">
      <c r="B228" s="5"/>
      <c r="H228" s="16"/>
    </row>
    <row r="229" spans="2:8">
      <c r="B229" s="5"/>
      <c r="H229" s="16"/>
    </row>
    <row r="230" spans="2:8">
      <c r="B230" s="5"/>
      <c r="H230" s="16"/>
    </row>
    <row r="231" spans="2:8">
      <c r="B231" s="5"/>
      <c r="H231" s="16"/>
    </row>
    <row r="232" spans="2:8">
      <c r="B232" s="5"/>
      <c r="H232" s="16"/>
    </row>
    <row r="233" spans="2:8">
      <c r="B233" s="5"/>
      <c r="H233" s="16"/>
    </row>
    <row r="234" spans="2:8">
      <c r="B234" s="5"/>
      <c r="H234" s="16"/>
    </row>
    <row r="235" spans="2:8">
      <c r="B235" s="5"/>
      <c r="H235" s="16"/>
    </row>
    <row r="236" spans="2:8">
      <c r="B236" s="5"/>
      <c r="H236" s="16"/>
    </row>
    <row r="237" spans="2:8">
      <c r="B237" s="5"/>
      <c r="H237" s="16"/>
    </row>
    <row r="238" spans="2:8">
      <c r="B238" s="5"/>
      <c r="H238" s="16"/>
    </row>
    <row r="239" spans="2:8">
      <c r="B239" s="5"/>
      <c r="H239" s="16"/>
    </row>
    <row r="240" spans="2:8">
      <c r="B240" s="5"/>
      <c r="H240" s="16"/>
    </row>
    <row r="241" spans="2:8">
      <c r="B241" s="5"/>
      <c r="H241" s="16"/>
    </row>
    <row r="242" spans="2:8">
      <c r="B242" s="5"/>
      <c r="H242" s="16"/>
    </row>
    <row r="243" spans="2:8">
      <c r="B243" s="5"/>
      <c r="H243" s="16"/>
    </row>
    <row r="244" spans="2:8">
      <c r="B244" s="5"/>
      <c r="H244" s="16"/>
    </row>
    <row r="245" spans="2:8">
      <c r="B245" s="5"/>
      <c r="H245" s="16"/>
    </row>
    <row r="246" spans="2:8">
      <c r="B246" s="5"/>
      <c r="H246" s="16"/>
    </row>
    <row r="247" spans="2:8">
      <c r="B247" s="5"/>
      <c r="H247" s="16"/>
    </row>
    <row r="248" spans="2:8">
      <c r="B248" s="5"/>
      <c r="H248" s="16"/>
    </row>
    <row r="249" spans="2:8">
      <c r="B249" s="5"/>
      <c r="H249" s="16"/>
    </row>
    <row r="250" spans="2:8">
      <c r="B250" s="5"/>
      <c r="H250" s="16"/>
    </row>
    <row r="251" spans="2:8">
      <c r="B251" s="5"/>
      <c r="H251" s="16"/>
    </row>
    <row r="252" spans="2:8">
      <c r="B252" s="5"/>
      <c r="H252" s="16"/>
    </row>
    <row r="253" spans="2:8">
      <c r="B253" s="5"/>
      <c r="H253" s="16"/>
    </row>
    <row r="254" spans="2:8">
      <c r="B254" s="5"/>
      <c r="H254" s="16"/>
    </row>
    <row r="255" spans="2:8">
      <c r="B255" s="5"/>
      <c r="H255" s="16"/>
    </row>
    <row r="256" spans="2:8">
      <c r="B256" s="5"/>
      <c r="H256" s="16"/>
    </row>
    <row r="257" spans="2:8">
      <c r="B257" s="5"/>
      <c r="H257" s="16"/>
    </row>
    <row r="258" spans="2:8">
      <c r="B258" s="5"/>
      <c r="H258" s="16"/>
    </row>
    <row r="259" spans="2:8">
      <c r="B259" s="5"/>
      <c r="H259" s="16"/>
    </row>
    <row r="260" spans="2:8">
      <c r="B260" s="5"/>
      <c r="H260" s="16"/>
    </row>
    <row r="261" spans="2:8">
      <c r="B261" s="5"/>
      <c r="H261" s="16"/>
    </row>
    <row r="262" spans="2:8">
      <c r="B262" s="5"/>
      <c r="H262" s="16"/>
    </row>
    <row r="263" spans="2:8">
      <c r="B263" s="5"/>
      <c r="H263" s="16"/>
    </row>
    <row r="264" spans="2:8">
      <c r="B264" s="5"/>
      <c r="H264" s="16"/>
    </row>
    <row r="265" spans="2:8">
      <c r="B265" s="5"/>
      <c r="H265" s="16"/>
    </row>
    <row r="266" spans="2:8">
      <c r="B266" s="5"/>
      <c r="H266" s="16"/>
    </row>
    <row r="267" spans="2:8">
      <c r="B267" s="5"/>
      <c r="H267" s="16"/>
    </row>
    <row r="268" spans="2:8">
      <c r="B268" s="5"/>
      <c r="H268" s="16"/>
    </row>
    <row r="269" spans="2:8">
      <c r="B269" s="5"/>
      <c r="H269" s="16"/>
    </row>
    <row r="270" spans="2:8">
      <c r="B270" s="5"/>
      <c r="H270" s="16"/>
    </row>
    <row r="271" spans="2:8">
      <c r="B271" s="5"/>
      <c r="H271" s="16"/>
    </row>
    <row r="272" spans="2:8">
      <c r="B272" s="5"/>
      <c r="H272" s="16"/>
    </row>
    <row r="273" spans="2:8">
      <c r="B273" s="5"/>
      <c r="H273" s="16"/>
    </row>
    <row r="274" spans="2:8">
      <c r="B274" s="5"/>
      <c r="H274" s="16"/>
    </row>
    <row r="275" spans="2:8">
      <c r="B275" s="5"/>
      <c r="H275" s="16"/>
    </row>
    <row r="276" spans="2:8">
      <c r="B276" s="5"/>
      <c r="H276" s="16"/>
    </row>
    <row r="277" spans="2:8">
      <c r="B277" s="5"/>
      <c r="H277" s="16"/>
    </row>
    <row r="278" spans="2:8">
      <c r="B278" s="5"/>
      <c r="H278" s="16"/>
    </row>
    <row r="279" spans="2:8">
      <c r="B279" s="5"/>
      <c r="H279" s="16"/>
    </row>
    <row r="280" spans="2:8">
      <c r="B280" s="5"/>
      <c r="H280" s="16"/>
    </row>
    <row r="281" spans="2:8">
      <c r="B281" s="5"/>
      <c r="H281" s="16"/>
    </row>
    <row r="282" spans="2:8">
      <c r="B282" s="5"/>
      <c r="H282" s="16"/>
    </row>
    <row r="283" spans="2:8">
      <c r="B283" s="5"/>
      <c r="H283" s="16"/>
    </row>
    <row r="284" spans="2:8">
      <c r="B284" s="5"/>
      <c r="H284" s="16"/>
    </row>
    <row r="285" spans="2:8">
      <c r="B285" s="5"/>
      <c r="H285" s="16"/>
    </row>
    <row r="286" spans="2:8">
      <c r="B286" s="5"/>
      <c r="H286" s="16"/>
    </row>
    <row r="287" spans="2:8">
      <c r="B287" s="5"/>
      <c r="H287" s="16"/>
    </row>
    <row r="288" spans="2:8">
      <c r="B288" s="5"/>
      <c r="H288" s="16"/>
    </row>
    <row r="289" spans="2:8">
      <c r="B289" s="5"/>
      <c r="H289" s="16"/>
    </row>
    <row r="290" spans="2:8">
      <c r="B290" s="5"/>
      <c r="H290" s="16"/>
    </row>
    <row r="291" spans="2:8">
      <c r="B291" s="5"/>
      <c r="H291" s="16"/>
    </row>
    <row r="292" spans="2:8">
      <c r="B292" s="5"/>
      <c r="H292" s="16"/>
    </row>
    <row r="293" spans="2:8">
      <c r="B293" s="5"/>
      <c r="H293" s="16"/>
    </row>
    <row r="294" spans="2:8">
      <c r="B294" s="5"/>
      <c r="H294" s="16"/>
    </row>
    <row r="295" spans="2:8">
      <c r="B295" s="5"/>
      <c r="H295" s="16"/>
    </row>
    <row r="296" spans="2:8">
      <c r="B296" s="5"/>
      <c r="H296" s="16"/>
    </row>
    <row r="297" spans="2:8">
      <c r="B297" s="5"/>
      <c r="H297" s="16"/>
    </row>
    <row r="298" spans="2:8">
      <c r="B298" s="5"/>
      <c r="H298" s="16"/>
    </row>
    <row r="299" spans="2:8">
      <c r="B299" s="5"/>
      <c r="H299" s="16"/>
    </row>
    <row r="300" spans="2:8">
      <c r="B300" s="5"/>
      <c r="H300" s="16"/>
    </row>
    <row r="301" spans="2:8">
      <c r="B301" s="5"/>
      <c r="H301" s="16"/>
    </row>
    <row r="302" spans="2:8">
      <c r="B302" s="5"/>
      <c r="H302" s="16"/>
    </row>
    <row r="303" spans="2:8">
      <c r="B303" s="5"/>
      <c r="H303" s="16"/>
    </row>
    <row r="304" spans="2:8">
      <c r="B304" s="5"/>
      <c r="H304" s="16"/>
    </row>
    <row r="305" spans="2:8">
      <c r="B305" s="5"/>
      <c r="H305" s="16"/>
    </row>
    <row r="306" spans="2:8">
      <c r="B306" s="5"/>
      <c r="H306" s="16"/>
    </row>
    <row r="307" spans="2:8">
      <c r="B307" s="5"/>
      <c r="H307" s="16"/>
    </row>
    <row r="308" spans="2:8">
      <c r="B308" s="5"/>
      <c r="H308" s="16"/>
    </row>
    <row r="309" spans="2:8">
      <c r="B309" s="5"/>
      <c r="H309" s="16"/>
    </row>
    <row r="310" spans="2:8">
      <c r="B310" s="5"/>
      <c r="H310" s="16"/>
    </row>
    <row r="311" spans="2:8">
      <c r="B311" s="5"/>
      <c r="H311" s="16"/>
    </row>
    <row r="312" spans="2:8">
      <c r="B312" s="5"/>
      <c r="H312" s="16"/>
    </row>
    <row r="313" spans="2:8">
      <c r="B313" s="5"/>
      <c r="H313" s="16"/>
    </row>
    <row r="314" spans="2:8">
      <c r="B314" s="5"/>
      <c r="H314" s="16"/>
    </row>
    <row r="315" spans="2:8">
      <c r="B315" s="5"/>
      <c r="H315" s="16"/>
    </row>
    <row r="316" spans="2:8">
      <c r="B316" s="5"/>
      <c r="H316" s="16"/>
    </row>
    <row r="317" spans="2:8">
      <c r="B317" s="5"/>
      <c r="H317" s="16"/>
    </row>
    <row r="318" spans="2:8">
      <c r="B318" s="5"/>
      <c r="H318" s="16"/>
    </row>
    <row r="319" spans="2:8">
      <c r="B319" s="5"/>
      <c r="H319" s="16"/>
    </row>
    <row r="320" spans="2:8">
      <c r="B320" s="5"/>
      <c r="H320" s="16"/>
    </row>
    <row r="321" spans="2:8">
      <c r="B321" s="5"/>
      <c r="H321" s="16"/>
    </row>
    <row r="322" spans="2:8">
      <c r="B322" s="5"/>
      <c r="H322" s="16"/>
    </row>
    <row r="323" spans="2:8">
      <c r="B323" s="5"/>
      <c r="H323" s="16"/>
    </row>
    <row r="324" spans="2:8">
      <c r="B324" s="5"/>
      <c r="H324" s="16"/>
    </row>
    <row r="325" spans="2:8">
      <c r="B325" s="5"/>
      <c r="H325" s="16"/>
    </row>
    <row r="326" spans="2:8">
      <c r="B326" s="5"/>
      <c r="H326" s="16"/>
    </row>
    <row r="327" spans="2:8">
      <c r="B327" s="5"/>
      <c r="H327" s="16"/>
    </row>
    <row r="328" spans="2:8">
      <c r="B328" s="5"/>
      <c r="H328" s="16"/>
    </row>
    <row r="329" spans="2:8">
      <c r="B329" s="5"/>
      <c r="H329" s="16"/>
    </row>
    <row r="330" spans="2:8">
      <c r="B330" s="5"/>
      <c r="H330" s="16"/>
    </row>
    <row r="331" spans="2:8">
      <c r="B331" s="5"/>
      <c r="H331" s="16"/>
    </row>
    <row r="332" spans="2:8">
      <c r="B332" s="5"/>
      <c r="H332" s="16"/>
    </row>
    <row r="333" spans="2:8">
      <c r="B333" s="5"/>
      <c r="H333" s="16"/>
    </row>
    <row r="334" spans="2:8">
      <c r="B334" s="5"/>
      <c r="H334" s="16"/>
    </row>
    <row r="335" spans="2:8">
      <c r="B335" s="5"/>
      <c r="H335" s="16"/>
    </row>
    <row r="336" spans="2:8">
      <c r="B336" s="5"/>
      <c r="H336" s="16"/>
    </row>
    <row r="337" spans="2:8">
      <c r="B337" s="5"/>
      <c r="H337" s="16"/>
    </row>
    <row r="338" spans="2:8">
      <c r="B338" s="5"/>
      <c r="H338" s="16"/>
    </row>
    <row r="339" spans="2:8">
      <c r="B339" s="5"/>
      <c r="H339" s="16"/>
    </row>
    <row r="340" spans="2:8">
      <c r="B340" s="5"/>
      <c r="H340" s="16"/>
    </row>
    <row r="341" spans="2:8">
      <c r="B341" s="5"/>
      <c r="H341" s="16"/>
    </row>
    <row r="342" spans="2:8">
      <c r="B342" s="5"/>
      <c r="H342" s="16"/>
    </row>
    <row r="343" spans="2:8">
      <c r="B343" s="5"/>
      <c r="H343" s="16"/>
    </row>
    <row r="344" spans="2:8">
      <c r="B344" s="5"/>
      <c r="H344" s="16"/>
    </row>
    <row r="345" spans="2:8">
      <c r="B345" s="5"/>
      <c r="H345" s="16"/>
    </row>
    <row r="346" spans="2:8">
      <c r="B346" s="5"/>
      <c r="H346" s="16"/>
    </row>
    <row r="347" spans="2:8">
      <c r="B347" s="5"/>
      <c r="H347" s="16"/>
    </row>
    <row r="348" spans="2:8">
      <c r="B348" s="5"/>
      <c r="H348" s="16"/>
    </row>
    <row r="349" spans="2:8">
      <c r="B349" s="5"/>
      <c r="H349" s="16"/>
    </row>
    <row r="350" spans="2:8">
      <c r="B350" s="5"/>
      <c r="H350" s="16"/>
    </row>
    <row r="351" spans="2:8">
      <c r="B351" s="5"/>
      <c r="H351" s="16"/>
    </row>
    <row r="352" spans="2:8">
      <c r="B352" s="5"/>
      <c r="H352" s="16"/>
    </row>
    <row r="353" spans="2:8">
      <c r="B353" s="5"/>
      <c r="H353" s="16"/>
    </row>
    <row r="354" spans="2:8">
      <c r="B354" s="5"/>
      <c r="H354" s="16"/>
    </row>
    <row r="355" spans="2:8">
      <c r="B355" s="5"/>
      <c r="H355" s="16"/>
    </row>
    <row r="356" spans="2:8">
      <c r="B356" s="5"/>
      <c r="H356" s="16"/>
    </row>
    <row r="357" spans="2:8">
      <c r="B357" s="5"/>
      <c r="H357" s="16"/>
    </row>
    <row r="358" spans="2:8">
      <c r="B358" s="5"/>
      <c r="H358" s="16"/>
    </row>
    <row r="359" spans="2:8">
      <c r="B359" s="5"/>
      <c r="H359" s="16"/>
    </row>
    <row r="360" spans="2:8">
      <c r="B360" s="5"/>
      <c r="H360" s="16"/>
    </row>
    <row r="361" spans="2:8">
      <c r="B361" s="5"/>
      <c r="H361" s="16"/>
    </row>
    <row r="362" spans="2:8">
      <c r="B362" s="5"/>
      <c r="H362" s="16"/>
    </row>
    <row r="363" spans="2:8">
      <c r="B363" s="5"/>
      <c r="H363" s="16"/>
    </row>
    <row r="364" spans="2:8">
      <c r="B364" s="5"/>
      <c r="H364" s="16"/>
    </row>
    <row r="365" spans="2:8">
      <c r="B365" s="5"/>
      <c r="H365" s="16"/>
    </row>
    <row r="366" spans="2:8">
      <c r="B366" s="5"/>
      <c r="H366" s="16"/>
    </row>
    <row r="367" spans="2:8">
      <c r="B367" s="5"/>
      <c r="H367" s="16"/>
    </row>
    <row r="368" spans="2:8">
      <c r="B368" s="5"/>
      <c r="H368" s="16"/>
    </row>
    <row r="369" spans="2:8">
      <c r="B369" s="5"/>
      <c r="H369" s="16"/>
    </row>
    <row r="370" spans="2:8">
      <c r="B370" s="5"/>
      <c r="H370" s="16"/>
    </row>
    <row r="371" spans="2:8">
      <c r="B371" s="5"/>
      <c r="H371" s="16"/>
    </row>
    <row r="372" spans="2:8">
      <c r="B372" s="5"/>
      <c r="H372" s="16"/>
    </row>
    <row r="373" spans="2:8">
      <c r="B373" s="5"/>
      <c r="H373" s="16"/>
    </row>
    <row r="374" spans="2:8">
      <c r="B374" s="5"/>
      <c r="H374" s="16"/>
    </row>
    <row r="375" spans="2:8">
      <c r="B375" s="5"/>
      <c r="H375" s="16"/>
    </row>
    <row r="376" spans="2:8">
      <c r="B376" s="5"/>
      <c r="H376" s="16"/>
    </row>
    <row r="377" spans="2:8">
      <c r="B377" s="5"/>
      <c r="H377" s="16"/>
    </row>
    <row r="378" spans="2:8">
      <c r="B378" s="5"/>
      <c r="H378" s="16"/>
    </row>
    <row r="379" spans="2:8">
      <c r="B379" s="5"/>
      <c r="H379" s="16"/>
    </row>
    <row r="380" spans="2:8">
      <c r="B380" s="5"/>
      <c r="H380" s="16"/>
    </row>
    <row r="381" spans="2:8">
      <c r="B381" s="5"/>
      <c r="H381" s="16"/>
    </row>
    <row r="382" spans="2:8">
      <c r="B382" s="5"/>
      <c r="H382" s="16"/>
    </row>
    <row r="383" spans="2:8">
      <c r="B383" s="5"/>
      <c r="H383" s="16"/>
    </row>
    <row r="384" spans="2:8">
      <c r="B384" s="5"/>
      <c r="H384" s="16"/>
    </row>
    <row r="385" spans="2:8">
      <c r="B385" s="5"/>
      <c r="H385" s="16"/>
    </row>
    <row r="386" spans="2:8">
      <c r="B386" s="5"/>
      <c r="H386" s="16"/>
    </row>
    <row r="387" spans="2:8">
      <c r="B387" s="5"/>
      <c r="H387" s="16"/>
    </row>
    <row r="388" spans="2:8">
      <c r="B388" s="5"/>
      <c r="H388" s="16"/>
    </row>
    <row r="389" spans="2:8">
      <c r="B389" s="5"/>
      <c r="H389" s="16"/>
    </row>
    <row r="390" spans="2:8">
      <c r="B390" s="5"/>
      <c r="H390" s="16"/>
    </row>
    <row r="391" spans="2:8">
      <c r="B391" s="5"/>
      <c r="H391" s="16"/>
    </row>
    <row r="392" spans="2:8">
      <c r="B392" s="5"/>
      <c r="H392" s="16"/>
    </row>
    <row r="393" spans="2:8">
      <c r="B393" s="5"/>
      <c r="H393" s="16"/>
    </row>
    <row r="394" spans="2:8">
      <c r="B394" s="5"/>
      <c r="H394" s="16"/>
    </row>
    <row r="395" spans="2:8">
      <c r="B395" s="5"/>
      <c r="H395" s="16"/>
    </row>
    <row r="396" spans="2:8">
      <c r="B396" s="5"/>
      <c r="H396" s="16"/>
    </row>
    <row r="397" spans="2:8">
      <c r="B397" s="5"/>
      <c r="H397" s="16"/>
    </row>
    <row r="398" spans="2:8">
      <c r="B398" s="5"/>
      <c r="H398" s="16"/>
    </row>
    <row r="399" spans="2:8">
      <c r="B399" s="5"/>
      <c r="H399" s="16"/>
    </row>
    <row r="400" spans="2:8">
      <c r="B400" s="5"/>
      <c r="H400" s="16"/>
    </row>
    <row r="401" spans="2:8">
      <c r="B401" s="5"/>
      <c r="H401" s="16"/>
    </row>
    <row r="402" spans="2:8">
      <c r="B402" s="5"/>
      <c r="H402" s="16"/>
    </row>
    <row r="403" spans="2:8">
      <c r="B403" s="5"/>
      <c r="H403" s="16"/>
    </row>
    <row r="404" spans="2:8">
      <c r="B404" s="5"/>
      <c r="H404" s="16"/>
    </row>
    <row r="405" spans="2:8">
      <c r="B405" s="5"/>
      <c r="H405" s="16"/>
    </row>
    <row r="406" spans="2:8">
      <c r="B406" s="5"/>
      <c r="H406" s="16"/>
    </row>
    <row r="407" spans="2:8">
      <c r="B407" s="5"/>
      <c r="H407" s="16"/>
    </row>
    <row r="408" spans="2:8">
      <c r="B408" s="5"/>
      <c r="H408" s="16"/>
    </row>
    <row r="409" spans="2:8">
      <c r="B409" s="5"/>
      <c r="H409" s="16"/>
    </row>
    <row r="410" spans="2:8">
      <c r="B410" s="5"/>
      <c r="H410" s="16"/>
    </row>
    <row r="411" spans="2:8">
      <c r="B411" s="5"/>
      <c r="H411" s="16"/>
    </row>
    <row r="412" spans="2:8">
      <c r="B412" s="5"/>
      <c r="H412" s="16"/>
    </row>
    <row r="413" spans="2:8">
      <c r="B413" s="5"/>
      <c r="H413" s="16"/>
    </row>
    <row r="414" spans="2:8">
      <c r="B414" s="5"/>
      <c r="H414" s="16"/>
    </row>
    <row r="415" spans="2:8">
      <c r="B415" s="5"/>
      <c r="H415" s="16"/>
    </row>
    <row r="416" spans="2:8">
      <c r="B416" s="5"/>
      <c r="H416" s="16"/>
    </row>
    <row r="417" spans="2:8">
      <c r="B417" s="5"/>
      <c r="H417" s="16"/>
    </row>
    <row r="418" spans="2:8">
      <c r="B418" s="5"/>
      <c r="H418" s="16"/>
    </row>
    <row r="419" spans="2:8">
      <c r="B419" s="5"/>
      <c r="H419" s="16"/>
    </row>
    <row r="420" spans="2:8">
      <c r="B420" s="5"/>
      <c r="H420" s="16"/>
    </row>
    <row r="421" spans="2:8">
      <c r="B421" s="5"/>
      <c r="H421" s="16"/>
    </row>
    <row r="422" spans="2:8">
      <c r="B422" s="5"/>
      <c r="H422" s="16"/>
    </row>
    <row r="423" spans="2:8">
      <c r="B423" s="5"/>
      <c r="H423" s="16"/>
    </row>
    <row r="424" spans="2:8">
      <c r="B424" s="5"/>
      <c r="H424" s="16"/>
    </row>
    <row r="425" spans="2:8">
      <c r="B425" s="5"/>
      <c r="H425" s="16"/>
    </row>
    <row r="426" spans="2:8">
      <c r="B426" s="5"/>
      <c r="H426" s="16"/>
    </row>
    <row r="427" spans="2:8">
      <c r="B427" s="5"/>
      <c r="H427" s="16"/>
    </row>
    <row r="428" spans="2:8">
      <c r="B428" s="5"/>
      <c r="H428" s="16"/>
    </row>
    <row r="429" spans="2:8">
      <c r="B429" s="5"/>
      <c r="H429" s="16"/>
    </row>
    <row r="430" spans="2:8">
      <c r="B430" s="5"/>
      <c r="H430" s="16"/>
    </row>
    <row r="431" spans="2:8">
      <c r="B431" s="5"/>
      <c r="H431" s="16"/>
    </row>
    <row r="432" spans="2:8">
      <c r="B432" s="5"/>
      <c r="H432" s="16"/>
    </row>
    <row r="433" spans="2:8">
      <c r="B433" s="5"/>
      <c r="H433" s="16"/>
    </row>
    <row r="434" spans="2:8">
      <c r="B434" s="5"/>
      <c r="H434" s="16"/>
    </row>
    <row r="435" spans="2:8">
      <c r="B435" s="5"/>
      <c r="H435" s="16"/>
    </row>
    <row r="436" spans="2:8">
      <c r="B436" s="5"/>
      <c r="H436" s="16"/>
    </row>
    <row r="437" spans="2:8">
      <c r="B437" s="5"/>
      <c r="H437" s="16"/>
    </row>
    <row r="438" spans="2:8">
      <c r="B438" s="5"/>
      <c r="H438" s="16"/>
    </row>
    <row r="439" spans="2:8">
      <c r="B439" s="5"/>
      <c r="H439" s="16"/>
    </row>
    <row r="440" spans="2:8">
      <c r="B440" s="5"/>
      <c r="H440" s="16"/>
    </row>
    <row r="441" spans="2:8">
      <c r="B441" s="5"/>
      <c r="H441" s="16"/>
    </row>
    <row r="442" spans="2:8">
      <c r="B442" s="5"/>
      <c r="H442" s="16"/>
    </row>
    <row r="443" spans="2:8">
      <c r="B443" s="5"/>
      <c r="H443" s="16"/>
    </row>
    <row r="444" spans="2:8">
      <c r="B444" s="5"/>
      <c r="H444" s="16"/>
    </row>
    <row r="445" spans="2:8">
      <c r="B445" s="5"/>
      <c r="H445" s="16"/>
    </row>
    <row r="446" spans="2:8">
      <c r="B446" s="5"/>
      <c r="H446" s="16"/>
    </row>
    <row r="447" spans="2:8">
      <c r="B447" s="5"/>
      <c r="H447" s="16"/>
    </row>
    <row r="448" spans="2:8">
      <c r="B448" s="5"/>
      <c r="H448" s="16"/>
    </row>
    <row r="449" spans="2:8">
      <c r="B449" s="5"/>
      <c r="H449" s="16"/>
    </row>
    <row r="450" spans="2:8">
      <c r="B450" s="5"/>
      <c r="H450" s="16"/>
    </row>
    <row r="451" spans="2:8">
      <c r="B451" s="5"/>
      <c r="H451" s="16"/>
    </row>
    <row r="452" spans="2:8">
      <c r="B452" s="5"/>
      <c r="H452" s="16"/>
    </row>
    <row r="453" spans="2:8">
      <c r="B453" s="5"/>
      <c r="H453" s="16"/>
    </row>
    <row r="454" spans="2:8">
      <c r="B454" s="5"/>
      <c r="H454" s="16"/>
    </row>
    <row r="455" spans="2:8">
      <c r="B455" s="5"/>
      <c r="H455" s="16"/>
    </row>
    <row r="456" spans="2:8">
      <c r="B456" s="5"/>
      <c r="H456" s="16"/>
    </row>
    <row r="457" spans="2:8">
      <c r="B457" s="5"/>
      <c r="H457" s="16"/>
    </row>
    <row r="458" spans="2:8">
      <c r="B458" s="5"/>
      <c r="H458" s="16"/>
    </row>
    <row r="459" spans="2:8">
      <c r="B459" s="5"/>
      <c r="H459" s="16"/>
    </row>
    <row r="460" spans="2:8">
      <c r="B460" s="5"/>
      <c r="H460" s="16"/>
    </row>
    <row r="461" spans="2:8">
      <c r="B461" s="5"/>
      <c r="H461" s="16"/>
    </row>
    <row r="462" spans="2:8">
      <c r="B462" s="5"/>
      <c r="H462" s="16"/>
    </row>
    <row r="463" spans="2:8">
      <c r="B463" s="5"/>
      <c r="H463" s="16"/>
    </row>
    <row r="464" spans="2:8">
      <c r="B464" s="5"/>
      <c r="H464" s="16"/>
    </row>
    <row r="465" spans="2:8">
      <c r="B465" s="5"/>
      <c r="H465" s="16"/>
    </row>
    <row r="466" spans="2:8">
      <c r="B466" s="5"/>
      <c r="H466" s="16"/>
    </row>
    <row r="467" spans="2:8">
      <c r="B467" s="5"/>
      <c r="H467" s="16"/>
    </row>
    <row r="468" spans="2:8">
      <c r="B468" s="5"/>
      <c r="H468" s="16"/>
    </row>
    <row r="469" spans="2:8">
      <c r="B469" s="5"/>
      <c r="H469" s="16"/>
    </row>
    <row r="470" spans="2:8">
      <c r="B470" s="5"/>
      <c r="H470" s="16"/>
    </row>
    <row r="471" spans="2:8">
      <c r="B471" s="5"/>
      <c r="H471" s="16"/>
    </row>
    <row r="472" spans="2:8">
      <c r="B472" s="5"/>
      <c r="H472" s="16"/>
    </row>
    <row r="473" spans="2:8">
      <c r="B473" s="5"/>
      <c r="H473" s="16"/>
    </row>
    <row r="474" spans="2:8">
      <c r="B474" s="5"/>
      <c r="H474" s="16"/>
    </row>
    <row r="475" spans="2:8">
      <c r="B475" s="5"/>
      <c r="H475" s="16"/>
    </row>
    <row r="476" spans="2:8">
      <c r="B476" s="5"/>
      <c r="H476" s="16"/>
    </row>
    <row r="477" spans="2:8">
      <c r="B477" s="5"/>
      <c r="H477" s="16"/>
    </row>
    <row r="478" spans="2:8">
      <c r="B478" s="5"/>
      <c r="H478" s="16"/>
    </row>
    <row r="479" spans="2:8">
      <c r="B479" s="5"/>
      <c r="H479" s="16"/>
    </row>
    <row r="480" spans="2:8">
      <c r="B480" s="5"/>
      <c r="H480" s="16"/>
    </row>
    <row r="481" spans="2:8">
      <c r="B481" s="5"/>
      <c r="H481" s="16"/>
    </row>
    <row r="482" spans="2:8">
      <c r="B482" s="5"/>
      <c r="H482" s="16"/>
    </row>
    <row r="483" spans="2:8">
      <c r="B483" s="5"/>
      <c r="H483" s="16"/>
    </row>
    <row r="484" spans="2:8">
      <c r="B484" s="5"/>
      <c r="H484" s="16"/>
    </row>
    <row r="485" spans="2:8">
      <c r="B485" s="5"/>
      <c r="H485" s="16"/>
    </row>
    <row r="486" spans="2:8">
      <c r="B486" s="5"/>
      <c r="H486" s="16"/>
    </row>
    <row r="487" spans="2:8">
      <c r="B487" s="5"/>
      <c r="H487" s="16"/>
    </row>
    <row r="488" spans="2:8">
      <c r="B488" s="5"/>
      <c r="H488" s="16"/>
    </row>
    <row r="489" spans="2:8">
      <c r="B489" s="5"/>
      <c r="H489" s="16"/>
    </row>
    <row r="490" spans="2:8">
      <c r="B490" s="5"/>
      <c r="H490" s="16"/>
    </row>
    <row r="491" spans="2:8">
      <c r="B491" s="5"/>
      <c r="H491" s="16"/>
    </row>
    <row r="492" spans="2:8">
      <c r="B492" s="5"/>
      <c r="H492" s="16"/>
    </row>
    <row r="493" spans="2:8">
      <c r="B493" s="5"/>
      <c r="H493" s="16"/>
    </row>
    <row r="494" spans="2:8">
      <c r="B494" s="5"/>
      <c r="H494" s="16"/>
    </row>
    <row r="495" spans="2:8">
      <c r="B495" s="5"/>
      <c r="H495" s="16"/>
    </row>
    <row r="496" spans="2:8">
      <c r="B496" s="5"/>
      <c r="H496" s="16"/>
    </row>
    <row r="497" spans="2:8">
      <c r="B497" s="5"/>
      <c r="H497" s="16"/>
    </row>
    <row r="498" spans="2:8">
      <c r="B498" s="5"/>
      <c r="H498" s="16"/>
    </row>
    <row r="499" spans="2:8">
      <c r="B499" s="5"/>
      <c r="H499" s="16"/>
    </row>
    <row r="500" spans="2:8">
      <c r="B500" s="5"/>
      <c r="H500" s="16"/>
    </row>
    <row r="501" spans="2:8">
      <c r="B501" s="5"/>
      <c r="H501" s="16"/>
    </row>
    <row r="502" spans="2:8">
      <c r="B502" s="5"/>
      <c r="H502" s="16"/>
    </row>
    <row r="503" spans="2:8">
      <c r="B503" s="5"/>
      <c r="H503" s="16"/>
    </row>
    <row r="504" spans="2:8">
      <c r="B504" s="5"/>
      <c r="H504" s="16"/>
    </row>
    <row r="505" spans="2:8">
      <c r="B505" s="5"/>
      <c r="H505" s="16"/>
    </row>
    <row r="506" spans="2:8">
      <c r="B506" s="5"/>
      <c r="H506" s="16"/>
    </row>
    <row r="507" spans="2:8">
      <c r="B507" s="5"/>
      <c r="H507" s="16"/>
    </row>
    <row r="508" spans="2:8">
      <c r="B508" s="5"/>
      <c r="H508" s="16"/>
    </row>
    <row r="509" spans="2:8">
      <c r="B509" s="5"/>
      <c r="H509" s="16"/>
    </row>
    <row r="510" spans="2:8">
      <c r="B510" s="5"/>
      <c r="H510" s="16"/>
    </row>
    <row r="511" spans="2:8">
      <c r="B511" s="5"/>
      <c r="H511" s="16"/>
    </row>
    <row r="512" spans="2:8">
      <c r="B512" s="5"/>
      <c r="H512" s="16"/>
    </row>
    <row r="513" spans="2:8">
      <c r="B513" s="5"/>
      <c r="H513" s="16"/>
    </row>
    <row r="514" spans="2:8">
      <c r="B514" s="5"/>
      <c r="H514" s="16"/>
    </row>
    <row r="515" spans="2:8">
      <c r="B515" s="5"/>
      <c r="H515" s="16"/>
    </row>
    <row r="516" spans="2:8">
      <c r="B516" s="5"/>
      <c r="H516" s="16"/>
    </row>
    <row r="517" spans="2:8">
      <c r="B517" s="5"/>
      <c r="H517" s="16"/>
    </row>
    <row r="518" spans="2:8">
      <c r="B518" s="5"/>
      <c r="H518" s="16"/>
    </row>
    <row r="519" spans="2:8">
      <c r="B519" s="5"/>
      <c r="H519" s="16"/>
    </row>
    <row r="520" spans="2:8">
      <c r="B520" s="5"/>
      <c r="H520" s="16"/>
    </row>
    <row r="521" spans="2:8">
      <c r="B521" s="5"/>
      <c r="H521" s="16"/>
    </row>
    <row r="522" spans="2:8">
      <c r="B522" s="5"/>
      <c r="H522" s="16"/>
    </row>
    <row r="523" spans="2:8">
      <c r="B523" s="5"/>
      <c r="H523" s="16"/>
    </row>
    <row r="524" spans="2:8">
      <c r="B524" s="5"/>
      <c r="H524" s="16"/>
    </row>
    <row r="525" spans="2:8">
      <c r="B525" s="5"/>
      <c r="H525" s="16"/>
    </row>
    <row r="526" spans="2:8">
      <c r="B526" s="5"/>
      <c r="H526" s="16"/>
    </row>
    <row r="527" spans="2:8">
      <c r="B527" s="5"/>
      <c r="H527" s="16"/>
    </row>
    <row r="528" spans="2:8">
      <c r="B528" s="5"/>
      <c r="H528" s="16"/>
    </row>
    <row r="529" spans="2:8">
      <c r="B529" s="5"/>
      <c r="H529" s="16"/>
    </row>
    <row r="530" spans="2:8">
      <c r="B530" s="5"/>
      <c r="H530" s="16"/>
    </row>
    <row r="531" spans="2:8">
      <c r="B531" s="5"/>
      <c r="H531" s="16"/>
    </row>
    <row r="532" spans="2:8">
      <c r="B532" s="5"/>
      <c r="H532" s="16"/>
    </row>
    <row r="533" spans="2:8">
      <c r="B533" s="5"/>
      <c r="H533" s="16"/>
    </row>
    <row r="534" spans="2:8">
      <c r="B534" s="5"/>
      <c r="H534" s="16"/>
    </row>
    <row r="535" spans="2:8">
      <c r="B535" s="5"/>
      <c r="H535" s="16"/>
    </row>
    <row r="536" spans="2:8">
      <c r="B536" s="5"/>
      <c r="H536" s="16"/>
    </row>
    <row r="537" spans="2:8">
      <c r="B537" s="5"/>
      <c r="H537" s="16"/>
    </row>
    <row r="538" spans="2:8">
      <c r="B538" s="5"/>
      <c r="H538" s="16"/>
    </row>
    <row r="539" spans="2:8">
      <c r="B539" s="5"/>
      <c r="H539" s="16"/>
    </row>
    <row r="540" spans="2:8">
      <c r="B540" s="5"/>
      <c r="H540" s="16"/>
    </row>
    <row r="541" spans="2:8">
      <c r="B541" s="5"/>
      <c r="H541" s="16"/>
    </row>
    <row r="542" spans="2:8">
      <c r="B542" s="5"/>
      <c r="H542" s="16"/>
    </row>
    <row r="543" spans="2:8">
      <c r="B543" s="5"/>
      <c r="H543" s="16"/>
    </row>
    <row r="544" spans="2:8">
      <c r="B544" s="5"/>
      <c r="H544" s="16"/>
    </row>
    <row r="545" spans="2:8">
      <c r="B545" s="5"/>
      <c r="H545" s="16"/>
    </row>
    <row r="546" spans="2:8">
      <c r="B546" s="5"/>
      <c r="H546" s="16"/>
    </row>
    <row r="547" spans="2:8">
      <c r="B547" s="5"/>
      <c r="H547" s="16"/>
    </row>
    <row r="548" spans="2:8">
      <c r="B548" s="5"/>
      <c r="H548" s="16"/>
    </row>
    <row r="549" spans="2:8">
      <c r="B549" s="5"/>
      <c r="H549" s="16"/>
    </row>
    <row r="550" spans="2:8">
      <c r="B550" s="5"/>
      <c r="H550" s="16"/>
    </row>
    <row r="551" spans="2:8">
      <c r="B551" s="5"/>
      <c r="H551" s="16"/>
    </row>
    <row r="552" spans="2:8">
      <c r="B552" s="5"/>
      <c r="H552" s="16"/>
    </row>
    <row r="553" spans="2:8">
      <c r="B553" s="5"/>
      <c r="H553" s="16"/>
    </row>
    <row r="554" spans="2:8">
      <c r="B554" s="5"/>
      <c r="H554" s="16"/>
    </row>
    <row r="555" spans="2:8">
      <c r="B555" s="5"/>
      <c r="H555" s="16"/>
    </row>
    <row r="556" spans="2:8">
      <c r="B556" s="5"/>
      <c r="H556" s="16"/>
    </row>
    <row r="557" spans="2:8">
      <c r="B557" s="5"/>
      <c r="H557" s="16"/>
    </row>
    <row r="558" spans="2:8">
      <c r="B558" s="5"/>
      <c r="H558" s="16"/>
    </row>
    <row r="559" spans="2:8">
      <c r="B559" s="5"/>
      <c r="H559" s="16"/>
    </row>
    <row r="560" spans="2:8">
      <c r="B560" s="5"/>
      <c r="H560" s="16"/>
    </row>
    <row r="561" spans="2:8">
      <c r="B561" s="5"/>
      <c r="H561" s="16"/>
    </row>
    <row r="562" spans="2:8">
      <c r="B562" s="5"/>
      <c r="H562" s="16"/>
    </row>
    <row r="563" spans="2:8">
      <c r="B563" s="5"/>
      <c r="H563" s="16"/>
    </row>
    <row r="564" spans="2:8">
      <c r="B564" s="5"/>
      <c r="H564" s="16"/>
    </row>
    <row r="565" spans="2:8">
      <c r="B565" s="5"/>
      <c r="H565" s="16"/>
    </row>
    <row r="566" spans="2:8">
      <c r="B566" s="5"/>
      <c r="H566" s="16"/>
    </row>
    <row r="567" spans="2:8">
      <c r="B567" s="5"/>
      <c r="H567" s="16"/>
    </row>
    <row r="568" spans="2:8">
      <c r="B568" s="5"/>
      <c r="H568" s="16"/>
    </row>
    <row r="569" spans="2:8">
      <c r="B569" s="5"/>
      <c r="H569" s="16"/>
    </row>
    <row r="570" spans="2:8">
      <c r="B570" s="5"/>
      <c r="H570" s="16"/>
    </row>
    <row r="571" spans="2:8">
      <c r="B571" s="5"/>
      <c r="H571" s="16"/>
    </row>
    <row r="572" spans="2:8">
      <c r="B572" s="5"/>
      <c r="H572" s="16"/>
    </row>
    <row r="573" spans="2:8">
      <c r="B573" s="5"/>
      <c r="H573" s="16"/>
    </row>
    <row r="574" spans="2:8">
      <c r="B574" s="5"/>
      <c r="H574" s="16"/>
    </row>
    <row r="575" spans="2:8">
      <c r="B575" s="5"/>
      <c r="H575" s="16"/>
    </row>
    <row r="576" spans="2:8">
      <c r="B576" s="5"/>
      <c r="H576" s="16"/>
    </row>
    <row r="577" spans="2:8">
      <c r="B577" s="5"/>
      <c r="H577" s="16"/>
    </row>
    <row r="578" spans="2:8">
      <c r="B578" s="5"/>
      <c r="H578" s="16"/>
    </row>
    <row r="579" spans="2:8">
      <c r="B579" s="5"/>
      <c r="H579" s="16"/>
    </row>
    <row r="580" spans="2:8">
      <c r="B580" s="5"/>
      <c r="H580" s="16"/>
    </row>
    <row r="581" spans="2:8">
      <c r="B581" s="5"/>
      <c r="H581" s="16"/>
    </row>
    <row r="582" spans="2:8">
      <c r="B582" s="5"/>
      <c r="H582" s="16"/>
    </row>
    <row r="583" spans="2:8">
      <c r="B583" s="5"/>
      <c r="H583" s="16"/>
    </row>
    <row r="584" spans="2:8">
      <c r="B584" s="5"/>
      <c r="H584" s="16"/>
    </row>
    <row r="585" spans="2:8">
      <c r="B585" s="5"/>
      <c r="H585" s="16"/>
    </row>
    <row r="586" spans="2:8">
      <c r="B586" s="5"/>
      <c r="H586" s="16"/>
    </row>
    <row r="587" spans="2:8">
      <c r="B587" s="5"/>
      <c r="H587" s="16"/>
    </row>
    <row r="588" spans="2:8">
      <c r="B588" s="5"/>
      <c r="H588" s="16"/>
    </row>
    <row r="589" spans="2:8">
      <c r="B589" s="5"/>
      <c r="H589" s="16"/>
    </row>
    <row r="590" spans="2:8">
      <c r="B590" s="5"/>
      <c r="H590" s="16"/>
    </row>
    <row r="591" spans="2:8">
      <c r="B591" s="5"/>
      <c r="H591" s="16"/>
    </row>
    <row r="592" spans="2:8">
      <c r="B592" s="5"/>
      <c r="H592" s="16"/>
    </row>
    <row r="593" spans="2:8">
      <c r="B593" s="5"/>
      <c r="H593" s="16"/>
    </row>
    <row r="594" spans="2:8">
      <c r="B594" s="5"/>
      <c r="H594" s="16"/>
    </row>
    <row r="595" spans="2:8">
      <c r="B595" s="5"/>
      <c r="H595" s="16"/>
    </row>
    <row r="596" spans="2:8">
      <c r="B596" s="5"/>
      <c r="H596" s="16"/>
    </row>
    <row r="597" spans="2:8">
      <c r="B597" s="5"/>
      <c r="H597" s="16"/>
    </row>
    <row r="598" spans="2:8">
      <c r="B598" s="5"/>
      <c r="H598" s="16"/>
    </row>
    <row r="599" spans="2:8">
      <c r="B599" s="5"/>
      <c r="H599" s="16"/>
    </row>
    <row r="600" spans="2:8">
      <c r="B600" s="5"/>
      <c r="H600" s="16"/>
    </row>
    <row r="601" spans="2:8">
      <c r="B601" s="5"/>
      <c r="H601" s="16"/>
    </row>
    <row r="602" spans="2:8">
      <c r="B602" s="5"/>
      <c r="H602" s="16"/>
    </row>
    <row r="603" spans="2:8">
      <c r="B603" s="5"/>
      <c r="H603" s="16"/>
    </row>
    <row r="604" spans="2:8">
      <c r="B604" s="5"/>
      <c r="H604" s="16"/>
    </row>
    <row r="605" spans="2:8">
      <c r="B605" s="5"/>
      <c r="H605" s="16"/>
    </row>
    <row r="606" spans="2:8">
      <c r="B606" s="5"/>
      <c r="H606" s="16"/>
    </row>
    <row r="607" spans="2:8">
      <c r="B607" s="5"/>
      <c r="H607" s="16"/>
    </row>
    <row r="608" spans="2:8">
      <c r="B608" s="5"/>
      <c r="H608" s="16"/>
    </row>
    <row r="609" spans="2:8">
      <c r="B609" s="5"/>
      <c r="H609" s="16"/>
    </row>
    <row r="610" spans="2:8">
      <c r="B610" s="5"/>
      <c r="H610" s="16"/>
    </row>
    <row r="611" spans="2:8">
      <c r="B611" s="5"/>
      <c r="H611" s="16"/>
    </row>
    <row r="612" spans="2:8">
      <c r="B612" s="5"/>
      <c r="H612" s="16"/>
    </row>
    <row r="613" spans="2:8">
      <c r="B613" s="5"/>
      <c r="H613" s="16"/>
    </row>
    <row r="614" spans="2:8">
      <c r="B614" s="5"/>
      <c r="H614" s="16"/>
    </row>
    <row r="615" spans="2:8">
      <c r="B615" s="5"/>
      <c r="H615" s="16"/>
    </row>
    <row r="616" spans="2:8">
      <c r="B616" s="5"/>
      <c r="H616" s="16"/>
    </row>
    <row r="617" spans="2:8">
      <c r="B617" s="5"/>
      <c r="H617" s="16"/>
    </row>
    <row r="618" spans="2:8">
      <c r="B618" s="5"/>
      <c r="H618" s="16"/>
    </row>
    <row r="619" spans="2:8">
      <c r="B619" s="5"/>
      <c r="H619" s="16"/>
    </row>
    <row r="620" spans="2:8">
      <c r="B620" s="5"/>
      <c r="H620" s="16"/>
    </row>
    <row r="621" spans="2:8">
      <c r="B621" s="5"/>
      <c r="H621" s="16"/>
    </row>
    <row r="622" spans="2:8">
      <c r="B622" s="5"/>
      <c r="H622" s="16"/>
    </row>
    <row r="623" spans="2:8">
      <c r="B623" s="5"/>
      <c r="H623" s="16"/>
    </row>
    <row r="624" spans="2:8">
      <c r="B624" s="5"/>
      <c r="H624" s="16"/>
    </row>
    <row r="625" spans="2:8">
      <c r="B625" s="5"/>
      <c r="H625" s="16"/>
    </row>
    <row r="626" spans="2:8">
      <c r="B626" s="5"/>
      <c r="H626" s="16"/>
    </row>
    <row r="627" spans="2:8">
      <c r="B627" s="5"/>
      <c r="H627" s="16"/>
    </row>
    <row r="628" spans="2:8">
      <c r="B628" s="5"/>
      <c r="H628" s="16"/>
    </row>
    <row r="629" spans="2:8">
      <c r="B629" s="5"/>
      <c r="H629" s="16"/>
    </row>
    <row r="630" spans="2:8">
      <c r="B630" s="5"/>
      <c r="H630" s="16"/>
    </row>
    <row r="631" spans="2:8">
      <c r="B631" s="5"/>
      <c r="H631" s="16"/>
    </row>
    <row r="632" spans="2:8">
      <c r="B632" s="5"/>
      <c r="H632" s="16"/>
    </row>
    <row r="633" spans="2:8">
      <c r="B633" s="5"/>
      <c r="H633" s="16"/>
    </row>
    <row r="634" spans="2:8">
      <c r="B634" s="5"/>
      <c r="H634" s="16"/>
    </row>
    <row r="635" spans="2:8">
      <c r="B635" s="5"/>
      <c r="H635" s="16"/>
    </row>
    <row r="636" spans="2:8">
      <c r="B636" s="5"/>
      <c r="H636" s="16"/>
    </row>
    <row r="637" spans="2:8">
      <c r="B637" s="5"/>
      <c r="H637" s="16"/>
    </row>
    <row r="638" spans="2:8">
      <c r="B638" s="5"/>
      <c r="H638" s="16"/>
    </row>
    <row r="639" spans="2:8">
      <c r="B639" s="5"/>
      <c r="H639" s="16"/>
    </row>
    <row r="640" spans="2:8">
      <c r="B640" s="5"/>
      <c r="H640" s="16"/>
    </row>
    <row r="641" spans="2:8">
      <c r="B641" s="5"/>
      <c r="H641" s="16"/>
    </row>
    <row r="642" spans="2:8">
      <c r="B642" s="5"/>
      <c r="H642" s="16"/>
    </row>
    <row r="643" spans="2:8">
      <c r="B643" s="5"/>
      <c r="H643" s="16"/>
    </row>
    <row r="644" spans="2:8">
      <c r="B644" s="5"/>
      <c r="H644" s="16"/>
    </row>
    <row r="645" spans="2:8">
      <c r="B645" s="5"/>
      <c r="H645" s="16"/>
    </row>
    <row r="646" spans="2:8">
      <c r="B646" s="5"/>
      <c r="H646" s="16"/>
    </row>
    <row r="647" spans="2:8">
      <c r="B647" s="5"/>
      <c r="H647" s="16"/>
    </row>
    <row r="648" spans="2:8">
      <c r="B648" s="5"/>
      <c r="H648" s="16"/>
    </row>
    <row r="649" spans="2:8">
      <c r="B649" s="5"/>
      <c r="H649" s="16"/>
    </row>
    <row r="650" spans="2:8">
      <c r="B650" s="5"/>
      <c r="H650" s="16"/>
    </row>
    <row r="651" spans="2:8">
      <c r="B651" s="5"/>
      <c r="H651" s="16"/>
    </row>
    <row r="652" spans="2:8">
      <c r="B652" s="5"/>
      <c r="H652" s="16"/>
    </row>
    <row r="653" spans="2:8">
      <c r="B653" s="5"/>
      <c r="H653" s="16"/>
    </row>
    <row r="654" spans="2:8">
      <c r="B654" s="5"/>
      <c r="H654" s="16"/>
    </row>
    <row r="655" spans="2:8">
      <c r="B655" s="5"/>
      <c r="H655" s="16"/>
    </row>
    <row r="656" spans="2:8">
      <c r="B656" s="5"/>
      <c r="H656" s="16"/>
    </row>
    <row r="657" spans="2:8">
      <c r="B657" s="5"/>
      <c r="H657" s="16"/>
    </row>
    <row r="658" spans="2:8">
      <c r="B658" s="5"/>
      <c r="H658" s="16"/>
    </row>
    <row r="659" spans="2:8">
      <c r="B659" s="5"/>
      <c r="H659" s="16"/>
    </row>
    <row r="660" spans="2:8">
      <c r="B660" s="5"/>
      <c r="H660" s="16"/>
    </row>
    <row r="661" spans="2:8">
      <c r="B661" s="5"/>
      <c r="H661" s="16"/>
    </row>
    <row r="662" spans="2:8">
      <c r="B662" s="5"/>
      <c r="H662" s="16"/>
    </row>
    <row r="663" spans="2:8">
      <c r="B663" s="5"/>
      <c r="H663" s="16"/>
    </row>
    <row r="664" spans="2:8">
      <c r="B664" s="5"/>
      <c r="H664" s="16"/>
    </row>
    <row r="665" spans="2:8">
      <c r="B665" s="5"/>
      <c r="H665" s="16"/>
    </row>
    <row r="666" spans="2:8">
      <c r="B666" s="5"/>
      <c r="H666" s="16"/>
    </row>
    <row r="667" spans="2:8">
      <c r="B667" s="5"/>
      <c r="H667" s="16"/>
    </row>
    <row r="668" spans="2:8">
      <c r="B668" s="5"/>
      <c r="H668" s="16"/>
    </row>
    <row r="669" spans="2:8">
      <c r="B669" s="5"/>
      <c r="H669" s="16"/>
    </row>
    <row r="670" spans="2:8">
      <c r="B670" s="5"/>
      <c r="H670" s="16"/>
    </row>
    <row r="671" spans="2:8">
      <c r="B671" s="5"/>
      <c r="H671" s="16"/>
    </row>
    <row r="672" spans="2:8">
      <c r="B672" s="5"/>
      <c r="H672" s="16"/>
    </row>
    <row r="673" spans="2:8">
      <c r="B673" s="5"/>
      <c r="H673" s="16"/>
    </row>
    <row r="674" spans="2:8">
      <c r="B674" s="5"/>
      <c r="H674" s="16"/>
    </row>
    <row r="675" spans="2:8">
      <c r="B675" s="5"/>
      <c r="H675" s="16"/>
    </row>
    <row r="676" spans="2:8">
      <c r="B676" s="5"/>
      <c r="H676" s="16"/>
    </row>
    <row r="677" spans="2:8">
      <c r="B677" s="5"/>
      <c r="H677" s="16"/>
    </row>
    <row r="678" spans="2:8">
      <c r="B678" s="5"/>
      <c r="H678" s="16"/>
    </row>
    <row r="679" spans="2:8">
      <c r="B679" s="5"/>
      <c r="H679" s="16"/>
    </row>
    <row r="680" spans="2:8">
      <c r="B680" s="5"/>
      <c r="H680" s="16"/>
    </row>
    <row r="681" spans="2:8">
      <c r="B681" s="5"/>
      <c r="H681" s="16"/>
    </row>
    <row r="682" spans="2:8">
      <c r="B682" s="5"/>
      <c r="H682" s="16"/>
    </row>
    <row r="683" spans="2:8">
      <c r="B683" s="5"/>
      <c r="H683" s="16"/>
    </row>
    <row r="684" spans="2:8">
      <c r="B684" s="5"/>
      <c r="H684" s="16"/>
    </row>
    <row r="685" spans="2:8">
      <c r="B685" s="5"/>
      <c r="H685" s="16"/>
    </row>
    <row r="686" spans="2:8">
      <c r="B686" s="5"/>
      <c r="H686" s="16"/>
    </row>
    <row r="687" spans="2:8">
      <c r="B687" s="5"/>
      <c r="H687" s="16"/>
    </row>
    <row r="688" spans="2:8">
      <c r="B688" s="5"/>
      <c r="H688" s="16"/>
    </row>
    <row r="689" spans="2:8">
      <c r="B689" s="5"/>
      <c r="H689" s="16"/>
    </row>
    <row r="690" spans="2:8">
      <c r="B690" s="5"/>
      <c r="H690" s="16"/>
    </row>
    <row r="691" spans="2:8">
      <c r="B691" s="5"/>
      <c r="H691" s="16"/>
    </row>
    <row r="692" spans="2:8">
      <c r="B692" s="5"/>
      <c r="H692" s="16"/>
    </row>
    <row r="693" spans="2:8">
      <c r="B693" s="5"/>
      <c r="H693" s="16"/>
    </row>
    <row r="694" spans="2:8">
      <c r="B694" s="5"/>
      <c r="H694" s="16"/>
    </row>
    <row r="695" spans="2:8">
      <c r="B695" s="5"/>
      <c r="H695" s="16"/>
    </row>
    <row r="696" spans="2:8">
      <c r="B696" s="5"/>
      <c r="H696" s="16"/>
    </row>
    <row r="697" spans="2:8">
      <c r="B697" s="5"/>
      <c r="H697" s="16"/>
    </row>
    <row r="698" spans="2:8">
      <c r="B698" s="5"/>
      <c r="H698" s="16"/>
    </row>
    <row r="699" spans="2:8">
      <c r="B699" s="5"/>
      <c r="H699" s="16"/>
    </row>
    <row r="700" spans="2:8">
      <c r="B700" s="5"/>
      <c r="H700" s="16"/>
    </row>
    <row r="701" spans="2:8">
      <c r="B701" s="5"/>
      <c r="H701" s="16"/>
    </row>
    <row r="702" spans="2:8">
      <c r="B702" s="5"/>
      <c r="H702" s="16"/>
    </row>
    <row r="703" spans="2:8">
      <c r="B703" s="5"/>
      <c r="H703" s="16"/>
    </row>
    <row r="704" spans="2:8">
      <c r="B704" s="5"/>
      <c r="H704" s="16"/>
    </row>
    <row r="705" spans="2:8">
      <c r="B705" s="5"/>
      <c r="H705" s="16"/>
    </row>
    <row r="706" spans="2:8">
      <c r="B706" s="5"/>
      <c r="H706" s="16"/>
    </row>
    <row r="707" spans="2:8">
      <c r="B707" s="5"/>
      <c r="H707" s="16"/>
    </row>
    <row r="708" spans="2:8">
      <c r="B708" s="5"/>
      <c r="H708" s="16"/>
    </row>
    <row r="709" spans="2:8">
      <c r="B709" s="5"/>
      <c r="H709" s="16"/>
    </row>
    <row r="710" spans="2:8">
      <c r="B710" s="5"/>
      <c r="H710" s="16"/>
    </row>
    <row r="711" spans="2:8">
      <c r="B711" s="5"/>
      <c r="H711" s="16"/>
    </row>
    <row r="712" spans="2:8">
      <c r="B712" s="5"/>
      <c r="H712" s="16"/>
    </row>
    <row r="713" spans="2:8">
      <c r="B713" s="5"/>
      <c r="H713" s="16"/>
    </row>
    <row r="714" spans="2:8">
      <c r="B714" s="5"/>
      <c r="H714" s="16"/>
    </row>
    <row r="715" spans="2:8">
      <c r="B715" s="5"/>
      <c r="H715" s="16"/>
    </row>
    <row r="716" spans="2:8">
      <c r="B716" s="5"/>
      <c r="H716" s="16"/>
    </row>
    <row r="717" spans="2:8">
      <c r="B717" s="5"/>
      <c r="H717" s="16"/>
    </row>
    <row r="718" spans="2:8">
      <c r="B718" s="5"/>
      <c r="H718" s="16"/>
    </row>
    <row r="719" spans="2:8">
      <c r="B719" s="5"/>
      <c r="H719" s="16"/>
    </row>
    <row r="720" spans="2:8">
      <c r="B720" s="5"/>
      <c r="H720" s="16"/>
    </row>
    <row r="721" spans="2:8">
      <c r="B721" s="5"/>
      <c r="H721" s="16"/>
    </row>
    <row r="722" spans="2:8">
      <c r="B722" s="5"/>
      <c r="H722" s="16"/>
    </row>
    <row r="723" spans="2:8">
      <c r="B723" s="5"/>
      <c r="H723" s="16"/>
    </row>
    <row r="724" spans="2:8">
      <c r="B724" s="5"/>
      <c r="H724" s="16"/>
    </row>
    <row r="725" spans="2:8">
      <c r="B725" s="5"/>
      <c r="H725" s="16"/>
    </row>
    <row r="726" spans="2:8">
      <c r="B726" s="5"/>
      <c r="H726" s="16"/>
    </row>
    <row r="727" spans="2:8">
      <c r="B727" s="5"/>
      <c r="H727" s="16"/>
    </row>
    <row r="728" spans="2:8">
      <c r="B728" s="5"/>
      <c r="H728" s="16"/>
    </row>
    <row r="729" spans="2:8">
      <c r="B729" s="5"/>
      <c r="H729" s="16"/>
    </row>
    <row r="730" spans="2:8">
      <c r="B730" s="5"/>
      <c r="H730" s="16"/>
    </row>
    <row r="731" spans="2:8">
      <c r="B731" s="5"/>
      <c r="H731" s="16"/>
    </row>
    <row r="732" spans="2:8">
      <c r="B732" s="5"/>
      <c r="H732" s="16"/>
    </row>
    <row r="733" spans="2:8">
      <c r="B733" s="5"/>
      <c r="H733" s="16"/>
    </row>
    <row r="734" spans="2:8">
      <c r="B734" s="5"/>
      <c r="H734" s="16"/>
    </row>
    <row r="735" spans="2:8">
      <c r="B735" s="5"/>
      <c r="H735" s="16"/>
    </row>
    <row r="736" spans="2:8">
      <c r="B736" s="5"/>
      <c r="H736" s="16"/>
    </row>
    <row r="737" spans="2:8">
      <c r="B737" s="5"/>
      <c r="H737" s="16"/>
    </row>
    <row r="738" spans="2:8">
      <c r="B738" s="5"/>
      <c r="H738" s="16"/>
    </row>
    <row r="739" spans="2:8">
      <c r="B739" s="5"/>
      <c r="H739" s="16"/>
    </row>
    <row r="740" spans="2:8">
      <c r="B740" s="5"/>
      <c r="H740" s="16"/>
    </row>
    <row r="741" spans="2:8">
      <c r="B741" s="5"/>
      <c r="H741" s="16"/>
    </row>
    <row r="742" spans="2:8">
      <c r="B742" s="5"/>
      <c r="H742" s="16"/>
    </row>
    <row r="743" spans="2:8">
      <c r="B743" s="5"/>
      <c r="H743" s="16"/>
    </row>
    <row r="744" spans="2:8">
      <c r="B744" s="5"/>
      <c r="H744" s="16"/>
    </row>
    <row r="745" spans="2:8">
      <c r="B745" s="5"/>
      <c r="H745" s="16"/>
    </row>
    <row r="746" spans="2:8">
      <c r="B746" s="5"/>
      <c r="H746" s="16"/>
    </row>
    <row r="747" spans="2:8">
      <c r="B747" s="5"/>
      <c r="H747" s="16"/>
    </row>
    <row r="748" spans="2:8">
      <c r="B748" s="5"/>
      <c r="H748" s="16"/>
    </row>
    <row r="749" spans="2:8">
      <c r="B749" s="5"/>
      <c r="H749" s="16"/>
    </row>
    <row r="750" spans="2:8">
      <c r="B750" s="5"/>
      <c r="H750" s="16"/>
    </row>
    <row r="751" spans="2:8">
      <c r="B751" s="5"/>
      <c r="H751" s="16"/>
    </row>
    <row r="752" spans="2:8">
      <c r="B752" s="5"/>
      <c r="H752" s="16"/>
    </row>
    <row r="753" spans="2:8">
      <c r="B753" s="5"/>
      <c r="H753" s="16"/>
    </row>
    <row r="754" spans="2:8">
      <c r="B754" s="5"/>
      <c r="H754" s="16"/>
    </row>
    <row r="755" spans="2:8">
      <c r="B755" s="5"/>
      <c r="H755" s="16"/>
    </row>
    <row r="756" spans="2:8">
      <c r="B756" s="5"/>
      <c r="H756" s="16"/>
    </row>
    <row r="757" spans="2:8">
      <c r="B757" s="5"/>
      <c r="H757" s="16"/>
    </row>
    <row r="758" spans="2:8">
      <c r="B758" s="5"/>
      <c r="H758" s="16"/>
    </row>
    <row r="759" spans="2:8">
      <c r="B759" s="5"/>
      <c r="H759" s="16"/>
    </row>
    <row r="760" spans="2:8">
      <c r="B760" s="5"/>
      <c r="H760" s="16"/>
    </row>
    <row r="761" spans="2:8">
      <c r="B761" s="5"/>
      <c r="H761" s="16"/>
    </row>
    <row r="762" spans="2:8">
      <c r="B762" s="5"/>
      <c r="H762" s="16"/>
    </row>
    <row r="763" spans="2:8">
      <c r="B763" s="5"/>
      <c r="H763" s="16"/>
    </row>
    <row r="764" spans="2:8">
      <c r="B764" s="5"/>
      <c r="H764" s="16"/>
    </row>
    <row r="765" spans="2:8">
      <c r="B765" s="5"/>
      <c r="H765" s="16"/>
    </row>
    <row r="766" spans="2:8">
      <c r="B766" s="5"/>
      <c r="H766" s="16"/>
    </row>
    <row r="767" spans="2:8">
      <c r="B767" s="5"/>
      <c r="H767" s="16"/>
    </row>
    <row r="768" spans="2:8">
      <c r="B768" s="5"/>
      <c r="H768" s="16"/>
    </row>
    <row r="769" spans="2:8">
      <c r="B769" s="5"/>
      <c r="H769" s="16"/>
    </row>
    <row r="770" spans="2:8">
      <c r="B770" s="5"/>
      <c r="H770" s="16"/>
    </row>
    <row r="771" spans="2:8">
      <c r="B771" s="5"/>
      <c r="H771" s="16"/>
    </row>
    <row r="772" spans="2:8">
      <c r="B772" s="5"/>
      <c r="H772" s="16"/>
    </row>
    <row r="773" spans="2:8">
      <c r="B773" s="5"/>
      <c r="H773" s="16"/>
    </row>
    <row r="774" spans="2:8">
      <c r="B774" s="5"/>
      <c r="H774" s="16"/>
    </row>
    <row r="775" spans="2:8">
      <c r="B775" s="5"/>
      <c r="H775" s="16"/>
    </row>
    <row r="776" spans="2:8">
      <c r="B776" s="5"/>
      <c r="H776" s="16"/>
    </row>
    <row r="777" spans="2:8">
      <c r="B777" s="5"/>
      <c r="H777" s="16"/>
    </row>
    <row r="778" spans="2:8">
      <c r="B778" s="5"/>
      <c r="H778" s="16"/>
    </row>
    <row r="779" spans="2:8">
      <c r="B779" s="5"/>
      <c r="H779" s="16"/>
    </row>
    <row r="780" spans="2:8">
      <c r="B780" s="5"/>
      <c r="H780" s="16"/>
    </row>
    <row r="781" spans="2:8">
      <c r="B781" s="5"/>
      <c r="H781" s="16"/>
    </row>
    <row r="782" spans="2:8">
      <c r="B782" s="5"/>
      <c r="H782" s="16"/>
    </row>
    <row r="783" spans="2:8">
      <c r="B783" s="5"/>
      <c r="H783" s="16"/>
    </row>
    <row r="784" spans="2:8">
      <c r="B784" s="5"/>
      <c r="H784" s="16"/>
    </row>
    <row r="785" spans="2:8">
      <c r="B785" s="5"/>
      <c r="H785" s="16"/>
    </row>
    <row r="786" spans="2:8">
      <c r="B786" s="5"/>
      <c r="H786" s="16"/>
    </row>
    <row r="787" spans="2:8">
      <c r="B787" s="5"/>
      <c r="H787" s="16"/>
    </row>
    <row r="788" spans="2:8">
      <c r="B788" s="5"/>
      <c r="H788" s="16"/>
    </row>
    <row r="789" spans="2:8">
      <c r="B789" s="5"/>
      <c r="H789" s="16"/>
    </row>
    <row r="790" spans="2:8">
      <c r="B790" s="5"/>
      <c r="H790" s="16"/>
    </row>
    <row r="791" spans="2:8">
      <c r="B791" s="5"/>
      <c r="H791" s="16"/>
    </row>
    <row r="792" spans="2:8">
      <c r="B792" s="5"/>
      <c r="H792" s="16"/>
    </row>
    <row r="793" spans="2:8">
      <c r="B793" s="5"/>
      <c r="H793" s="16"/>
    </row>
    <row r="794" spans="2:8">
      <c r="B794" s="5"/>
      <c r="H794" s="16"/>
    </row>
    <row r="795" spans="2:8">
      <c r="B795" s="5"/>
      <c r="H795" s="16"/>
    </row>
    <row r="796" spans="2:8">
      <c r="B796" s="5"/>
      <c r="H796" s="16"/>
    </row>
    <row r="797" spans="2:8">
      <c r="B797" s="5"/>
      <c r="H797" s="16"/>
    </row>
    <row r="798" spans="2:8">
      <c r="B798" s="5"/>
      <c r="H798" s="16"/>
    </row>
    <row r="799" spans="2:8">
      <c r="B799" s="5"/>
      <c r="H799" s="16"/>
    </row>
    <row r="800" spans="2:8">
      <c r="B800" s="5"/>
      <c r="H800" s="16"/>
    </row>
    <row r="801" spans="2:8">
      <c r="B801" s="5"/>
      <c r="H801" s="16"/>
    </row>
    <row r="802" spans="2:8">
      <c r="B802" s="5"/>
      <c r="H802" s="16"/>
    </row>
    <row r="803" spans="2:8">
      <c r="B803" s="5"/>
      <c r="H803" s="16"/>
    </row>
    <row r="804" spans="2:8">
      <c r="B804" s="5"/>
      <c r="H804" s="16"/>
    </row>
    <row r="805" spans="2:8">
      <c r="B805" s="5"/>
      <c r="H805" s="16"/>
    </row>
    <row r="806" spans="2:8">
      <c r="B806" s="5"/>
      <c r="H806" s="16"/>
    </row>
    <row r="807" spans="2:8">
      <c r="B807" s="5"/>
      <c r="H807" s="16"/>
    </row>
    <row r="808" spans="2:8">
      <c r="B808" s="5"/>
      <c r="H808" s="16"/>
    </row>
    <row r="809" spans="2:8">
      <c r="B809" s="5"/>
      <c r="H809" s="16"/>
    </row>
    <row r="810" spans="2:8">
      <c r="B810" s="5"/>
      <c r="H810" s="16"/>
    </row>
    <row r="811" spans="2:8">
      <c r="B811" s="5"/>
      <c r="H811" s="16"/>
    </row>
    <row r="812" spans="2:8">
      <c r="B812" s="5"/>
      <c r="H812" s="16"/>
    </row>
    <row r="813" spans="2:8">
      <c r="B813" s="5"/>
      <c r="H813" s="16"/>
    </row>
    <row r="814" spans="2:8">
      <c r="B814" s="5"/>
      <c r="H814" s="16"/>
    </row>
    <row r="815" spans="2:8">
      <c r="B815" s="5"/>
      <c r="H815" s="16"/>
    </row>
    <row r="816" spans="2:8">
      <c r="B816" s="5"/>
      <c r="H816" s="16"/>
    </row>
    <row r="817" spans="2:8">
      <c r="B817" s="5"/>
      <c r="H817" s="16"/>
    </row>
    <row r="818" spans="2:8">
      <c r="B818" s="5"/>
      <c r="H818" s="16"/>
    </row>
    <row r="819" spans="2:8">
      <c r="B819" s="5"/>
      <c r="H819" s="16"/>
    </row>
    <row r="820" spans="2:8">
      <c r="B820" s="5"/>
      <c r="H820" s="16"/>
    </row>
    <row r="821" spans="2:8">
      <c r="B821" s="5"/>
      <c r="H821" s="16"/>
    </row>
    <row r="822" spans="2:8">
      <c r="B822" s="5"/>
      <c r="H822" s="16"/>
    </row>
    <row r="823" spans="2:8">
      <c r="B823" s="5"/>
      <c r="H823" s="16"/>
    </row>
    <row r="824" spans="2:8">
      <c r="B824" s="5"/>
      <c r="H824" s="16"/>
    </row>
    <row r="825" spans="2:8">
      <c r="B825" s="5"/>
      <c r="H825" s="16"/>
    </row>
    <row r="826" spans="2:8">
      <c r="B826" s="5"/>
      <c r="H826" s="16"/>
    </row>
    <row r="827" spans="2:8">
      <c r="B827" s="5"/>
      <c r="H827" s="16"/>
    </row>
    <row r="828" spans="2:8">
      <c r="B828" s="5"/>
      <c r="H828" s="16"/>
    </row>
    <row r="829" spans="2:8">
      <c r="B829" s="5"/>
      <c r="H829" s="16"/>
    </row>
    <row r="830" spans="2:8">
      <c r="B830" s="5"/>
      <c r="H830" s="16"/>
    </row>
    <row r="831" spans="2:8">
      <c r="B831" s="5"/>
      <c r="H831" s="16"/>
    </row>
    <row r="832" spans="2:8">
      <c r="B832" s="5"/>
      <c r="H832" s="16"/>
    </row>
    <row r="833" spans="2:8">
      <c r="B833" s="5"/>
      <c r="H833" s="16"/>
    </row>
    <row r="834" spans="2:8">
      <c r="B834" s="5"/>
      <c r="H834" s="16"/>
    </row>
    <row r="835" spans="2:8">
      <c r="B835" s="5"/>
      <c r="H835" s="16"/>
    </row>
    <row r="836" spans="2:8">
      <c r="B836" s="5"/>
      <c r="H836" s="16"/>
    </row>
    <row r="837" spans="2:8">
      <c r="B837" s="5"/>
      <c r="H837" s="16"/>
    </row>
    <row r="838" spans="2:8">
      <c r="B838" s="5"/>
      <c r="H838" s="16"/>
    </row>
    <row r="839" spans="2:8">
      <c r="B839" s="5"/>
      <c r="H839" s="16"/>
    </row>
    <row r="840" spans="2:8">
      <c r="B840" s="5"/>
      <c r="H840" s="16"/>
    </row>
    <row r="841" spans="2:8">
      <c r="B841" s="5"/>
      <c r="H841" s="16"/>
    </row>
    <row r="842" spans="2:8">
      <c r="B842" s="5"/>
      <c r="H842" s="16"/>
    </row>
    <row r="843" spans="2:8">
      <c r="B843" s="5"/>
      <c r="H843" s="16"/>
    </row>
    <row r="844" spans="2:8">
      <c r="B844" s="5"/>
      <c r="H844" s="16"/>
    </row>
    <row r="845" spans="2:8">
      <c r="B845" s="5"/>
      <c r="H845" s="16"/>
    </row>
    <row r="846" spans="2:8">
      <c r="B846" s="5"/>
      <c r="H846" s="16"/>
    </row>
    <row r="847" spans="2:8">
      <c r="B847" s="5"/>
      <c r="H847" s="16"/>
    </row>
    <row r="848" spans="2:8">
      <c r="B848" s="5"/>
      <c r="H848" s="16"/>
    </row>
    <row r="849" spans="2:8">
      <c r="B849" s="5"/>
      <c r="H849" s="16"/>
    </row>
    <row r="850" spans="2:8">
      <c r="B850" s="5"/>
      <c r="H850" s="16"/>
    </row>
    <row r="851" spans="2:8">
      <c r="B851" s="5"/>
      <c r="H851" s="16"/>
    </row>
    <row r="852" spans="2:8">
      <c r="B852" s="5"/>
      <c r="H852" s="16"/>
    </row>
    <row r="853" spans="2:8">
      <c r="B853" s="5"/>
      <c r="H853" s="16"/>
    </row>
    <row r="854" spans="2:8">
      <c r="B854" s="5"/>
      <c r="H854" s="16"/>
    </row>
    <row r="855" spans="2:8">
      <c r="B855" s="5"/>
      <c r="H855" s="16"/>
    </row>
    <row r="856" spans="2:8">
      <c r="B856" s="5"/>
      <c r="H856" s="16"/>
    </row>
    <row r="857" spans="2:8">
      <c r="B857" s="5"/>
      <c r="H857" s="16"/>
    </row>
    <row r="858" spans="2:8">
      <c r="B858" s="5"/>
      <c r="H858" s="16"/>
    </row>
    <row r="859" spans="2:8">
      <c r="B859" s="5"/>
      <c r="H859" s="16"/>
    </row>
    <row r="860" spans="2:8">
      <c r="B860" s="5"/>
      <c r="H860" s="16"/>
    </row>
    <row r="861" spans="2:8">
      <c r="B861" s="5"/>
      <c r="H861" s="16"/>
    </row>
    <row r="862" spans="2:8">
      <c r="B862" s="5"/>
      <c r="H862" s="16"/>
    </row>
    <row r="863" spans="2:8">
      <c r="B863" s="5"/>
      <c r="H863" s="16"/>
    </row>
    <row r="864" spans="2:8">
      <c r="B864" s="5"/>
      <c r="H864" s="16"/>
    </row>
    <row r="865" spans="2:8">
      <c r="B865" s="5"/>
      <c r="H865" s="16"/>
    </row>
    <row r="866" spans="2:8">
      <c r="B866" s="5"/>
      <c r="H866" s="16"/>
    </row>
    <row r="867" spans="2:8">
      <c r="B867" s="5"/>
      <c r="H867" s="16"/>
    </row>
    <row r="868" spans="2:8">
      <c r="B868" s="5"/>
      <c r="H868" s="16"/>
    </row>
    <row r="869" spans="2:8">
      <c r="B869" s="5"/>
      <c r="H869" s="16"/>
    </row>
    <row r="870" spans="2:8">
      <c r="B870" s="5"/>
      <c r="H870" s="16"/>
    </row>
    <row r="871" spans="2:8">
      <c r="B871" s="5"/>
      <c r="H871" s="16"/>
    </row>
    <row r="872" spans="2:8">
      <c r="B872" s="5"/>
      <c r="H872" s="16"/>
    </row>
    <row r="873" spans="2:8">
      <c r="B873" s="5"/>
      <c r="H873" s="16"/>
    </row>
    <row r="874" spans="2:8">
      <c r="B874" s="5"/>
      <c r="H874" s="16"/>
    </row>
    <row r="875" spans="2:8">
      <c r="B875" s="5"/>
      <c r="H875" s="16"/>
    </row>
    <row r="876" spans="2:8">
      <c r="B876" s="5"/>
      <c r="H876" s="16"/>
    </row>
    <row r="877" spans="2:8">
      <c r="B877" s="5"/>
      <c r="H877" s="16"/>
    </row>
    <row r="878" spans="2:8">
      <c r="B878" s="5"/>
      <c r="H878" s="16"/>
    </row>
    <row r="879" spans="2:8">
      <c r="B879" s="5"/>
      <c r="H879" s="16"/>
    </row>
    <row r="880" spans="2:8">
      <c r="B880" s="5"/>
      <c r="H880" s="16"/>
    </row>
    <row r="881" spans="2:8">
      <c r="B881" s="5"/>
      <c r="H881" s="16"/>
    </row>
    <row r="882" spans="2:8">
      <c r="B882" s="5"/>
      <c r="H882" s="16"/>
    </row>
    <row r="883" spans="2:8">
      <c r="B883" s="5"/>
      <c r="H883" s="16"/>
    </row>
    <row r="884" spans="2:8">
      <c r="B884" s="5"/>
      <c r="H884" s="16"/>
    </row>
    <row r="885" spans="2:8">
      <c r="B885" s="5"/>
      <c r="H885" s="16"/>
    </row>
    <row r="886" spans="2:8">
      <c r="B886" s="5"/>
      <c r="H886" s="16"/>
    </row>
    <row r="887" spans="2:8">
      <c r="B887" s="5"/>
      <c r="H887" s="16"/>
    </row>
    <row r="888" spans="2:8">
      <c r="B888" s="5"/>
      <c r="H888" s="16"/>
    </row>
    <row r="889" spans="2:8">
      <c r="B889" s="5"/>
      <c r="H889" s="16"/>
    </row>
    <row r="890" spans="2:8">
      <c r="B890" s="5"/>
      <c r="H890" s="16"/>
    </row>
    <row r="891" spans="2:8">
      <c r="B891" s="5"/>
      <c r="H891" s="16"/>
    </row>
    <row r="892" spans="2:8">
      <c r="B892" s="5"/>
      <c r="H892" s="16"/>
    </row>
  </sheetData>
  <mergeCells count="27">
    <mergeCell ref="C43:F43"/>
    <mergeCell ref="G43:H43"/>
    <mergeCell ref="A4:H4"/>
    <mergeCell ref="A10:F10"/>
    <mergeCell ref="A17:F17"/>
    <mergeCell ref="A23:F23"/>
    <mergeCell ref="A29:F29"/>
    <mergeCell ref="A35:F35"/>
    <mergeCell ref="A38:F38"/>
    <mergeCell ref="C41:F41"/>
    <mergeCell ref="G41:H41"/>
    <mergeCell ref="C42:F42"/>
    <mergeCell ref="G42:H42"/>
    <mergeCell ref="C44:F44"/>
    <mergeCell ref="G44:H44"/>
    <mergeCell ref="C45:F45"/>
    <mergeCell ref="G45:H45"/>
    <mergeCell ref="C46:F46"/>
    <mergeCell ref="G46:H46"/>
    <mergeCell ref="C50:F50"/>
    <mergeCell ref="G50:H50"/>
    <mergeCell ref="C47:F47"/>
    <mergeCell ref="G47:H47"/>
    <mergeCell ref="C48:F48"/>
    <mergeCell ref="G48:H48"/>
    <mergeCell ref="C49:F49"/>
    <mergeCell ref="G49:H49"/>
  </mergeCells>
  <phoneticPr fontId="24" type="noConversion"/>
  <dataValidations count="1">
    <dataValidation type="list" allowBlank="1" showInputMessage="1" showErrorMessage="1" sqref="B42:B48" xr:uid="{00000000-0002-0000-1700-000000000000}">
      <formula1>$L$41:$L$45</formula1>
    </dataValidation>
  </dataValidations>
  <pageMargins left="0.7" right="0.7" top="0.75" bottom="0.75" header="0.3" footer="0.3"/>
  <pageSetup scale="52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88072-06BD-4777-AE70-6301EEF7008E}">
  <sheetPr>
    <tabColor rgb="FFFFC000"/>
    <pageSetUpPr fitToPage="1"/>
  </sheetPr>
  <dimension ref="A1:L892"/>
  <sheetViews>
    <sheetView showZeros="0" view="pageBreakPreview" zoomScale="60" zoomScaleNormal="70" workbookViewId="0">
      <selection activeCell="A10" sqref="A10:F10"/>
    </sheetView>
  </sheetViews>
  <sheetFormatPr defaultColWidth="10.875" defaultRowHeight="18.75"/>
  <cols>
    <col min="1" max="1" width="35.625" customWidth="1"/>
    <col min="2" max="2" width="14.625" style="16" customWidth="1"/>
    <col min="3" max="7" width="15.875" style="5" customWidth="1"/>
    <col min="8" max="8" width="15.875" style="17" customWidth="1"/>
    <col min="9" max="9" width="9" style="5"/>
    <col min="10" max="12" width="0" style="5" hidden="1" customWidth="1"/>
    <col min="13" max="16384" width="10.875" style="5"/>
  </cols>
  <sheetData>
    <row r="1" spans="1:10" customFormat="1" ht="15.75">
      <c r="A1" s="41"/>
      <c r="B1" s="42"/>
      <c r="C1" s="43"/>
      <c r="D1" s="43"/>
      <c r="E1" s="45" t="s">
        <v>25</v>
      </c>
      <c r="F1" s="43"/>
      <c r="G1" s="45" t="s">
        <v>26</v>
      </c>
      <c r="H1" s="44">
        <v>6</v>
      </c>
    </row>
    <row r="2" spans="1:10">
      <c r="A2" s="30"/>
      <c r="B2" s="18" t="s">
        <v>27</v>
      </c>
      <c r="C2" s="19" t="s">
        <v>28</v>
      </c>
      <c r="D2" s="19" t="s">
        <v>29</v>
      </c>
      <c r="E2" s="18" t="s">
        <v>30</v>
      </c>
      <c r="F2" s="18" t="s">
        <v>31</v>
      </c>
      <c r="G2" s="18" t="s">
        <v>32</v>
      </c>
      <c r="H2" s="18" t="s">
        <v>33</v>
      </c>
    </row>
    <row r="3" spans="1:10" ht="21" customHeight="1">
      <c r="A3" s="31" t="s">
        <v>7</v>
      </c>
      <c r="B3" s="6">
        <f>'Week. 2'!H3+1</f>
        <v>46040</v>
      </c>
      <c r="C3" s="6">
        <f>B3+1</f>
        <v>46041</v>
      </c>
      <c r="D3" s="6">
        <f t="shared" ref="D3:H3" si="0">C3+1</f>
        <v>46042</v>
      </c>
      <c r="E3" s="6">
        <f t="shared" si="0"/>
        <v>46043</v>
      </c>
      <c r="F3" s="6">
        <f t="shared" si="0"/>
        <v>46044</v>
      </c>
      <c r="G3" s="6">
        <f t="shared" si="0"/>
        <v>46045</v>
      </c>
      <c r="H3" s="6">
        <f t="shared" si="0"/>
        <v>46046</v>
      </c>
    </row>
    <row r="4" spans="1:10" s="7" customFormat="1">
      <c r="A4" s="181" t="s">
        <v>135</v>
      </c>
      <c r="B4" s="181"/>
      <c r="C4" s="181"/>
      <c r="D4" s="181"/>
      <c r="E4" s="181"/>
      <c r="F4" s="181"/>
      <c r="G4" s="181"/>
      <c r="H4" s="181"/>
    </row>
    <row r="5" spans="1:10" s="7" customFormat="1" ht="26.1" customHeight="1">
      <c r="A5" s="32" t="s">
        <v>8</v>
      </c>
      <c r="B5" s="27"/>
      <c r="C5" s="27"/>
      <c r="D5" s="27"/>
      <c r="E5" s="27"/>
      <c r="F5" s="27"/>
      <c r="G5" s="27"/>
      <c r="H5" s="27"/>
    </row>
    <row r="6" spans="1:10" s="7" customFormat="1" ht="26.1" customHeight="1">
      <c r="A6" s="4" t="s">
        <v>23</v>
      </c>
      <c r="B6" s="62"/>
      <c r="C6" s="62"/>
      <c r="D6" s="62"/>
      <c r="E6" s="62"/>
      <c r="F6" s="62"/>
      <c r="G6" s="62"/>
      <c r="H6" s="62"/>
    </row>
    <row r="7" spans="1:10" s="7" customFormat="1" ht="21.95" customHeight="1">
      <c r="A7" s="32" t="s">
        <v>35</v>
      </c>
      <c r="B7" s="27"/>
      <c r="C7" s="28"/>
      <c r="D7" s="28"/>
      <c r="E7" s="28"/>
      <c r="F7" s="28"/>
      <c r="G7" s="28"/>
      <c r="H7" s="27"/>
    </row>
    <row r="8" spans="1:10" s="7" customFormat="1" ht="24.95" customHeight="1">
      <c r="A8" s="83" t="s">
        <v>36</v>
      </c>
      <c r="B8" s="84">
        <f t="shared" ref="B8:H8" si="1">B5+B6+B7</f>
        <v>0</v>
      </c>
      <c r="C8" s="84">
        <f t="shared" si="1"/>
        <v>0</v>
      </c>
      <c r="D8" s="84">
        <f t="shared" si="1"/>
        <v>0</v>
      </c>
      <c r="E8" s="84">
        <f t="shared" si="1"/>
        <v>0</v>
      </c>
      <c r="F8" s="84">
        <f t="shared" si="1"/>
        <v>0</v>
      </c>
      <c r="G8" s="84">
        <f t="shared" si="1"/>
        <v>0</v>
      </c>
      <c r="H8" s="84">
        <f t="shared" si="1"/>
        <v>0</v>
      </c>
    </row>
    <row r="9" spans="1:10" s="7" customFormat="1" ht="24.95" customHeight="1">
      <c r="A9" s="33"/>
      <c r="B9" s="29"/>
      <c r="C9" s="29"/>
      <c r="D9" s="29"/>
      <c r="E9" s="29"/>
      <c r="F9" s="29"/>
      <c r="G9" s="63" t="s">
        <v>37</v>
      </c>
      <c r="H9" s="64">
        <f>SUM(B8:H8)</f>
        <v>0</v>
      </c>
    </row>
    <row r="10" spans="1:10" s="7" customFormat="1">
      <c r="A10" s="182" t="s">
        <v>136</v>
      </c>
      <c r="B10" s="183"/>
      <c r="C10" s="183"/>
      <c r="D10" s="183"/>
      <c r="E10" s="183"/>
      <c r="F10" s="183"/>
      <c r="G10" s="65" t="s">
        <v>39</v>
      </c>
      <c r="H10" s="66">
        <v>-0.15</v>
      </c>
      <c r="I10" s="5"/>
      <c r="J10" s="26"/>
    </row>
    <row r="11" spans="1:10" s="7" customFormat="1" ht="30" customHeight="1">
      <c r="A11" s="39" t="s">
        <v>8</v>
      </c>
      <c r="B11" s="9"/>
      <c r="C11" s="9"/>
      <c r="D11" s="67"/>
      <c r="E11" s="67"/>
      <c r="F11" s="9"/>
      <c r="G11" s="68"/>
      <c r="H11" s="69"/>
    </row>
    <row r="12" spans="1:10" s="7" customFormat="1" ht="30" customHeight="1">
      <c r="A12" s="70" t="s">
        <v>23</v>
      </c>
      <c r="B12" s="59"/>
      <c r="C12" s="58"/>
      <c r="D12" s="58"/>
      <c r="E12" s="58"/>
      <c r="F12" s="58"/>
      <c r="G12" s="58"/>
      <c r="H12" s="58"/>
    </row>
    <row r="13" spans="1:10" s="7" customFormat="1" ht="30" customHeight="1">
      <c r="A13" s="3" t="s">
        <v>35</v>
      </c>
      <c r="B13" s="8"/>
      <c r="C13" s="8"/>
      <c r="D13" s="8"/>
      <c r="E13" s="8"/>
      <c r="F13" s="8"/>
      <c r="G13" s="8"/>
      <c r="H13" s="8"/>
    </row>
    <row r="14" spans="1:10" s="7" customFormat="1" ht="27" customHeight="1">
      <c r="A14" s="85" t="s">
        <v>36</v>
      </c>
      <c r="B14" s="87">
        <f t="shared" ref="B14:H14" si="2">B11+B12+B13</f>
        <v>0</v>
      </c>
      <c r="C14" s="87">
        <f t="shared" si="2"/>
        <v>0</v>
      </c>
      <c r="D14" s="87">
        <f t="shared" si="2"/>
        <v>0</v>
      </c>
      <c r="E14" s="87">
        <f t="shared" si="2"/>
        <v>0</v>
      </c>
      <c r="F14" s="87">
        <f t="shared" si="2"/>
        <v>0</v>
      </c>
      <c r="G14" s="87">
        <f t="shared" si="2"/>
        <v>0</v>
      </c>
      <c r="H14" s="87">
        <f t="shared" si="2"/>
        <v>0</v>
      </c>
    </row>
    <row r="15" spans="1:10" s="7" customFormat="1" ht="24.95" customHeight="1">
      <c r="A15" s="86" t="s">
        <v>40</v>
      </c>
      <c r="B15" s="92" t="e">
        <f t="shared" ref="B15:H15" si="3">(B14-B8)/B8</f>
        <v>#DIV/0!</v>
      </c>
      <c r="C15" s="93" t="e">
        <f t="shared" si="3"/>
        <v>#DIV/0!</v>
      </c>
      <c r="D15" s="93" t="e">
        <f t="shared" si="3"/>
        <v>#DIV/0!</v>
      </c>
      <c r="E15" s="93" t="e">
        <f t="shared" si="3"/>
        <v>#DIV/0!</v>
      </c>
      <c r="F15" s="93" t="e">
        <f t="shared" si="3"/>
        <v>#DIV/0!</v>
      </c>
      <c r="G15" s="93" t="e">
        <f t="shared" si="3"/>
        <v>#DIV/0!</v>
      </c>
      <c r="H15" s="94" t="e">
        <f t="shared" si="3"/>
        <v>#DIV/0!</v>
      </c>
      <c r="I15" s="71"/>
    </row>
    <row r="16" spans="1:10" ht="30" customHeight="1">
      <c r="B16" s="88"/>
      <c r="C16" s="88"/>
      <c r="D16" s="88"/>
      <c r="E16" s="88"/>
      <c r="F16" s="89"/>
      <c r="G16" s="90" t="s">
        <v>37</v>
      </c>
      <c r="H16" s="91">
        <f>SUM(B14:H14)</f>
        <v>0</v>
      </c>
    </row>
    <row r="17" spans="1:8" s="7" customFormat="1">
      <c r="A17" s="184" t="s">
        <v>41</v>
      </c>
      <c r="B17" s="185"/>
      <c r="C17" s="185"/>
      <c r="D17" s="185"/>
      <c r="E17" s="185"/>
      <c r="F17" s="185"/>
      <c r="G17" s="72" t="s">
        <v>42</v>
      </c>
      <c r="H17" s="66" t="e">
        <f>(H16-H9)/H9</f>
        <v>#DIV/0!</v>
      </c>
    </row>
    <row r="18" spans="1:8" s="7" customFormat="1" ht="30" customHeight="1">
      <c r="A18" s="35" t="s">
        <v>43</v>
      </c>
      <c r="B18" s="12"/>
      <c r="C18" s="12"/>
      <c r="D18" s="73"/>
      <c r="E18" s="73"/>
      <c r="F18" s="12"/>
      <c r="G18" s="24"/>
      <c r="H18" s="74"/>
    </row>
    <row r="19" spans="1:8" s="7" customFormat="1" ht="30" customHeight="1">
      <c r="A19" s="35" t="str">
        <f>'Week. 2'!A31</f>
        <v>Non Meal Plan Meals</v>
      </c>
      <c r="B19" s="12"/>
      <c r="C19" s="12"/>
      <c r="D19" s="73"/>
      <c r="E19" s="73"/>
      <c r="F19" s="12"/>
      <c r="G19" s="24"/>
      <c r="H19" s="74"/>
    </row>
    <row r="20" spans="1:8" s="7" customFormat="1" ht="30" customHeight="1">
      <c r="A20" s="35" t="str">
        <f>'Week. 2'!A32</f>
        <v xml:space="preserve">Meal numbers </v>
      </c>
      <c r="B20" s="95"/>
      <c r="C20" s="95"/>
      <c r="D20" s="67"/>
      <c r="E20" s="67"/>
      <c r="F20" s="95"/>
      <c r="G20" s="95"/>
      <c r="H20" s="75"/>
    </row>
    <row r="21" spans="1:8" s="7" customFormat="1" ht="24.95" customHeight="1">
      <c r="A21" s="36" t="s">
        <v>45</v>
      </c>
      <c r="B21" s="77">
        <f t="shared" ref="B21:G21" si="4">B18+B20</f>
        <v>0</v>
      </c>
      <c r="C21" s="77">
        <f t="shared" si="4"/>
        <v>0</v>
      </c>
      <c r="D21" s="96"/>
      <c r="E21" s="96"/>
      <c r="F21" s="77">
        <f t="shared" si="4"/>
        <v>0</v>
      </c>
      <c r="G21" s="77">
        <f t="shared" si="4"/>
        <v>0</v>
      </c>
      <c r="H21" s="77">
        <f>H18+H20</f>
        <v>0</v>
      </c>
    </row>
    <row r="22" spans="1:8" s="7" customFormat="1" ht="24.95" customHeight="1">
      <c r="A22" s="34" t="s">
        <v>40</v>
      </c>
      <c r="B22" s="92" t="e">
        <f>(B21-B5)/B5</f>
        <v>#DIV/0!</v>
      </c>
      <c r="C22" s="93" t="e">
        <f>(C21-C5)/C5</f>
        <v>#DIV/0!</v>
      </c>
      <c r="D22" s="99"/>
      <c r="E22" s="99"/>
      <c r="F22" s="93" t="e">
        <f>(F21-F5)/F5</f>
        <v>#DIV/0!</v>
      </c>
      <c r="G22" s="93" t="e">
        <f>(G21-G5)/G5</f>
        <v>#DIV/0!</v>
      </c>
      <c r="H22" s="94" t="e">
        <f>(H21-H5)/H5</f>
        <v>#DIV/0!</v>
      </c>
    </row>
    <row r="23" spans="1:8" s="7" customFormat="1">
      <c r="A23" s="186" t="s">
        <v>46</v>
      </c>
      <c r="B23" s="187"/>
      <c r="C23" s="187"/>
      <c r="D23" s="187"/>
      <c r="E23" s="187"/>
      <c r="F23" s="188" t="s">
        <v>47</v>
      </c>
      <c r="G23" s="97"/>
      <c r="H23" s="98"/>
    </row>
    <row r="24" spans="1:8" s="7" customFormat="1" ht="30" customHeight="1">
      <c r="A24" s="35" t="s">
        <v>43</v>
      </c>
      <c r="B24" s="11"/>
      <c r="C24" s="12"/>
      <c r="D24" s="12"/>
      <c r="E24" s="12"/>
      <c r="F24" s="12"/>
      <c r="G24" s="12"/>
      <c r="H24" s="11"/>
    </row>
    <row r="25" spans="1:8" s="7" customFormat="1" ht="30" customHeight="1">
      <c r="A25" s="35" t="str">
        <f>A19</f>
        <v>Non Meal Plan Meals</v>
      </c>
      <c r="B25" s="117"/>
      <c r="C25" s="117"/>
      <c r="D25" s="117"/>
      <c r="E25" s="117"/>
      <c r="F25" s="117"/>
      <c r="G25" s="117"/>
      <c r="H25" s="117"/>
    </row>
    <row r="26" spans="1:8" s="7" customFormat="1" ht="30" customHeight="1">
      <c r="A26" s="35" t="str">
        <f>A20</f>
        <v xml:space="preserve">Meal numbers </v>
      </c>
      <c r="B26" s="11"/>
      <c r="C26" s="11"/>
      <c r="D26" s="11"/>
      <c r="E26" s="11"/>
      <c r="F26" s="11"/>
      <c r="G26" s="11"/>
      <c r="H26" s="11"/>
    </row>
    <row r="27" spans="1:8" s="7" customFormat="1" ht="27.95" customHeight="1">
      <c r="A27" s="36" t="s">
        <v>50</v>
      </c>
      <c r="B27" s="100">
        <f>B24+B25+B26</f>
        <v>0</v>
      </c>
      <c r="C27" s="100">
        <f t="shared" ref="C27:G27" si="5">C24+C25+C26</f>
        <v>0</v>
      </c>
      <c r="D27" s="100">
        <f t="shared" si="5"/>
        <v>0</v>
      </c>
      <c r="E27" s="100">
        <f t="shared" si="5"/>
        <v>0</v>
      </c>
      <c r="F27" s="100">
        <f t="shared" si="5"/>
        <v>0</v>
      </c>
      <c r="G27" s="100">
        <f t="shared" si="5"/>
        <v>0</v>
      </c>
      <c r="H27" s="100">
        <f>H24+H25+H26</f>
        <v>0</v>
      </c>
    </row>
    <row r="28" spans="1:8" s="7" customFormat="1" ht="24.95" customHeight="1">
      <c r="A28" s="34" t="s">
        <v>40</v>
      </c>
      <c r="B28" s="92" t="e">
        <f t="shared" ref="B28:H28" si="6">(B27-B6)/B6</f>
        <v>#DIV/0!</v>
      </c>
      <c r="C28" s="93" t="e">
        <f t="shared" si="6"/>
        <v>#DIV/0!</v>
      </c>
      <c r="D28" s="93" t="e">
        <f t="shared" si="6"/>
        <v>#DIV/0!</v>
      </c>
      <c r="E28" s="93" t="e">
        <f t="shared" si="6"/>
        <v>#DIV/0!</v>
      </c>
      <c r="F28" s="93" t="e">
        <f t="shared" si="6"/>
        <v>#DIV/0!</v>
      </c>
      <c r="G28" s="93" t="e">
        <f t="shared" si="6"/>
        <v>#DIV/0!</v>
      </c>
      <c r="H28" s="94" t="e">
        <f t="shared" si="6"/>
        <v>#DIV/0!</v>
      </c>
    </row>
    <row r="29" spans="1:8" s="7" customFormat="1">
      <c r="A29" s="189" t="s">
        <v>51</v>
      </c>
      <c r="B29" s="190"/>
      <c r="C29" s="190"/>
      <c r="D29" s="190"/>
      <c r="E29" s="190"/>
      <c r="F29" s="191" t="s">
        <v>35</v>
      </c>
      <c r="G29" s="101"/>
      <c r="H29" s="102"/>
    </row>
    <row r="30" spans="1:8" s="7" customFormat="1" ht="30" customHeight="1">
      <c r="A30" s="35" t="s">
        <v>43</v>
      </c>
      <c r="B30" s="10"/>
      <c r="C30" s="9"/>
      <c r="D30" s="9"/>
      <c r="E30" s="9"/>
      <c r="F30" s="9"/>
      <c r="G30" s="9"/>
      <c r="H30" s="10"/>
    </row>
    <row r="31" spans="1:8" s="7" customFormat="1" ht="30" customHeight="1">
      <c r="A31" s="35" t="str">
        <f>A25</f>
        <v>Non Meal Plan Meals</v>
      </c>
      <c r="B31" s="60"/>
      <c r="C31" s="60"/>
      <c r="D31" s="60"/>
      <c r="E31" s="60"/>
      <c r="F31" s="60"/>
      <c r="G31" s="60"/>
      <c r="H31" s="60"/>
    </row>
    <row r="32" spans="1:8" s="7" customFormat="1" ht="30" customHeight="1">
      <c r="A32" s="35" t="str">
        <f>A26</f>
        <v xml:space="preserve">Meal numbers </v>
      </c>
      <c r="B32" s="10"/>
      <c r="C32" s="10"/>
      <c r="D32" s="10"/>
      <c r="E32" s="10"/>
      <c r="F32" s="10"/>
      <c r="G32" s="10"/>
      <c r="H32" s="10"/>
    </row>
    <row r="33" spans="1:12" s="7" customFormat="1" ht="30.95" customHeight="1">
      <c r="A33" s="36" t="s">
        <v>53</v>
      </c>
      <c r="B33" s="103">
        <f>B30+B31+B32</f>
        <v>0</v>
      </c>
      <c r="C33" s="103">
        <f t="shared" ref="C33:G33" si="7">C30+C31+C32</f>
        <v>0</v>
      </c>
      <c r="D33" s="103">
        <f t="shared" si="7"/>
        <v>0</v>
      </c>
      <c r="E33" s="103">
        <f t="shared" si="7"/>
        <v>0</v>
      </c>
      <c r="F33" s="103">
        <f t="shared" si="7"/>
        <v>0</v>
      </c>
      <c r="G33" s="103">
        <f t="shared" si="7"/>
        <v>0</v>
      </c>
      <c r="H33" s="103">
        <f>H30+H31+H32</f>
        <v>0</v>
      </c>
    </row>
    <row r="34" spans="1:12" s="7" customFormat="1" ht="24.95" customHeight="1">
      <c r="A34" s="34" t="s">
        <v>40</v>
      </c>
      <c r="B34" s="92" t="e">
        <f t="shared" ref="B34:H34" si="8">(B33-B7)/B7</f>
        <v>#DIV/0!</v>
      </c>
      <c r="C34" s="93" t="e">
        <f t="shared" si="8"/>
        <v>#DIV/0!</v>
      </c>
      <c r="D34" s="93" t="e">
        <f t="shared" si="8"/>
        <v>#DIV/0!</v>
      </c>
      <c r="E34" s="93" t="e">
        <f t="shared" si="8"/>
        <v>#DIV/0!</v>
      </c>
      <c r="F34" s="93" t="e">
        <f t="shared" si="8"/>
        <v>#DIV/0!</v>
      </c>
      <c r="G34" s="93" t="e">
        <f t="shared" si="8"/>
        <v>#DIV/0!</v>
      </c>
      <c r="H34" s="94" t="e">
        <f t="shared" si="8"/>
        <v>#DIV/0!</v>
      </c>
    </row>
    <row r="35" spans="1:12" s="7" customFormat="1">
      <c r="A35" s="192" t="s">
        <v>54</v>
      </c>
      <c r="B35" s="193"/>
      <c r="C35" s="193"/>
      <c r="D35" s="193"/>
      <c r="E35" s="193"/>
      <c r="F35" s="194" t="s">
        <v>35</v>
      </c>
      <c r="G35" s="104"/>
      <c r="H35" s="105"/>
    </row>
    <row r="36" spans="1:12" s="7" customFormat="1" ht="30.95" customHeight="1">
      <c r="A36" s="78" t="s">
        <v>55</v>
      </c>
      <c r="B36" s="77">
        <f>B33+B27+B21</f>
        <v>0</v>
      </c>
      <c r="C36" s="77">
        <f t="shared" ref="C36:H36" si="9">C33+C27+C21</f>
        <v>0</v>
      </c>
      <c r="D36" s="77">
        <f t="shared" si="9"/>
        <v>0</v>
      </c>
      <c r="E36" s="77">
        <f t="shared" si="9"/>
        <v>0</v>
      </c>
      <c r="F36" s="77">
        <f t="shared" si="9"/>
        <v>0</v>
      </c>
      <c r="G36" s="77">
        <f t="shared" si="9"/>
        <v>0</v>
      </c>
      <c r="H36" s="77">
        <f t="shared" si="9"/>
        <v>0</v>
      </c>
    </row>
    <row r="37" spans="1:12" s="7" customFormat="1" ht="24.95" customHeight="1">
      <c r="A37" s="34" t="s">
        <v>40</v>
      </c>
      <c r="B37" s="92" t="e">
        <f t="shared" ref="B37:H37" si="10">(B36-B8)/B8</f>
        <v>#DIV/0!</v>
      </c>
      <c r="C37" s="93" t="e">
        <f t="shared" si="10"/>
        <v>#DIV/0!</v>
      </c>
      <c r="D37" s="93" t="e">
        <f t="shared" si="10"/>
        <v>#DIV/0!</v>
      </c>
      <c r="E37" s="93" t="e">
        <f t="shared" si="10"/>
        <v>#DIV/0!</v>
      </c>
      <c r="F37" s="93" t="e">
        <f t="shared" si="10"/>
        <v>#DIV/0!</v>
      </c>
      <c r="G37" s="93" t="e">
        <f t="shared" si="10"/>
        <v>#DIV/0!</v>
      </c>
      <c r="H37" s="94" t="e">
        <f t="shared" si="10"/>
        <v>#DIV/0!</v>
      </c>
    </row>
    <row r="38" spans="1:12" ht="30" customHeight="1">
      <c r="A38" s="195"/>
      <c r="B38" s="196"/>
      <c r="C38" s="196"/>
      <c r="D38" s="196"/>
      <c r="E38" s="196"/>
      <c r="F38" s="196"/>
      <c r="G38" s="106" t="s">
        <v>37</v>
      </c>
      <c r="H38" s="107">
        <f>SUM(B36:H36)</f>
        <v>0</v>
      </c>
    </row>
    <row r="39" spans="1:12" s="7" customFormat="1" ht="24.95" customHeight="1">
      <c r="A39" s="37"/>
      <c r="B39" s="25"/>
      <c r="C39" s="25"/>
      <c r="D39" s="25"/>
      <c r="E39" s="25"/>
      <c r="F39" s="25"/>
      <c r="G39" s="79" t="s">
        <v>40</v>
      </c>
      <c r="H39" s="80" t="e">
        <f>(H38-H9)/H9</f>
        <v>#DIV/0!</v>
      </c>
    </row>
    <row r="40" spans="1:12" s="7" customFormat="1" ht="24.95" customHeight="1">
      <c r="A40" s="37"/>
      <c r="B40" s="25"/>
      <c r="C40" s="25"/>
      <c r="D40" s="25"/>
      <c r="E40" s="25"/>
      <c r="F40" s="25"/>
      <c r="G40" s="81" t="s">
        <v>56</v>
      </c>
      <c r="H40" s="82" t="e">
        <f>(H38-H16)/H16</f>
        <v>#DIV/0!</v>
      </c>
    </row>
    <row r="41" spans="1:12" s="46" customFormat="1" ht="23.1" customHeight="1">
      <c r="A41" s="40"/>
      <c r="B41" s="47" t="s">
        <v>57</v>
      </c>
      <c r="C41" s="197" t="s">
        <v>58</v>
      </c>
      <c r="D41" s="197"/>
      <c r="E41" s="197"/>
      <c r="F41" s="197"/>
      <c r="G41" s="198">
        <v>2022</v>
      </c>
      <c r="H41" s="199"/>
    </row>
    <row r="42" spans="1:12" ht="30" customHeight="1">
      <c r="A42" s="1" t="s">
        <v>60</v>
      </c>
      <c r="B42" s="57" t="s">
        <v>59</v>
      </c>
      <c r="C42" s="180"/>
      <c r="D42" s="180"/>
      <c r="E42" s="180"/>
      <c r="F42" s="180"/>
      <c r="G42" s="178"/>
      <c r="H42" s="179"/>
      <c r="L42" s="7" t="s">
        <v>61</v>
      </c>
    </row>
    <row r="43" spans="1:12" ht="30" customHeight="1">
      <c r="A43" s="1" t="s">
        <v>1</v>
      </c>
      <c r="B43" s="57" t="s">
        <v>59</v>
      </c>
      <c r="C43" s="180"/>
      <c r="D43" s="180"/>
      <c r="E43" s="180"/>
      <c r="F43" s="180"/>
      <c r="G43" s="178"/>
      <c r="H43" s="179"/>
      <c r="L43" s="5" t="s">
        <v>62</v>
      </c>
    </row>
    <row r="44" spans="1:12" ht="30" customHeight="1">
      <c r="A44" s="1" t="s">
        <v>2</v>
      </c>
      <c r="B44" s="57" t="s">
        <v>59</v>
      </c>
      <c r="C44" s="175"/>
      <c r="D44" s="175"/>
      <c r="E44" s="175"/>
      <c r="F44" s="175"/>
      <c r="G44" s="176"/>
      <c r="H44" s="177"/>
      <c r="L44" s="5" t="s">
        <v>63</v>
      </c>
    </row>
    <row r="45" spans="1:12" ht="30" customHeight="1">
      <c r="A45" s="1" t="s">
        <v>3</v>
      </c>
      <c r="B45" s="57" t="s">
        <v>59</v>
      </c>
      <c r="C45" s="175"/>
      <c r="D45" s="175"/>
      <c r="E45" s="175"/>
      <c r="F45" s="175"/>
      <c r="G45" s="176"/>
      <c r="H45" s="177"/>
      <c r="L45" s="5" t="s">
        <v>64</v>
      </c>
    </row>
    <row r="46" spans="1:12" ht="30.95" customHeight="1">
      <c r="A46" s="1" t="s">
        <v>4</v>
      </c>
      <c r="B46" s="57" t="s">
        <v>59</v>
      </c>
      <c r="C46" s="175"/>
      <c r="D46" s="175"/>
      <c r="E46" s="175"/>
      <c r="F46" s="175"/>
      <c r="G46" s="176"/>
      <c r="H46" s="177"/>
    </row>
    <row r="47" spans="1:12" ht="30" customHeight="1">
      <c r="A47" s="1" t="s">
        <v>5</v>
      </c>
      <c r="B47" s="57" t="s">
        <v>59</v>
      </c>
      <c r="C47" s="175"/>
      <c r="D47" s="175"/>
      <c r="E47" s="175"/>
      <c r="F47" s="175"/>
      <c r="G47" s="176"/>
      <c r="H47" s="177"/>
    </row>
    <row r="48" spans="1:12" ht="30" customHeight="1">
      <c r="A48" s="1" t="s">
        <v>6</v>
      </c>
      <c r="B48" s="57" t="s">
        <v>59</v>
      </c>
      <c r="C48" s="175"/>
      <c r="D48" s="175"/>
      <c r="E48" s="175"/>
      <c r="F48" s="175"/>
      <c r="G48" s="176"/>
      <c r="H48" s="177"/>
    </row>
    <row r="49" spans="1:8" ht="30" customHeight="1">
      <c r="A49" s="1"/>
      <c r="B49" s="14"/>
      <c r="C49" s="175"/>
      <c r="D49" s="175"/>
      <c r="E49" s="175"/>
      <c r="F49" s="175"/>
      <c r="G49" s="176"/>
      <c r="H49" s="177"/>
    </row>
    <row r="50" spans="1:8" ht="30" customHeight="1">
      <c r="A50" s="2"/>
      <c r="B50" s="14"/>
      <c r="C50" s="175"/>
      <c r="D50" s="175"/>
      <c r="E50" s="175"/>
      <c r="F50" s="175"/>
      <c r="G50" s="176"/>
      <c r="H50" s="177"/>
    </row>
    <row r="51" spans="1:8">
      <c r="A51" s="30"/>
      <c r="B51" s="18" t="s">
        <v>27</v>
      </c>
      <c r="C51" s="18" t="s">
        <v>28</v>
      </c>
      <c r="D51" s="18" t="s">
        <v>65</v>
      </c>
      <c r="E51" s="18" t="s">
        <v>30</v>
      </c>
      <c r="F51" s="18" t="s">
        <v>66</v>
      </c>
      <c r="G51" s="18" t="s">
        <v>32</v>
      </c>
      <c r="H51" s="18" t="s">
        <v>33</v>
      </c>
    </row>
    <row r="52" spans="1:8">
      <c r="A52" s="38" t="s">
        <v>67</v>
      </c>
      <c r="B52" s="15"/>
      <c r="C52" s="20"/>
      <c r="D52" s="20"/>
      <c r="E52" s="20"/>
      <c r="F52" s="20"/>
      <c r="G52" s="20"/>
      <c r="H52" s="15"/>
    </row>
    <row r="53" spans="1:8" customFormat="1" ht="15.75">
      <c r="A53" s="48" t="s">
        <v>68</v>
      </c>
      <c r="B53" s="22"/>
      <c r="C53" s="21"/>
      <c r="D53" s="21"/>
      <c r="E53" s="21"/>
      <c r="F53" s="21"/>
      <c r="G53" s="23" t="s">
        <v>37</v>
      </c>
      <c r="H53" s="23">
        <f>SUM(B52:H52)</f>
        <v>0</v>
      </c>
    </row>
    <row r="54" spans="1:8">
      <c r="A54" s="30"/>
      <c r="B54" s="18" t="s">
        <v>27</v>
      </c>
      <c r="C54" s="18" t="s">
        <v>28</v>
      </c>
      <c r="D54" s="18" t="s">
        <v>65</v>
      </c>
      <c r="E54" s="18" t="s">
        <v>30</v>
      </c>
      <c r="F54" s="18" t="s">
        <v>66</v>
      </c>
      <c r="G54" s="18" t="s">
        <v>32</v>
      </c>
      <c r="H54" s="18" t="s">
        <v>33</v>
      </c>
    </row>
    <row r="55" spans="1:8">
      <c r="A55" s="38" t="s">
        <v>69</v>
      </c>
      <c r="B55" s="51"/>
      <c r="C55" s="52"/>
      <c r="D55" s="52"/>
      <c r="E55" s="52"/>
      <c r="F55" s="52"/>
      <c r="G55" s="20"/>
      <c r="H55" s="15"/>
    </row>
    <row r="56" spans="1:8" customFormat="1" ht="15.75">
      <c r="A56" s="49" t="s">
        <v>70</v>
      </c>
      <c r="B56" s="53"/>
      <c r="C56" s="53" t="s">
        <v>71</v>
      </c>
      <c r="D56" s="54"/>
      <c r="E56" s="54"/>
      <c r="F56" s="55"/>
      <c r="G56" s="50" t="s">
        <v>37</v>
      </c>
      <c r="H56" s="23"/>
    </row>
    <row r="57" spans="1:8">
      <c r="H57" s="16"/>
    </row>
    <row r="58" spans="1:8">
      <c r="H58" s="16"/>
    </row>
    <row r="59" spans="1:8">
      <c r="H59" s="16"/>
    </row>
    <row r="60" spans="1:8">
      <c r="H60" s="16"/>
    </row>
    <row r="61" spans="1:8">
      <c r="H61" s="16"/>
    </row>
    <row r="62" spans="1:8">
      <c r="H62" s="16"/>
    </row>
    <row r="63" spans="1:8">
      <c r="H63" s="16"/>
    </row>
    <row r="64" spans="1:8">
      <c r="B64" s="5"/>
      <c r="H64" s="16"/>
    </row>
    <row r="65" spans="2:8">
      <c r="B65" s="5"/>
      <c r="H65" s="16"/>
    </row>
    <row r="66" spans="2:8">
      <c r="B66" s="5"/>
      <c r="H66" s="16"/>
    </row>
    <row r="67" spans="2:8">
      <c r="B67" s="5"/>
      <c r="H67" s="16"/>
    </row>
    <row r="68" spans="2:8">
      <c r="B68" s="5"/>
      <c r="H68" s="16"/>
    </row>
    <row r="69" spans="2:8">
      <c r="B69" s="5"/>
      <c r="H69" s="16"/>
    </row>
    <row r="70" spans="2:8">
      <c r="B70" s="5"/>
      <c r="H70" s="16"/>
    </row>
    <row r="71" spans="2:8">
      <c r="B71" s="5"/>
      <c r="H71" s="16"/>
    </row>
    <row r="72" spans="2:8">
      <c r="B72" s="5"/>
      <c r="H72" s="16"/>
    </row>
    <row r="73" spans="2:8">
      <c r="B73" s="5"/>
      <c r="H73" s="16"/>
    </row>
    <row r="74" spans="2:8">
      <c r="B74" s="5"/>
      <c r="H74" s="16"/>
    </row>
    <row r="75" spans="2:8">
      <c r="B75" s="5"/>
      <c r="H75" s="16"/>
    </row>
    <row r="76" spans="2:8">
      <c r="B76" s="5"/>
      <c r="H76" s="16"/>
    </row>
    <row r="77" spans="2:8">
      <c r="B77" s="5"/>
      <c r="H77" s="16"/>
    </row>
    <row r="78" spans="2:8">
      <c r="B78" s="5"/>
      <c r="H78" s="16"/>
    </row>
    <row r="79" spans="2:8">
      <c r="B79" s="5"/>
      <c r="H79" s="16"/>
    </row>
    <row r="80" spans="2:8">
      <c r="B80" s="5"/>
      <c r="H80" s="16"/>
    </row>
    <row r="81" spans="2:8">
      <c r="B81" s="5"/>
      <c r="H81" s="16"/>
    </row>
    <row r="82" spans="2:8">
      <c r="B82" s="5"/>
      <c r="H82" s="16"/>
    </row>
    <row r="83" spans="2:8">
      <c r="B83" s="5"/>
      <c r="H83" s="16"/>
    </row>
    <row r="84" spans="2:8">
      <c r="B84" s="5"/>
      <c r="H84" s="16"/>
    </row>
    <row r="85" spans="2:8">
      <c r="B85" s="5"/>
      <c r="H85" s="16"/>
    </row>
    <row r="86" spans="2:8">
      <c r="B86" s="5"/>
      <c r="H86" s="16"/>
    </row>
    <row r="87" spans="2:8">
      <c r="B87" s="5"/>
      <c r="H87" s="16"/>
    </row>
    <row r="88" spans="2:8">
      <c r="B88" s="5"/>
      <c r="H88" s="16"/>
    </row>
    <row r="89" spans="2:8">
      <c r="B89" s="5"/>
      <c r="H89" s="16"/>
    </row>
    <row r="90" spans="2:8">
      <c r="B90" s="5"/>
      <c r="H90" s="16"/>
    </row>
    <row r="91" spans="2:8">
      <c r="B91" s="5"/>
      <c r="H91" s="16"/>
    </row>
    <row r="92" spans="2:8">
      <c r="B92" s="5"/>
      <c r="H92" s="16"/>
    </row>
    <row r="93" spans="2:8">
      <c r="B93" s="5"/>
      <c r="H93" s="16"/>
    </row>
    <row r="94" spans="2:8">
      <c r="B94" s="5"/>
      <c r="H94" s="16"/>
    </row>
    <row r="95" spans="2:8">
      <c r="B95" s="5"/>
      <c r="H95" s="16"/>
    </row>
    <row r="96" spans="2:8">
      <c r="B96" s="5"/>
      <c r="H96" s="16"/>
    </row>
    <row r="97" spans="2:8">
      <c r="B97" s="5"/>
      <c r="H97" s="16"/>
    </row>
    <row r="98" spans="2:8">
      <c r="B98" s="5"/>
      <c r="H98" s="16"/>
    </row>
    <row r="99" spans="2:8">
      <c r="B99" s="5"/>
      <c r="H99" s="16"/>
    </row>
    <row r="100" spans="2:8">
      <c r="B100" s="5"/>
      <c r="H100" s="16"/>
    </row>
    <row r="101" spans="2:8">
      <c r="B101" s="5"/>
      <c r="H101" s="16"/>
    </row>
    <row r="102" spans="2:8">
      <c r="B102" s="5"/>
      <c r="H102" s="16"/>
    </row>
    <row r="103" spans="2:8">
      <c r="B103" s="5"/>
      <c r="H103" s="16"/>
    </row>
    <row r="104" spans="2:8">
      <c r="B104" s="5"/>
      <c r="H104" s="16"/>
    </row>
    <row r="105" spans="2:8">
      <c r="B105" s="5"/>
      <c r="H105" s="16"/>
    </row>
    <row r="106" spans="2:8">
      <c r="B106" s="5"/>
      <c r="H106" s="16"/>
    </row>
    <row r="107" spans="2:8">
      <c r="B107" s="5"/>
      <c r="H107" s="16"/>
    </row>
    <row r="108" spans="2:8">
      <c r="B108" s="5"/>
      <c r="H108" s="16"/>
    </row>
    <row r="109" spans="2:8">
      <c r="B109" s="5"/>
      <c r="H109" s="16"/>
    </row>
    <row r="110" spans="2:8">
      <c r="B110" s="5"/>
      <c r="H110" s="16"/>
    </row>
    <row r="111" spans="2:8">
      <c r="B111" s="5"/>
      <c r="H111" s="16"/>
    </row>
    <row r="112" spans="2:8">
      <c r="B112" s="5"/>
      <c r="H112" s="16"/>
    </row>
    <row r="113" spans="2:8">
      <c r="B113" s="5"/>
      <c r="H113" s="16"/>
    </row>
    <row r="114" spans="2:8">
      <c r="B114" s="5"/>
      <c r="H114" s="16"/>
    </row>
    <row r="115" spans="2:8">
      <c r="B115" s="5"/>
      <c r="H115" s="16"/>
    </row>
    <row r="116" spans="2:8">
      <c r="B116" s="5"/>
      <c r="H116" s="16"/>
    </row>
    <row r="117" spans="2:8">
      <c r="B117" s="5"/>
      <c r="H117" s="16"/>
    </row>
    <row r="118" spans="2:8">
      <c r="B118" s="5"/>
      <c r="H118" s="16"/>
    </row>
    <row r="119" spans="2:8">
      <c r="B119" s="5"/>
      <c r="H119" s="16"/>
    </row>
    <row r="120" spans="2:8">
      <c r="B120" s="5"/>
      <c r="H120" s="16"/>
    </row>
    <row r="121" spans="2:8">
      <c r="B121" s="5"/>
      <c r="H121" s="16"/>
    </row>
    <row r="122" spans="2:8">
      <c r="B122" s="5"/>
      <c r="H122" s="16"/>
    </row>
    <row r="123" spans="2:8">
      <c r="B123" s="5"/>
      <c r="H123" s="16"/>
    </row>
    <row r="124" spans="2:8">
      <c r="B124" s="5"/>
      <c r="H124" s="16"/>
    </row>
    <row r="125" spans="2:8">
      <c r="B125" s="5"/>
      <c r="H125" s="16"/>
    </row>
    <row r="126" spans="2:8">
      <c r="B126" s="5"/>
      <c r="H126" s="16"/>
    </row>
    <row r="127" spans="2:8">
      <c r="B127" s="5"/>
      <c r="H127" s="16"/>
    </row>
    <row r="128" spans="2:8">
      <c r="B128" s="5"/>
      <c r="H128" s="16"/>
    </row>
    <row r="129" spans="2:8">
      <c r="B129" s="5"/>
      <c r="H129" s="16"/>
    </row>
    <row r="130" spans="2:8">
      <c r="B130" s="5"/>
      <c r="H130" s="16"/>
    </row>
    <row r="131" spans="2:8">
      <c r="B131" s="5"/>
      <c r="H131" s="16"/>
    </row>
    <row r="132" spans="2:8">
      <c r="B132" s="5"/>
      <c r="H132" s="16"/>
    </row>
    <row r="133" spans="2:8">
      <c r="B133" s="5"/>
      <c r="H133" s="16"/>
    </row>
    <row r="134" spans="2:8">
      <c r="B134" s="5"/>
      <c r="H134" s="16"/>
    </row>
    <row r="135" spans="2:8">
      <c r="B135" s="5"/>
      <c r="H135" s="16"/>
    </row>
    <row r="136" spans="2:8">
      <c r="B136" s="5"/>
      <c r="H136" s="16"/>
    </row>
    <row r="137" spans="2:8">
      <c r="B137" s="5"/>
      <c r="H137" s="16"/>
    </row>
    <row r="138" spans="2:8">
      <c r="B138" s="5"/>
      <c r="H138" s="16"/>
    </row>
    <row r="139" spans="2:8">
      <c r="B139" s="5"/>
      <c r="H139" s="16"/>
    </row>
    <row r="140" spans="2:8">
      <c r="B140" s="5"/>
      <c r="H140" s="16"/>
    </row>
    <row r="141" spans="2:8">
      <c r="B141" s="5"/>
      <c r="H141" s="16"/>
    </row>
    <row r="142" spans="2:8">
      <c r="B142" s="5"/>
      <c r="H142" s="16"/>
    </row>
    <row r="143" spans="2:8">
      <c r="B143" s="5"/>
      <c r="H143" s="16"/>
    </row>
    <row r="144" spans="2:8">
      <c r="B144" s="5"/>
      <c r="H144" s="16"/>
    </row>
    <row r="145" spans="2:8">
      <c r="B145" s="5"/>
      <c r="H145" s="16"/>
    </row>
    <row r="146" spans="2:8">
      <c r="B146" s="5"/>
      <c r="H146" s="16"/>
    </row>
    <row r="147" spans="2:8">
      <c r="B147" s="5"/>
      <c r="H147" s="16"/>
    </row>
    <row r="148" spans="2:8">
      <c r="B148" s="5"/>
      <c r="H148" s="16"/>
    </row>
    <row r="149" spans="2:8">
      <c r="B149" s="5"/>
      <c r="H149" s="16"/>
    </row>
    <row r="150" spans="2:8">
      <c r="B150" s="5"/>
      <c r="H150" s="16"/>
    </row>
    <row r="151" spans="2:8">
      <c r="B151" s="5"/>
      <c r="H151" s="16"/>
    </row>
    <row r="152" spans="2:8">
      <c r="B152" s="5"/>
      <c r="H152" s="16"/>
    </row>
    <row r="153" spans="2:8">
      <c r="B153" s="5"/>
      <c r="H153" s="16"/>
    </row>
    <row r="154" spans="2:8">
      <c r="B154" s="5"/>
      <c r="H154" s="16"/>
    </row>
    <row r="155" spans="2:8">
      <c r="B155" s="5"/>
      <c r="H155" s="16"/>
    </row>
    <row r="156" spans="2:8">
      <c r="B156" s="5"/>
      <c r="H156" s="16"/>
    </row>
    <row r="157" spans="2:8">
      <c r="B157" s="5"/>
      <c r="H157" s="16"/>
    </row>
    <row r="158" spans="2:8">
      <c r="B158" s="5"/>
      <c r="H158" s="16"/>
    </row>
    <row r="159" spans="2:8">
      <c r="B159" s="5"/>
      <c r="H159" s="16"/>
    </row>
    <row r="160" spans="2:8">
      <c r="B160" s="5"/>
      <c r="H160" s="16"/>
    </row>
    <row r="161" spans="2:8">
      <c r="B161" s="5"/>
      <c r="H161" s="16"/>
    </row>
    <row r="162" spans="2:8">
      <c r="B162" s="5"/>
      <c r="H162" s="16"/>
    </row>
    <row r="163" spans="2:8">
      <c r="B163" s="5"/>
      <c r="H163" s="16"/>
    </row>
    <row r="164" spans="2:8">
      <c r="B164" s="5"/>
      <c r="H164" s="16"/>
    </row>
    <row r="165" spans="2:8">
      <c r="B165" s="5"/>
      <c r="H165" s="16"/>
    </row>
    <row r="166" spans="2:8">
      <c r="B166" s="5"/>
      <c r="H166" s="16"/>
    </row>
    <row r="167" spans="2:8">
      <c r="B167" s="5"/>
      <c r="H167" s="16"/>
    </row>
    <row r="168" spans="2:8">
      <c r="B168" s="5"/>
      <c r="H168" s="16"/>
    </row>
    <row r="169" spans="2:8">
      <c r="B169" s="5"/>
      <c r="H169" s="16"/>
    </row>
    <row r="170" spans="2:8">
      <c r="B170" s="5"/>
      <c r="H170" s="16"/>
    </row>
    <row r="171" spans="2:8">
      <c r="B171" s="5"/>
      <c r="H171" s="16"/>
    </row>
    <row r="172" spans="2:8">
      <c r="B172" s="5"/>
      <c r="H172" s="16"/>
    </row>
    <row r="173" spans="2:8">
      <c r="B173" s="5"/>
      <c r="H173" s="16"/>
    </row>
    <row r="174" spans="2:8">
      <c r="B174" s="5"/>
      <c r="H174" s="16"/>
    </row>
    <row r="175" spans="2:8">
      <c r="B175" s="5"/>
      <c r="H175" s="16"/>
    </row>
    <row r="176" spans="2:8">
      <c r="B176" s="5"/>
      <c r="H176" s="16"/>
    </row>
    <row r="177" spans="2:8">
      <c r="B177" s="5"/>
      <c r="H177" s="16"/>
    </row>
    <row r="178" spans="2:8">
      <c r="B178" s="5"/>
      <c r="H178" s="16"/>
    </row>
    <row r="179" spans="2:8">
      <c r="B179" s="5"/>
      <c r="H179" s="16"/>
    </row>
    <row r="180" spans="2:8">
      <c r="B180" s="5"/>
      <c r="H180" s="16"/>
    </row>
    <row r="181" spans="2:8">
      <c r="B181" s="5"/>
      <c r="H181" s="16"/>
    </row>
    <row r="182" spans="2:8">
      <c r="B182" s="5"/>
      <c r="H182" s="16"/>
    </row>
    <row r="183" spans="2:8">
      <c r="B183" s="5"/>
      <c r="H183" s="16"/>
    </row>
    <row r="184" spans="2:8">
      <c r="B184" s="5"/>
      <c r="H184" s="16"/>
    </row>
    <row r="185" spans="2:8">
      <c r="B185" s="5"/>
      <c r="H185" s="16"/>
    </row>
    <row r="186" spans="2:8">
      <c r="B186" s="5"/>
      <c r="H186" s="16"/>
    </row>
    <row r="187" spans="2:8">
      <c r="B187" s="5"/>
      <c r="H187" s="16"/>
    </row>
    <row r="188" spans="2:8">
      <c r="B188" s="5"/>
      <c r="H188" s="16"/>
    </row>
    <row r="189" spans="2:8">
      <c r="B189" s="5"/>
      <c r="H189" s="16"/>
    </row>
    <row r="190" spans="2:8">
      <c r="B190" s="5"/>
      <c r="H190" s="16"/>
    </row>
    <row r="191" spans="2:8">
      <c r="B191" s="5"/>
      <c r="H191" s="16"/>
    </row>
    <row r="192" spans="2:8">
      <c r="B192" s="5"/>
      <c r="H192" s="16"/>
    </row>
    <row r="193" spans="2:8">
      <c r="B193" s="5"/>
      <c r="H193" s="16"/>
    </row>
    <row r="194" spans="2:8">
      <c r="B194" s="5"/>
      <c r="H194" s="16"/>
    </row>
    <row r="195" spans="2:8">
      <c r="B195" s="5"/>
      <c r="H195" s="16"/>
    </row>
    <row r="196" spans="2:8">
      <c r="B196" s="5"/>
      <c r="H196" s="16"/>
    </row>
    <row r="197" spans="2:8">
      <c r="B197" s="5"/>
      <c r="H197" s="16"/>
    </row>
    <row r="198" spans="2:8">
      <c r="B198" s="5"/>
      <c r="H198" s="16"/>
    </row>
    <row r="199" spans="2:8">
      <c r="B199" s="5"/>
      <c r="H199" s="16"/>
    </row>
    <row r="200" spans="2:8">
      <c r="B200" s="5"/>
      <c r="H200" s="16"/>
    </row>
    <row r="201" spans="2:8">
      <c r="B201" s="5"/>
      <c r="H201" s="16"/>
    </row>
    <row r="202" spans="2:8">
      <c r="B202" s="5"/>
      <c r="H202" s="16"/>
    </row>
    <row r="203" spans="2:8">
      <c r="B203" s="5"/>
      <c r="H203" s="16"/>
    </row>
    <row r="204" spans="2:8">
      <c r="B204" s="5"/>
      <c r="H204" s="16"/>
    </row>
    <row r="205" spans="2:8">
      <c r="B205" s="5"/>
      <c r="H205" s="16"/>
    </row>
    <row r="206" spans="2:8">
      <c r="B206" s="5"/>
      <c r="H206" s="16"/>
    </row>
    <row r="207" spans="2:8">
      <c r="B207" s="5"/>
      <c r="H207" s="16"/>
    </row>
    <row r="208" spans="2:8">
      <c r="B208" s="5"/>
      <c r="H208" s="16"/>
    </row>
    <row r="209" spans="2:8">
      <c r="B209" s="5"/>
      <c r="H209" s="16"/>
    </row>
    <row r="210" spans="2:8">
      <c r="B210" s="5"/>
      <c r="H210" s="16"/>
    </row>
    <row r="211" spans="2:8">
      <c r="B211" s="5"/>
      <c r="H211" s="16"/>
    </row>
    <row r="212" spans="2:8">
      <c r="B212" s="5"/>
      <c r="H212" s="16"/>
    </row>
    <row r="213" spans="2:8">
      <c r="B213" s="5"/>
      <c r="H213" s="16"/>
    </row>
    <row r="214" spans="2:8">
      <c r="B214" s="5"/>
      <c r="H214" s="16"/>
    </row>
    <row r="215" spans="2:8">
      <c r="B215" s="5"/>
      <c r="H215" s="16"/>
    </row>
    <row r="216" spans="2:8">
      <c r="B216" s="5"/>
      <c r="H216" s="16"/>
    </row>
    <row r="217" spans="2:8">
      <c r="B217" s="5"/>
      <c r="H217" s="16"/>
    </row>
    <row r="218" spans="2:8">
      <c r="B218" s="5"/>
      <c r="H218" s="16"/>
    </row>
    <row r="219" spans="2:8">
      <c r="B219" s="5"/>
      <c r="H219" s="16"/>
    </row>
    <row r="220" spans="2:8">
      <c r="B220" s="5"/>
      <c r="H220" s="16"/>
    </row>
    <row r="221" spans="2:8">
      <c r="B221" s="5"/>
      <c r="H221" s="16"/>
    </row>
    <row r="222" spans="2:8">
      <c r="B222" s="5"/>
      <c r="H222" s="16"/>
    </row>
    <row r="223" spans="2:8">
      <c r="B223" s="5"/>
      <c r="H223" s="16"/>
    </row>
    <row r="224" spans="2:8">
      <c r="B224" s="5"/>
      <c r="H224" s="16"/>
    </row>
    <row r="225" spans="2:8">
      <c r="B225" s="5"/>
      <c r="H225" s="16"/>
    </row>
    <row r="226" spans="2:8">
      <c r="B226" s="5"/>
      <c r="H226" s="16"/>
    </row>
    <row r="227" spans="2:8">
      <c r="B227" s="5"/>
      <c r="H227" s="16"/>
    </row>
    <row r="228" spans="2:8">
      <c r="B228" s="5"/>
      <c r="H228" s="16"/>
    </row>
    <row r="229" spans="2:8">
      <c r="B229" s="5"/>
      <c r="H229" s="16"/>
    </row>
    <row r="230" spans="2:8">
      <c r="B230" s="5"/>
      <c r="H230" s="16"/>
    </row>
    <row r="231" spans="2:8">
      <c r="B231" s="5"/>
      <c r="H231" s="16"/>
    </row>
    <row r="232" spans="2:8">
      <c r="B232" s="5"/>
      <c r="H232" s="16"/>
    </row>
    <row r="233" spans="2:8">
      <c r="B233" s="5"/>
      <c r="H233" s="16"/>
    </row>
    <row r="234" spans="2:8">
      <c r="B234" s="5"/>
      <c r="H234" s="16"/>
    </row>
    <row r="235" spans="2:8">
      <c r="B235" s="5"/>
      <c r="H235" s="16"/>
    </row>
    <row r="236" spans="2:8">
      <c r="B236" s="5"/>
      <c r="H236" s="16"/>
    </row>
    <row r="237" spans="2:8">
      <c r="B237" s="5"/>
      <c r="H237" s="16"/>
    </row>
    <row r="238" spans="2:8">
      <c r="B238" s="5"/>
      <c r="H238" s="16"/>
    </row>
    <row r="239" spans="2:8">
      <c r="B239" s="5"/>
      <c r="H239" s="16"/>
    </row>
    <row r="240" spans="2:8">
      <c r="B240" s="5"/>
      <c r="H240" s="16"/>
    </row>
    <row r="241" spans="2:8">
      <c r="B241" s="5"/>
      <c r="H241" s="16"/>
    </row>
    <row r="242" spans="2:8">
      <c r="B242" s="5"/>
      <c r="H242" s="16"/>
    </row>
    <row r="243" spans="2:8">
      <c r="B243" s="5"/>
      <c r="H243" s="16"/>
    </row>
    <row r="244" spans="2:8">
      <c r="B244" s="5"/>
      <c r="H244" s="16"/>
    </row>
    <row r="245" spans="2:8">
      <c r="B245" s="5"/>
      <c r="H245" s="16"/>
    </row>
    <row r="246" spans="2:8">
      <c r="B246" s="5"/>
      <c r="H246" s="16"/>
    </row>
    <row r="247" spans="2:8">
      <c r="B247" s="5"/>
      <c r="H247" s="16"/>
    </row>
    <row r="248" spans="2:8">
      <c r="B248" s="5"/>
      <c r="H248" s="16"/>
    </row>
    <row r="249" spans="2:8">
      <c r="B249" s="5"/>
      <c r="H249" s="16"/>
    </row>
    <row r="250" spans="2:8">
      <c r="B250" s="5"/>
      <c r="H250" s="16"/>
    </row>
    <row r="251" spans="2:8">
      <c r="B251" s="5"/>
      <c r="H251" s="16"/>
    </row>
    <row r="252" spans="2:8">
      <c r="B252" s="5"/>
      <c r="H252" s="16"/>
    </row>
    <row r="253" spans="2:8">
      <c r="B253" s="5"/>
      <c r="H253" s="16"/>
    </row>
    <row r="254" spans="2:8">
      <c r="B254" s="5"/>
      <c r="H254" s="16"/>
    </row>
    <row r="255" spans="2:8">
      <c r="B255" s="5"/>
      <c r="H255" s="16"/>
    </row>
    <row r="256" spans="2:8">
      <c r="B256" s="5"/>
      <c r="H256" s="16"/>
    </row>
    <row r="257" spans="2:8">
      <c r="B257" s="5"/>
      <c r="H257" s="16"/>
    </row>
    <row r="258" spans="2:8">
      <c r="B258" s="5"/>
      <c r="H258" s="16"/>
    </row>
    <row r="259" spans="2:8">
      <c r="B259" s="5"/>
      <c r="H259" s="16"/>
    </row>
    <row r="260" spans="2:8">
      <c r="B260" s="5"/>
      <c r="H260" s="16"/>
    </row>
    <row r="261" spans="2:8">
      <c r="B261" s="5"/>
      <c r="H261" s="16"/>
    </row>
    <row r="262" spans="2:8">
      <c r="B262" s="5"/>
      <c r="H262" s="16"/>
    </row>
    <row r="263" spans="2:8">
      <c r="B263" s="5"/>
      <c r="H263" s="16"/>
    </row>
    <row r="264" spans="2:8">
      <c r="B264" s="5"/>
      <c r="H264" s="16"/>
    </row>
    <row r="265" spans="2:8">
      <c r="B265" s="5"/>
      <c r="H265" s="16"/>
    </row>
    <row r="266" spans="2:8">
      <c r="B266" s="5"/>
      <c r="H266" s="16"/>
    </row>
    <row r="267" spans="2:8">
      <c r="B267" s="5"/>
      <c r="H267" s="16"/>
    </row>
    <row r="268" spans="2:8">
      <c r="B268" s="5"/>
      <c r="H268" s="16"/>
    </row>
    <row r="269" spans="2:8">
      <c r="B269" s="5"/>
      <c r="H269" s="16"/>
    </row>
    <row r="270" spans="2:8">
      <c r="B270" s="5"/>
      <c r="H270" s="16"/>
    </row>
    <row r="271" spans="2:8">
      <c r="B271" s="5"/>
      <c r="H271" s="16"/>
    </row>
    <row r="272" spans="2:8">
      <c r="B272" s="5"/>
      <c r="H272" s="16"/>
    </row>
    <row r="273" spans="2:8">
      <c r="B273" s="5"/>
      <c r="H273" s="16"/>
    </row>
    <row r="274" spans="2:8">
      <c r="B274" s="5"/>
      <c r="H274" s="16"/>
    </row>
    <row r="275" spans="2:8">
      <c r="B275" s="5"/>
      <c r="H275" s="16"/>
    </row>
    <row r="276" spans="2:8">
      <c r="B276" s="5"/>
      <c r="H276" s="16"/>
    </row>
    <row r="277" spans="2:8">
      <c r="B277" s="5"/>
      <c r="H277" s="16"/>
    </row>
    <row r="278" spans="2:8">
      <c r="B278" s="5"/>
      <c r="H278" s="16"/>
    </row>
    <row r="279" spans="2:8">
      <c r="B279" s="5"/>
      <c r="H279" s="16"/>
    </row>
    <row r="280" spans="2:8">
      <c r="B280" s="5"/>
      <c r="H280" s="16"/>
    </row>
    <row r="281" spans="2:8">
      <c r="B281" s="5"/>
      <c r="H281" s="16"/>
    </row>
    <row r="282" spans="2:8">
      <c r="B282" s="5"/>
      <c r="H282" s="16"/>
    </row>
    <row r="283" spans="2:8">
      <c r="B283" s="5"/>
      <c r="H283" s="16"/>
    </row>
    <row r="284" spans="2:8">
      <c r="B284" s="5"/>
      <c r="H284" s="16"/>
    </row>
    <row r="285" spans="2:8">
      <c r="B285" s="5"/>
      <c r="H285" s="16"/>
    </row>
    <row r="286" spans="2:8">
      <c r="B286" s="5"/>
      <c r="H286" s="16"/>
    </row>
    <row r="287" spans="2:8">
      <c r="B287" s="5"/>
      <c r="H287" s="16"/>
    </row>
    <row r="288" spans="2:8">
      <c r="B288" s="5"/>
      <c r="H288" s="16"/>
    </row>
    <row r="289" spans="2:8">
      <c r="B289" s="5"/>
      <c r="H289" s="16"/>
    </row>
    <row r="290" spans="2:8">
      <c r="B290" s="5"/>
      <c r="H290" s="16"/>
    </row>
    <row r="291" spans="2:8">
      <c r="B291" s="5"/>
      <c r="H291" s="16"/>
    </row>
    <row r="292" spans="2:8">
      <c r="B292" s="5"/>
      <c r="H292" s="16"/>
    </row>
    <row r="293" spans="2:8">
      <c r="B293" s="5"/>
      <c r="H293" s="16"/>
    </row>
    <row r="294" spans="2:8">
      <c r="B294" s="5"/>
      <c r="H294" s="16"/>
    </row>
    <row r="295" spans="2:8">
      <c r="B295" s="5"/>
      <c r="H295" s="16"/>
    </row>
    <row r="296" spans="2:8">
      <c r="B296" s="5"/>
      <c r="H296" s="16"/>
    </row>
    <row r="297" spans="2:8">
      <c r="B297" s="5"/>
      <c r="H297" s="16"/>
    </row>
    <row r="298" spans="2:8">
      <c r="B298" s="5"/>
      <c r="H298" s="16"/>
    </row>
    <row r="299" spans="2:8">
      <c r="B299" s="5"/>
      <c r="H299" s="16"/>
    </row>
    <row r="300" spans="2:8">
      <c r="B300" s="5"/>
      <c r="H300" s="16"/>
    </row>
    <row r="301" spans="2:8">
      <c r="B301" s="5"/>
      <c r="H301" s="16"/>
    </row>
    <row r="302" spans="2:8">
      <c r="B302" s="5"/>
      <c r="H302" s="16"/>
    </row>
    <row r="303" spans="2:8">
      <c r="B303" s="5"/>
      <c r="H303" s="16"/>
    </row>
    <row r="304" spans="2:8">
      <c r="B304" s="5"/>
      <c r="H304" s="16"/>
    </row>
    <row r="305" spans="2:8">
      <c r="B305" s="5"/>
      <c r="H305" s="16"/>
    </row>
    <row r="306" spans="2:8">
      <c r="B306" s="5"/>
      <c r="H306" s="16"/>
    </row>
    <row r="307" spans="2:8">
      <c r="B307" s="5"/>
      <c r="H307" s="16"/>
    </row>
    <row r="308" spans="2:8">
      <c r="B308" s="5"/>
      <c r="H308" s="16"/>
    </row>
    <row r="309" spans="2:8">
      <c r="B309" s="5"/>
      <c r="H309" s="16"/>
    </row>
    <row r="310" spans="2:8">
      <c r="B310" s="5"/>
      <c r="H310" s="16"/>
    </row>
    <row r="311" spans="2:8">
      <c r="B311" s="5"/>
      <c r="H311" s="16"/>
    </row>
    <row r="312" spans="2:8">
      <c r="B312" s="5"/>
      <c r="H312" s="16"/>
    </row>
    <row r="313" spans="2:8">
      <c r="B313" s="5"/>
      <c r="H313" s="16"/>
    </row>
    <row r="314" spans="2:8">
      <c r="B314" s="5"/>
      <c r="H314" s="16"/>
    </row>
    <row r="315" spans="2:8">
      <c r="B315" s="5"/>
      <c r="H315" s="16"/>
    </row>
    <row r="316" spans="2:8">
      <c r="B316" s="5"/>
      <c r="H316" s="16"/>
    </row>
    <row r="317" spans="2:8">
      <c r="B317" s="5"/>
      <c r="H317" s="16"/>
    </row>
    <row r="318" spans="2:8">
      <c r="B318" s="5"/>
      <c r="H318" s="16"/>
    </row>
    <row r="319" spans="2:8">
      <c r="B319" s="5"/>
      <c r="H319" s="16"/>
    </row>
    <row r="320" spans="2:8">
      <c r="B320" s="5"/>
      <c r="H320" s="16"/>
    </row>
    <row r="321" spans="2:8">
      <c r="B321" s="5"/>
      <c r="H321" s="16"/>
    </row>
    <row r="322" spans="2:8">
      <c r="B322" s="5"/>
      <c r="H322" s="16"/>
    </row>
    <row r="323" spans="2:8">
      <c r="B323" s="5"/>
      <c r="H323" s="16"/>
    </row>
    <row r="324" spans="2:8">
      <c r="B324" s="5"/>
      <c r="H324" s="16"/>
    </row>
    <row r="325" spans="2:8">
      <c r="B325" s="5"/>
      <c r="H325" s="16"/>
    </row>
    <row r="326" spans="2:8">
      <c r="B326" s="5"/>
      <c r="H326" s="16"/>
    </row>
    <row r="327" spans="2:8">
      <c r="B327" s="5"/>
      <c r="H327" s="16"/>
    </row>
    <row r="328" spans="2:8">
      <c r="B328" s="5"/>
      <c r="H328" s="16"/>
    </row>
    <row r="329" spans="2:8">
      <c r="B329" s="5"/>
      <c r="H329" s="16"/>
    </row>
    <row r="330" spans="2:8">
      <c r="B330" s="5"/>
      <c r="H330" s="16"/>
    </row>
    <row r="331" spans="2:8">
      <c r="B331" s="5"/>
      <c r="H331" s="16"/>
    </row>
    <row r="332" spans="2:8">
      <c r="B332" s="5"/>
      <c r="H332" s="16"/>
    </row>
    <row r="333" spans="2:8">
      <c r="B333" s="5"/>
      <c r="H333" s="16"/>
    </row>
    <row r="334" spans="2:8">
      <c r="B334" s="5"/>
      <c r="H334" s="16"/>
    </row>
    <row r="335" spans="2:8">
      <c r="B335" s="5"/>
      <c r="H335" s="16"/>
    </row>
    <row r="336" spans="2:8">
      <c r="B336" s="5"/>
      <c r="H336" s="16"/>
    </row>
    <row r="337" spans="2:8">
      <c r="B337" s="5"/>
      <c r="H337" s="16"/>
    </row>
    <row r="338" spans="2:8">
      <c r="B338" s="5"/>
      <c r="H338" s="16"/>
    </row>
    <row r="339" spans="2:8">
      <c r="B339" s="5"/>
      <c r="H339" s="16"/>
    </row>
    <row r="340" spans="2:8">
      <c r="B340" s="5"/>
      <c r="H340" s="16"/>
    </row>
    <row r="341" spans="2:8">
      <c r="B341" s="5"/>
      <c r="H341" s="16"/>
    </row>
    <row r="342" spans="2:8">
      <c r="B342" s="5"/>
      <c r="H342" s="16"/>
    </row>
    <row r="343" spans="2:8">
      <c r="B343" s="5"/>
      <c r="H343" s="16"/>
    </row>
    <row r="344" spans="2:8">
      <c r="B344" s="5"/>
      <c r="H344" s="16"/>
    </row>
    <row r="345" spans="2:8">
      <c r="B345" s="5"/>
      <c r="H345" s="16"/>
    </row>
    <row r="346" spans="2:8">
      <c r="B346" s="5"/>
      <c r="H346" s="16"/>
    </row>
    <row r="347" spans="2:8">
      <c r="B347" s="5"/>
      <c r="H347" s="16"/>
    </row>
    <row r="348" spans="2:8">
      <c r="B348" s="5"/>
      <c r="H348" s="16"/>
    </row>
    <row r="349" spans="2:8">
      <c r="B349" s="5"/>
      <c r="H349" s="16"/>
    </row>
    <row r="350" spans="2:8">
      <c r="B350" s="5"/>
      <c r="H350" s="16"/>
    </row>
    <row r="351" spans="2:8">
      <c r="B351" s="5"/>
      <c r="H351" s="16"/>
    </row>
    <row r="352" spans="2:8">
      <c r="B352" s="5"/>
      <c r="H352" s="16"/>
    </row>
    <row r="353" spans="2:8">
      <c r="B353" s="5"/>
      <c r="H353" s="16"/>
    </row>
    <row r="354" spans="2:8">
      <c r="B354" s="5"/>
      <c r="H354" s="16"/>
    </row>
    <row r="355" spans="2:8">
      <c r="B355" s="5"/>
      <c r="H355" s="16"/>
    </row>
    <row r="356" spans="2:8">
      <c r="B356" s="5"/>
      <c r="H356" s="16"/>
    </row>
    <row r="357" spans="2:8">
      <c r="B357" s="5"/>
      <c r="H357" s="16"/>
    </row>
    <row r="358" spans="2:8">
      <c r="B358" s="5"/>
      <c r="H358" s="16"/>
    </row>
    <row r="359" spans="2:8">
      <c r="B359" s="5"/>
      <c r="H359" s="16"/>
    </row>
    <row r="360" spans="2:8">
      <c r="B360" s="5"/>
      <c r="H360" s="16"/>
    </row>
    <row r="361" spans="2:8">
      <c r="B361" s="5"/>
      <c r="H361" s="16"/>
    </row>
    <row r="362" spans="2:8">
      <c r="B362" s="5"/>
      <c r="H362" s="16"/>
    </row>
    <row r="363" spans="2:8">
      <c r="B363" s="5"/>
      <c r="H363" s="16"/>
    </row>
    <row r="364" spans="2:8">
      <c r="B364" s="5"/>
      <c r="H364" s="16"/>
    </row>
    <row r="365" spans="2:8">
      <c r="B365" s="5"/>
      <c r="H365" s="16"/>
    </row>
    <row r="366" spans="2:8">
      <c r="B366" s="5"/>
      <c r="H366" s="16"/>
    </row>
    <row r="367" spans="2:8">
      <c r="B367" s="5"/>
      <c r="H367" s="16"/>
    </row>
    <row r="368" spans="2:8">
      <c r="B368" s="5"/>
      <c r="H368" s="16"/>
    </row>
    <row r="369" spans="2:8">
      <c r="B369" s="5"/>
      <c r="H369" s="16"/>
    </row>
    <row r="370" spans="2:8">
      <c r="B370" s="5"/>
      <c r="H370" s="16"/>
    </row>
    <row r="371" spans="2:8">
      <c r="B371" s="5"/>
      <c r="H371" s="16"/>
    </row>
    <row r="372" spans="2:8">
      <c r="B372" s="5"/>
      <c r="H372" s="16"/>
    </row>
    <row r="373" spans="2:8">
      <c r="B373" s="5"/>
      <c r="H373" s="16"/>
    </row>
    <row r="374" spans="2:8">
      <c r="B374" s="5"/>
      <c r="H374" s="16"/>
    </row>
    <row r="375" spans="2:8">
      <c r="B375" s="5"/>
      <c r="H375" s="16"/>
    </row>
    <row r="376" spans="2:8">
      <c r="B376" s="5"/>
      <c r="H376" s="16"/>
    </row>
    <row r="377" spans="2:8">
      <c r="B377" s="5"/>
      <c r="H377" s="16"/>
    </row>
    <row r="378" spans="2:8">
      <c r="B378" s="5"/>
      <c r="H378" s="16"/>
    </row>
    <row r="379" spans="2:8">
      <c r="B379" s="5"/>
      <c r="H379" s="16"/>
    </row>
    <row r="380" spans="2:8">
      <c r="B380" s="5"/>
      <c r="H380" s="16"/>
    </row>
    <row r="381" spans="2:8">
      <c r="B381" s="5"/>
      <c r="H381" s="16"/>
    </row>
    <row r="382" spans="2:8">
      <c r="B382" s="5"/>
      <c r="H382" s="16"/>
    </row>
    <row r="383" spans="2:8">
      <c r="B383" s="5"/>
      <c r="H383" s="16"/>
    </row>
    <row r="384" spans="2:8">
      <c r="B384" s="5"/>
      <c r="H384" s="16"/>
    </row>
    <row r="385" spans="2:8">
      <c r="B385" s="5"/>
      <c r="H385" s="16"/>
    </row>
    <row r="386" spans="2:8">
      <c r="B386" s="5"/>
      <c r="H386" s="16"/>
    </row>
    <row r="387" spans="2:8">
      <c r="B387" s="5"/>
      <c r="H387" s="16"/>
    </row>
    <row r="388" spans="2:8">
      <c r="B388" s="5"/>
      <c r="H388" s="16"/>
    </row>
    <row r="389" spans="2:8">
      <c r="B389" s="5"/>
      <c r="H389" s="16"/>
    </row>
    <row r="390" spans="2:8">
      <c r="B390" s="5"/>
      <c r="H390" s="16"/>
    </row>
    <row r="391" spans="2:8">
      <c r="B391" s="5"/>
      <c r="H391" s="16"/>
    </row>
    <row r="392" spans="2:8">
      <c r="B392" s="5"/>
      <c r="H392" s="16"/>
    </row>
    <row r="393" spans="2:8">
      <c r="B393" s="5"/>
      <c r="H393" s="16"/>
    </row>
    <row r="394" spans="2:8">
      <c r="B394" s="5"/>
      <c r="H394" s="16"/>
    </row>
    <row r="395" spans="2:8">
      <c r="B395" s="5"/>
      <c r="H395" s="16"/>
    </row>
    <row r="396" spans="2:8">
      <c r="B396" s="5"/>
      <c r="H396" s="16"/>
    </row>
    <row r="397" spans="2:8">
      <c r="B397" s="5"/>
      <c r="H397" s="16"/>
    </row>
    <row r="398" spans="2:8">
      <c r="B398" s="5"/>
      <c r="H398" s="16"/>
    </row>
    <row r="399" spans="2:8">
      <c r="B399" s="5"/>
      <c r="H399" s="16"/>
    </row>
    <row r="400" spans="2:8">
      <c r="B400" s="5"/>
      <c r="H400" s="16"/>
    </row>
    <row r="401" spans="2:8">
      <c r="B401" s="5"/>
      <c r="H401" s="16"/>
    </row>
    <row r="402" spans="2:8">
      <c r="B402" s="5"/>
      <c r="H402" s="16"/>
    </row>
    <row r="403" spans="2:8">
      <c r="B403" s="5"/>
      <c r="H403" s="16"/>
    </row>
    <row r="404" spans="2:8">
      <c r="B404" s="5"/>
      <c r="H404" s="16"/>
    </row>
    <row r="405" spans="2:8">
      <c r="B405" s="5"/>
      <c r="H405" s="16"/>
    </row>
    <row r="406" spans="2:8">
      <c r="B406" s="5"/>
      <c r="H406" s="16"/>
    </row>
    <row r="407" spans="2:8">
      <c r="B407" s="5"/>
      <c r="H407" s="16"/>
    </row>
    <row r="408" spans="2:8">
      <c r="B408" s="5"/>
      <c r="H408" s="16"/>
    </row>
    <row r="409" spans="2:8">
      <c r="B409" s="5"/>
      <c r="H409" s="16"/>
    </row>
    <row r="410" spans="2:8">
      <c r="B410" s="5"/>
      <c r="H410" s="16"/>
    </row>
    <row r="411" spans="2:8">
      <c r="B411" s="5"/>
      <c r="H411" s="16"/>
    </row>
    <row r="412" spans="2:8">
      <c r="B412" s="5"/>
      <c r="H412" s="16"/>
    </row>
    <row r="413" spans="2:8">
      <c r="B413" s="5"/>
      <c r="H413" s="16"/>
    </row>
    <row r="414" spans="2:8">
      <c r="B414" s="5"/>
      <c r="H414" s="16"/>
    </row>
    <row r="415" spans="2:8">
      <c r="B415" s="5"/>
      <c r="H415" s="16"/>
    </row>
    <row r="416" spans="2:8">
      <c r="B416" s="5"/>
      <c r="H416" s="16"/>
    </row>
    <row r="417" spans="2:8">
      <c r="B417" s="5"/>
      <c r="H417" s="16"/>
    </row>
    <row r="418" spans="2:8">
      <c r="B418" s="5"/>
      <c r="H418" s="16"/>
    </row>
    <row r="419" spans="2:8">
      <c r="B419" s="5"/>
      <c r="H419" s="16"/>
    </row>
    <row r="420" spans="2:8">
      <c r="B420" s="5"/>
      <c r="H420" s="16"/>
    </row>
    <row r="421" spans="2:8">
      <c r="B421" s="5"/>
      <c r="H421" s="16"/>
    </row>
    <row r="422" spans="2:8">
      <c r="B422" s="5"/>
      <c r="H422" s="16"/>
    </row>
    <row r="423" spans="2:8">
      <c r="B423" s="5"/>
      <c r="H423" s="16"/>
    </row>
    <row r="424" spans="2:8">
      <c r="B424" s="5"/>
      <c r="H424" s="16"/>
    </row>
    <row r="425" spans="2:8">
      <c r="B425" s="5"/>
      <c r="H425" s="16"/>
    </row>
    <row r="426" spans="2:8">
      <c r="B426" s="5"/>
      <c r="H426" s="16"/>
    </row>
    <row r="427" spans="2:8">
      <c r="B427" s="5"/>
      <c r="H427" s="16"/>
    </row>
    <row r="428" spans="2:8">
      <c r="B428" s="5"/>
      <c r="H428" s="16"/>
    </row>
    <row r="429" spans="2:8">
      <c r="B429" s="5"/>
      <c r="H429" s="16"/>
    </row>
    <row r="430" spans="2:8">
      <c r="B430" s="5"/>
      <c r="H430" s="16"/>
    </row>
    <row r="431" spans="2:8">
      <c r="B431" s="5"/>
      <c r="H431" s="16"/>
    </row>
    <row r="432" spans="2:8">
      <c r="B432" s="5"/>
      <c r="H432" s="16"/>
    </row>
    <row r="433" spans="2:8">
      <c r="B433" s="5"/>
      <c r="H433" s="16"/>
    </row>
    <row r="434" spans="2:8">
      <c r="B434" s="5"/>
      <c r="H434" s="16"/>
    </row>
    <row r="435" spans="2:8">
      <c r="B435" s="5"/>
      <c r="H435" s="16"/>
    </row>
    <row r="436" spans="2:8">
      <c r="B436" s="5"/>
      <c r="H436" s="16"/>
    </row>
    <row r="437" spans="2:8">
      <c r="B437" s="5"/>
      <c r="H437" s="16"/>
    </row>
    <row r="438" spans="2:8">
      <c r="B438" s="5"/>
      <c r="H438" s="16"/>
    </row>
    <row r="439" spans="2:8">
      <c r="B439" s="5"/>
      <c r="H439" s="16"/>
    </row>
    <row r="440" spans="2:8">
      <c r="B440" s="5"/>
      <c r="H440" s="16"/>
    </row>
    <row r="441" spans="2:8">
      <c r="B441" s="5"/>
      <c r="H441" s="16"/>
    </row>
    <row r="442" spans="2:8">
      <c r="B442" s="5"/>
      <c r="H442" s="16"/>
    </row>
    <row r="443" spans="2:8">
      <c r="B443" s="5"/>
      <c r="H443" s="16"/>
    </row>
    <row r="444" spans="2:8">
      <c r="B444" s="5"/>
      <c r="H444" s="16"/>
    </row>
    <row r="445" spans="2:8">
      <c r="B445" s="5"/>
      <c r="H445" s="16"/>
    </row>
    <row r="446" spans="2:8">
      <c r="B446" s="5"/>
      <c r="H446" s="16"/>
    </row>
    <row r="447" spans="2:8">
      <c r="B447" s="5"/>
      <c r="H447" s="16"/>
    </row>
    <row r="448" spans="2:8">
      <c r="B448" s="5"/>
      <c r="H448" s="16"/>
    </row>
    <row r="449" spans="2:8">
      <c r="B449" s="5"/>
      <c r="H449" s="16"/>
    </row>
    <row r="450" spans="2:8">
      <c r="B450" s="5"/>
      <c r="H450" s="16"/>
    </row>
    <row r="451" spans="2:8">
      <c r="B451" s="5"/>
      <c r="H451" s="16"/>
    </row>
    <row r="452" spans="2:8">
      <c r="B452" s="5"/>
      <c r="H452" s="16"/>
    </row>
    <row r="453" spans="2:8">
      <c r="B453" s="5"/>
      <c r="H453" s="16"/>
    </row>
    <row r="454" spans="2:8">
      <c r="B454" s="5"/>
      <c r="H454" s="16"/>
    </row>
    <row r="455" spans="2:8">
      <c r="B455" s="5"/>
      <c r="H455" s="16"/>
    </row>
    <row r="456" spans="2:8">
      <c r="B456" s="5"/>
      <c r="H456" s="16"/>
    </row>
    <row r="457" spans="2:8">
      <c r="B457" s="5"/>
      <c r="H457" s="16"/>
    </row>
    <row r="458" spans="2:8">
      <c r="B458" s="5"/>
      <c r="H458" s="16"/>
    </row>
    <row r="459" spans="2:8">
      <c r="B459" s="5"/>
      <c r="H459" s="16"/>
    </row>
    <row r="460" spans="2:8">
      <c r="B460" s="5"/>
      <c r="H460" s="16"/>
    </row>
    <row r="461" spans="2:8">
      <c r="B461" s="5"/>
      <c r="H461" s="16"/>
    </row>
    <row r="462" spans="2:8">
      <c r="B462" s="5"/>
      <c r="H462" s="16"/>
    </row>
    <row r="463" spans="2:8">
      <c r="B463" s="5"/>
      <c r="H463" s="16"/>
    </row>
    <row r="464" spans="2:8">
      <c r="B464" s="5"/>
      <c r="H464" s="16"/>
    </row>
    <row r="465" spans="2:8">
      <c r="B465" s="5"/>
      <c r="H465" s="16"/>
    </row>
    <row r="466" spans="2:8">
      <c r="B466" s="5"/>
      <c r="H466" s="16"/>
    </row>
    <row r="467" spans="2:8">
      <c r="B467" s="5"/>
      <c r="H467" s="16"/>
    </row>
    <row r="468" spans="2:8">
      <c r="B468" s="5"/>
      <c r="H468" s="16"/>
    </row>
    <row r="469" spans="2:8">
      <c r="B469" s="5"/>
      <c r="H469" s="16"/>
    </row>
    <row r="470" spans="2:8">
      <c r="B470" s="5"/>
      <c r="H470" s="16"/>
    </row>
    <row r="471" spans="2:8">
      <c r="B471" s="5"/>
      <c r="H471" s="16"/>
    </row>
    <row r="472" spans="2:8">
      <c r="B472" s="5"/>
      <c r="H472" s="16"/>
    </row>
    <row r="473" spans="2:8">
      <c r="B473" s="5"/>
      <c r="H473" s="16"/>
    </row>
    <row r="474" spans="2:8">
      <c r="B474" s="5"/>
      <c r="H474" s="16"/>
    </row>
    <row r="475" spans="2:8">
      <c r="B475" s="5"/>
      <c r="H475" s="16"/>
    </row>
    <row r="476" spans="2:8">
      <c r="B476" s="5"/>
      <c r="H476" s="16"/>
    </row>
    <row r="477" spans="2:8">
      <c r="B477" s="5"/>
      <c r="H477" s="16"/>
    </row>
    <row r="478" spans="2:8">
      <c r="B478" s="5"/>
      <c r="H478" s="16"/>
    </row>
    <row r="479" spans="2:8">
      <c r="B479" s="5"/>
      <c r="H479" s="16"/>
    </row>
    <row r="480" spans="2:8">
      <c r="B480" s="5"/>
      <c r="H480" s="16"/>
    </row>
    <row r="481" spans="2:8">
      <c r="B481" s="5"/>
      <c r="H481" s="16"/>
    </row>
    <row r="482" spans="2:8">
      <c r="B482" s="5"/>
      <c r="H482" s="16"/>
    </row>
    <row r="483" spans="2:8">
      <c r="B483" s="5"/>
      <c r="H483" s="16"/>
    </row>
    <row r="484" spans="2:8">
      <c r="B484" s="5"/>
      <c r="H484" s="16"/>
    </row>
    <row r="485" spans="2:8">
      <c r="B485" s="5"/>
      <c r="H485" s="16"/>
    </row>
    <row r="486" spans="2:8">
      <c r="B486" s="5"/>
      <c r="H486" s="16"/>
    </row>
    <row r="487" spans="2:8">
      <c r="B487" s="5"/>
      <c r="H487" s="16"/>
    </row>
    <row r="488" spans="2:8">
      <c r="B488" s="5"/>
      <c r="H488" s="16"/>
    </row>
    <row r="489" spans="2:8">
      <c r="B489" s="5"/>
      <c r="H489" s="16"/>
    </row>
    <row r="490" spans="2:8">
      <c r="B490" s="5"/>
      <c r="H490" s="16"/>
    </row>
    <row r="491" spans="2:8">
      <c r="B491" s="5"/>
      <c r="H491" s="16"/>
    </row>
    <row r="492" spans="2:8">
      <c r="B492" s="5"/>
      <c r="H492" s="16"/>
    </row>
    <row r="493" spans="2:8">
      <c r="B493" s="5"/>
      <c r="H493" s="16"/>
    </row>
    <row r="494" spans="2:8">
      <c r="B494" s="5"/>
      <c r="H494" s="16"/>
    </row>
    <row r="495" spans="2:8">
      <c r="B495" s="5"/>
      <c r="H495" s="16"/>
    </row>
    <row r="496" spans="2:8">
      <c r="B496" s="5"/>
      <c r="H496" s="16"/>
    </row>
    <row r="497" spans="2:8">
      <c r="B497" s="5"/>
      <c r="H497" s="16"/>
    </row>
    <row r="498" spans="2:8">
      <c r="B498" s="5"/>
      <c r="H498" s="16"/>
    </row>
    <row r="499" spans="2:8">
      <c r="B499" s="5"/>
      <c r="H499" s="16"/>
    </row>
    <row r="500" spans="2:8">
      <c r="B500" s="5"/>
      <c r="H500" s="16"/>
    </row>
    <row r="501" spans="2:8">
      <c r="B501" s="5"/>
      <c r="H501" s="16"/>
    </row>
    <row r="502" spans="2:8">
      <c r="B502" s="5"/>
      <c r="H502" s="16"/>
    </row>
    <row r="503" spans="2:8">
      <c r="B503" s="5"/>
      <c r="H503" s="16"/>
    </row>
    <row r="504" spans="2:8">
      <c r="B504" s="5"/>
      <c r="H504" s="16"/>
    </row>
    <row r="505" spans="2:8">
      <c r="B505" s="5"/>
      <c r="H505" s="16"/>
    </row>
    <row r="506" spans="2:8">
      <c r="B506" s="5"/>
      <c r="H506" s="16"/>
    </row>
    <row r="507" spans="2:8">
      <c r="B507" s="5"/>
      <c r="H507" s="16"/>
    </row>
    <row r="508" spans="2:8">
      <c r="B508" s="5"/>
      <c r="H508" s="16"/>
    </row>
    <row r="509" spans="2:8">
      <c r="B509" s="5"/>
      <c r="H509" s="16"/>
    </row>
    <row r="510" spans="2:8">
      <c r="B510" s="5"/>
      <c r="H510" s="16"/>
    </row>
    <row r="511" spans="2:8">
      <c r="B511" s="5"/>
      <c r="H511" s="16"/>
    </row>
    <row r="512" spans="2:8">
      <c r="B512" s="5"/>
      <c r="H512" s="16"/>
    </row>
    <row r="513" spans="2:8">
      <c r="B513" s="5"/>
      <c r="H513" s="16"/>
    </row>
    <row r="514" spans="2:8">
      <c r="B514" s="5"/>
      <c r="H514" s="16"/>
    </row>
    <row r="515" spans="2:8">
      <c r="B515" s="5"/>
      <c r="H515" s="16"/>
    </row>
    <row r="516" spans="2:8">
      <c r="B516" s="5"/>
      <c r="H516" s="16"/>
    </row>
    <row r="517" spans="2:8">
      <c r="B517" s="5"/>
      <c r="H517" s="16"/>
    </row>
    <row r="518" spans="2:8">
      <c r="B518" s="5"/>
      <c r="H518" s="16"/>
    </row>
    <row r="519" spans="2:8">
      <c r="B519" s="5"/>
      <c r="H519" s="16"/>
    </row>
    <row r="520" spans="2:8">
      <c r="B520" s="5"/>
      <c r="H520" s="16"/>
    </row>
    <row r="521" spans="2:8">
      <c r="B521" s="5"/>
      <c r="H521" s="16"/>
    </row>
    <row r="522" spans="2:8">
      <c r="B522" s="5"/>
      <c r="H522" s="16"/>
    </row>
    <row r="523" spans="2:8">
      <c r="B523" s="5"/>
      <c r="H523" s="16"/>
    </row>
    <row r="524" spans="2:8">
      <c r="B524" s="5"/>
      <c r="H524" s="16"/>
    </row>
    <row r="525" spans="2:8">
      <c r="B525" s="5"/>
      <c r="H525" s="16"/>
    </row>
    <row r="526" spans="2:8">
      <c r="B526" s="5"/>
      <c r="H526" s="16"/>
    </row>
    <row r="527" spans="2:8">
      <c r="B527" s="5"/>
      <c r="H527" s="16"/>
    </row>
    <row r="528" spans="2:8">
      <c r="B528" s="5"/>
      <c r="H528" s="16"/>
    </row>
    <row r="529" spans="2:8">
      <c r="B529" s="5"/>
      <c r="H529" s="16"/>
    </row>
    <row r="530" spans="2:8">
      <c r="B530" s="5"/>
      <c r="H530" s="16"/>
    </row>
    <row r="531" spans="2:8">
      <c r="B531" s="5"/>
      <c r="H531" s="16"/>
    </row>
    <row r="532" spans="2:8">
      <c r="B532" s="5"/>
      <c r="H532" s="16"/>
    </row>
    <row r="533" spans="2:8">
      <c r="B533" s="5"/>
      <c r="H533" s="16"/>
    </row>
    <row r="534" spans="2:8">
      <c r="B534" s="5"/>
      <c r="H534" s="16"/>
    </row>
    <row r="535" spans="2:8">
      <c r="B535" s="5"/>
      <c r="H535" s="16"/>
    </row>
    <row r="536" spans="2:8">
      <c r="B536" s="5"/>
      <c r="H536" s="16"/>
    </row>
    <row r="537" spans="2:8">
      <c r="B537" s="5"/>
      <c r="H537" s="16"/>
    </row>
    <row r="538" spans="2:8">
      <c r="B538" s="5"/>
      <c r="H538" s="16"/>
    </row>
    <row r="539" spans="2:8">
      <c r="B539" s="5"/>
      <c r="H539" s="16"/>
    </row>
    <row r="540" spans="2:8">
      <c r="B540" s="5"/>
      <c r="H540" s="16"/>
    </row>
    <row r="541" spans="2:8">
      <c r="B541" s="5"/>
      <c r="H541" s="16"/>
    </row>
    <row r="542" spans="2:8">
      <c r="B542" s="5"/>
      <c r="H542" s="16"/>
    </row>
    <row r="543" spans="2:8">
      <c r="B543" s="5"/>
      <c r="H543" s="16"/>
    </row>
    <row r="544" spans="2:8">
      <c r="B544" s="5"/>
      <c r="H544" s="16"/>
    </row>
    <row r="545" spans="2:8">
      <c r="B545" s="5"/>
      <c r="H545" s="16"/>
    </row>
    <row r="546" spans="2:8">
      <c r="B546" s="5"/>
      <c r="H546" s="16"/>
    </row>
    <row r="547" spans="2:8">
      <c r="B547" s="5"/>
      <c r="H547" s="16"/>
    </row>
    <row r="548" spans="2:8">
      <c r="B548" s="5"/>
      <c r="H548" s="16"/>
    </row>
    <row r="549" spans="2:8">
      <c r="B549" s="5"/>
      <c r="H549" s="16"/>
    </row>
    <row r="550" spans="2:8">
      <c r="B550" s="5"/>
      <c r="H550" s="16"/>
    </row>
    <row r="551" spans="2:8">
      <c r="B551" s="5"/>
      <c r="H551" s="16"/>
    </row>
    <row r="552" spans="2:8">
      <c r="B552" s="5"/>
      <c r="H552" s="16"/>
    </row>
    <row r="553" spans="2:8">
      <c r="B553" s="5"/>
      <c r="H553" s="16"/>
    </row>
    <row r="554" spans="2:8">
      <c r="B554" s="5"/>
      <c r="H554" s="16"/>
    </row>
    <row r="555" spans="2:8">
      <c r="B555" s="5"/>
      <c r="H555" s="16"/>
    </row>
    <row r="556" spans="2:8">
      <c r="B556" s="5"/>
      <c r="H556" s="16"/>
    </row>
    <row r="557" spans="2:8">
      <c r="B557" s="5"/>
      <c r="H557" s="16"/>
    </row>
    <row r="558" spans="2:8">
      <c r="B558" s="5"/>
      <c r="H558" s="16"/>
    </row>
    <row r="559" spans="2:8">
      <c r="B559" s="5"/>
      <c r="H559" s="16"/>
    </row>
    <row r="560" spans="2:8">
      <c r="B560" s="5"/>
      <c r="H560" s="16"/>
    </row>
    <row r="561" spans="2:8">
      <c r="B561" s="5"/>
      <c r="H561" s="16"/>
    </row>
    <row r="562" spans="2:8">
      <c r="B562" s="5"/>
      <c r="H562" s="16"/>
    </row>
    <row r="563" spans="2:8">
      <c r="B563" s="5"/>
      <c r="H563" s="16"/>
    </row>
    <row r="564" spans="2:8">
      <c r="B564" s="5"/>
      <c r="H564" s="16"/>
    </row>
    <row r="565" spans="2:8">
      <c r="B565" s="5"/>
      <c r="H565" s="16"/>
    </row>
    <row r="566" spans="2:8">
      <c r="B566" s="5"/>
      <c r="H566" s="16"/>
    </row>
    <row r="567" spans="2:8">
      <c r="B567" s="5"/>
      <c r="H567" s="16"/>
    </row>
    <row r="568" spans="2:8">
      <c r="B568" s="5"/>
      <c r="H568" s="16"/>
    </row>
    <row r="569" spans="2:8">
      <c r="B569" s="5"/>
      <c r="H569" s="16"/>
    </row>
    <row r="570" spans="2:8">
      <c r="B570" s="5"/>
      <c r="H570" s="16"/>
    </row>
    <row r="571" spans="2:8">
      <c r="B571" s="5"/>
      <c r="H571" s="16"/>
    </row>
    <row r="572" spans="2:8">
      <c r="B572" s="5"/>
      <c r="H572" s="16"/>
    </row>
    <row r="573" spans="2:8">
      <c r="B573" s="5"/>
      <c r="H573" s="16"/>
    </row>
    <row r="574" spans="2:8">
      <c r="B574" s="5"/>
      <c r="H574" s="16"/>
    </row>
    <row r="575" spans="2:8">
      <c r="B575" s="5"/>
      <c r="H575" s="16"/>
    </row>
    <row r="576" spans="2:8">
      <c r="B576" s="5"/>
      <c r="H576" s="16"/>
    </row>
    <row r="577" spans="2:8">
      <c r="B577" s="5"/>
      <c r="H577" s="16"/>
    </row>
    <row r="578" spans="2:8">
      <c r="B578" s="5"/>
      <c r="H578" s="16"/>
    </row>
    <row r="579" spans="2:8">
      <c r="B579" s="5"/>
      <c r="H579" s="16"/>
    </row>
    <row r="580" spans="2:8">
      <c r="B580" s="5"/>
      <c r="H580" s="16"/>
    </row>
    <row r="581" spans="2:8">
      <c r="B581" s="5"/>
      <c r="H581" s="16"/>
    </row>
    <row r="582" spans="2:8">
      <c r="B582" s="5"/>
      <c r="H582" s="16"/>
    </row>
    <row r="583" spans="2:8">
      <c r="B583" s="5"/>
      <c r="H583" s="16"/>
    </row>
    <row r="584" spans="2:8">
      <c r="B584" s="5"/>
      <c r="H584" s="16"/>
    </row>
    <row r="585" spans="2:8">
      <c r="B585" s="5"/>
      <c r="H585" s="16"/>
    </row>
    <row r="586" spans="2:8">
      <c r="B586" s="5"/>
      <c r="H586" s="16"/>
    </row>
    <row r="587" spans="2:8">
      <c r="B587" s="5"/>
      <c r="H587" s="16"/>
    </row>
    <row r="588" spans="2:8">
      <c r="B588" s="5"/>
      <c r="H588" s="16"/>
    </row>
    <row r="589" spans="2:8">
      <c r="B589" s="5"/>
      <c r="H589" s="16"/>
    </row>
    <row r="590" spans="2:8">
      <c r="B590" s="5"/>
      <c r="H590" s="16"/>
    </row>
    <row r="591" spans="2:8">
      <c r="B591" s="5"/>
      <c r="H591" s="16"/>
    </row>
    <row r="592" spans="2:8">
      <c r="B592" s="5"/>
      <c r="H592" s="16"/>
    </row>
    <row r="593" spans="2:8">
      <c r="B593" s="5"/>
      <c r="H593" s="16"/>
    </row>
    <row r="594" spans="2:8">
      <c r="B594" s="5"/>
      <c r="H594" s="16"/>
    </row>
    <row r="595" spans="2:8">
      <c r="B595" s="5"/>
      <c r="H595" s="16"/>
    </row>
    <row r="596" spans="2:8">
      <c r="B596" s="5"/>
      <c r="H596" s="16"/>
    </row>
    <row r="597" spans="2:8">
      <c r="B597" s="5"/>
      <c r="H597" s="16"/>
    </row>
    <row r="598" spans="2:8">
      <c r="B598" s="5"/>
      <c r="H598" s="16"/>
    </row>
    <row r="599" spans="2:8">
      <c r="B599" s="5"/>
      <c r="H599" s="16"/>
    </row>
    <row r="600" spans="2:8">
      <c r="B600" s="5"/>
      <c r="H600" s="16"/>
    </row>
    <row r="601" spans="2:8">
      <c r="B601" s="5"/>
      <c r="H601" s="16"/>
    </row>
    <row r="602" spans="2:8">
      <c r="B602" s="5"/>
      <c r="H602" s="16"/>
    </row>
    <row r="603" spans="2:8">
      <c r="B603" s="5"/>
      <c r="H603" s="16"/>
    </row>
    <row r="604" spans="2:8">
      <c r="B604" s="5"/>
      <c r="H604" s="16"/>
    </row>
    <row r="605" spans="2:8">
      <c r="B605" s="5"/>
      <c r="H605" s="16"/>
    </row>
    <row r="606" spans="2:8">
      <c r="B606" s="5"/>
      <c r="H606" s="16"/>
    </row>
    <row r="607" spans="2:8">
      <c r="B607" s="5"/>
      <c r="H607" s="16"/>
    </row>
    <row r="608" spans="2:8">
      <c r="B608" s="5"/>
      <c r="H608" s="16"/>
    </row>
    <row r="609" spans="2:8">
      <c r="B609" s="5"/>
      <c r="H609" s="16"/>
    </row>
    <row r="610" spans="2:8">
      <c r="B610" s="5"/>
      <c r="H610" s="16"/>
    </row>
    <row r="611" spans="2:8">
      <c r="B611" s="5"/>
      <c r="H611" s="16"/>
    </row>
    <row r="612" spans="2:8">
      <c r="B612" s="5"/>
      <c r="H612" s="16"/>
    </row>
    <row r="613" spans="2:8">
      <c r="B613" s="5"/>
      <c r="H613" s="16"/>
    </row>
    <row r="614" spans="2:8">
      <c r="B614" s="5"/>
      <c r="H614" s="16"/>
    </row>
    <row r="615" spans="2:8">
      <c r="B615" s="5"/>
      <c r="H615" s="16"/>
    </row>
    <row r="616" spans="2:8">
      <c r="B616" s="5"/>
      <c r="H616" s="16"/>
    </row>
    <row r="617" spans="2:8">
      <c r="B617" s="5"/>
      <c r="H617" s="16"/>
    </row>
    <row r="618" spans="2:8">
      <c r="B618" s="5"/>
      <c r="H618" s="16"/>
    </row>
    <row r="619" spans="2:8">
      <c r="B619" s="5"/>
      <c r="H619" s="16"/>
    </row>
    <row r="620" spans="2:8">
      <c r="B620" s="5"/>
      <c r="H620" s="16"/>
    </row>
    <row r="621" spans="2:8">
      <c r="B621" s="5"/>
      <c r="H621" s="16"/>
    </row>
    <row r="622" spans="2:8">
      <c r="B622" s="5"/>
      <c r="H622" s="16"/>
    </row>
    <row r="623" spans="2:8">
      <c r="B623" s="5"/>
      <c r="H623" s="16"/>
    </row>
    <row r="624" spans="2:8">
      <c r="B624" s="5"/>
      <c r="H624" s="16"/>
    </row>
    <row r="625" spans="2:8">
      <c r="B625" s="5"/>
      <c r="H625" s="16"/>
    </row>
    <row r="626" spans="2:8">
      <c r="B626" s="5"/>
      <c r="H626" s="16"/>
    </row>
    <row r="627" spans="2:8">
      <c r="B627" s="5"/>
      <c r="H627" s="16"/>
    </row>
    <row r="628" spans="2:8">
      <c r="B628" s="5"/>
      <c r="H628" s="16"/>
    </row>
    <row r="629" spans="2:8">
      <c r="B629" s="5"/>
      <c r="H629" s="16"/>
    </row>
    <row r="630" spans="2:8">
      <c r="B630" s="5"/>
      <c r="H630" s="16"/>
    </row>
    <row r="631" spans="2:8">
      <c r="B631" s="5"/>
      <c r="H631" s="16"/>
    </row>
    <row r="632" spans="2:8">
      <c r="B632" s="5"/>
      <c r="H632" s="16"/>
    </row>
    <row r="633" spans="2:8">
      <c r="B633" s="5"/>
      <c r="H633" s="16"/>
    </row>
    <row r="634" spans="2:8">
      <c r="B634" s="5"/>
      <c r="H634" s="16"/>
    </row>
    <row r="635" spans="2:8">
      <c r="B635" s="5"/>
      <c r="H635" s="16"/>
    </row>
    <row r="636" spans="2:8">
      <c r="B636" s="5"/>
      <c r="H636" s="16"/>
    </row>
    <row r="637" spans="2:8">
      <c r="B637" s="5"/>
      <c r="H637" s="16"/>
    </row>
    <row r="638" spans="2:8">
      <c r="B638" s="5"/>
      <c r="H638" s="16"/>
    </row>
    <row r="639" spans="2:8">
      <c r="B639" s="5"/>
      <c r="H639" s="16"/>
    </row>
    <row r="640" spans="2:8">
      <c r="B640" s="5"/>
      <c r="H640" s="16"/>
    </row>
    <row r="641" spans="2:8">
      <c r="B641" s="5"/>
      <c r="H641" s="16"/>
    </row>
    <row r="642" spans="2:8">
      <c r="B642" s="5"/>
      <c r="H642" s="16"/>
    </row>
    <row r="643" spans="2:8">
      <c r="B643" s="5"/>
      <c r="H643" s="16"/>
    </row>
    <row r="644" spans="2:8">
      <c r="B644" s="5"/>
      <c r="H644" s="16"/>
    </row>
    <row r="645" spans="2:8">
      <c r="B645" s="5"/>
      <c r="H645" s="16"/>
    </row>
    <row r="646" spans="2:8">
      <c r="B646" s="5"/>
      <c r="H646" s="16"/>
    </row>
    <row r="647" spans="2:8">
      <c r="B647" s="5"/>
      <c r="H647" s="16"/>
    </row>
    <row r="648" spans="2:8">
      <c r="B648" s="5"/>
      <c r="H648" s="16"/>
    </row>
    <row r="649" spans="2:8">
      <c r="B649" s="5"/>
      <c r="H649" s="16"/>
    </row>
    <row r="650" spans="2:8">
      <c r="B650" s="5"/>
      <c r="H650" s="16"/>
    </row>
    <row r="651" spans="2:8">
      <c r="B651" s="5"/>
      <c r="H651" s="16"/>
    </row>
    <row r="652" spans="2:8">
      <c r="B652" s="5"/>
      <c r="H652" s="16"/>
    </row>
    <row r="653" spans="2:8">
      <c r="B653" s="5"/>
      <c r="H653" s="16"/>
    </row>
    <row r="654" spans="2:8">
      <c r="B654" s="5"/>
      <c r="H654" s="16"/>
    </row>
    <row r="655" spans="2:8">
      <c r="B655" s="5"/>
      <c r="H655" s="16"/>
    </row>
    <row r="656" spans="2:8">
      <c r="B656" s="5"/>
      <c r="H656" s="16"/>
    </row>
    <row r="657" spans="2:8">
      <c r="B657" s="5"/>
      <c r="H657" s="16"/>
    </row>
    <row r="658" spans="2:8">
      <c r="B658" s="5"/>
      <c r="H658" s="16"/>
    </row>
    <row r="659" spans="2:8">
      <c r="B659" s="5"/>
      <c r="H659" s="16"/>
    </row>
    <row r="660" spans="2:8">
      <c r="B660" s="5"/>
      <c r="H660" s="16"/>
    </row>
    <row r="661" spans="2:8">
      <c r="B661" s="5"/>
      <c r="H661" s="16"/>
    </row>
    <row r="662" spans="2:8">
      <c r="B662" s="5"/>
      <c r="H662" s="16"/>
    </row>
    <row r="663" spans="2:8">
      <c r="B663" s="5"/>
      <c r="H663" s="16"/>
    </row>
    <row r="664" spans="2:8">
      <c r="B664" s="5"/>
      <c r="H664" s="16"/>
    </row>
    <row r="665" spans="2:8">
      <c r="B665" s="5"/>
      <c r="H665" s="16"/>
    </row>
    <row r="666" spans="2:8">
      <c r="B666" s="5"/>
      <c r="H666" s="16"/>
    </row>
    <row r="667" spans="2:8">
      <c r="B667" s="5"/>
      <c r="H667" s="16"/>
    </row>
    <row r="668" spans="2:8">
      <c r="B668" s="5"/>
      <c r="H668" s="16"/>
    </row>
    <row r="669" spans="2:8">
      <c r="B669" s="5"/>
      <c r="H669" s="16"/>
    </row>
    <row r="670" spans="2:8">
      <c r="B670" s="5"/>
      <c r="H670" s="16"/>
    </row>
    <row r="671" spans="2:8">
      <c r="B671" s="5"/>
      <c r="H671" s="16"/>
    </row>
    <row r="672" spans="2:8">
      <c r="B672" s="5"/>
      <c r="H672" s="16"/>
    </row>
    <row r="673" spans="2:8">
      <c r="B673" s="5"/>
      <c r="H673" s="16"/>
    </row>
    <row r="674" spans="2:8">
      <c r="B674" s="5"/>
      <c r="H674" s="16"/>
    </row>
    <row r="675" spans="2:8">
      <c r="B675" s="5"/>
      <c r="H675" s="16"/>
    </row>
    <row r="676" spans="2:8">
      <c r="B676" s="5"/>
      <c r="H676" s="16"/>
    </row>
    <row r="677" spans="2:8">
      <c r="B677" s="5"/>
      <c r="H677" s="16"/>
    </row>
    <row r="678" spans="2:8">
      <c r="B678" s="5"/>
      <c r="H678" s="16"/>
    </row>
    <row r="679" spans="2:8">
      <c r="B679" s="5"/>
      <c r="H679" s="16"/>
    </row>
    <row r="680" spans="2:8">
      <c r="B680" s="5"/>
      <c r="H680" s="16"/>
    </row>
    <row r="681" spans="2:8">
      <c r="B681" s="5"/>
      <c r="H681" s="16"/>
    </row>
    <row r="682" spans="2:8">
      <c r="B682" s="5"/>
      <c r="H682" s="16"/>
    </row>
    <row r="683" spans="2:8">
      <c r="B683" s="5"/>
      <c r="H683" s="16"/>
    </row>
    <row r="684" spans="2:8">
      <c r="B684" s="5"/>
      <c r="H684" s="16"/>
    </row>
    <row r="685" spans="2:8">
      <c r="B685" s="5"/>
      <c r="H685" s="16"/>
    </row>
    <row r="686" spans="2:8">
      <c r="B686" s="5"/>
      <c r="H686" s="16"/>
    </row>
    <row r="687" spans="2:8">
      <c r="B687" s="5"/>
      <c r="H687" s="16"/>
    </row>
    <row r="688" spans="2:8">
      <c r="B688" s="5"/>
      <c r="H688" s="16"/>
    </row>
    <row r="689" spans="2:8">
      <c r="B689" s="5"/>
      <c r="H689" s="16"/>
    </row>
    <row r="690" spans="2:8">
      <c r="B690" s="5"/>
      <c r="H690" s="16"/>
    </row>
    <row r="691" spans="2:8">
      <c r="B691" s="5"/>
      <c r="H691" s="16"/>
    </row>
    <row r="692" spans="2:8">
      <c r="B692" s="5"/>
      <c r="H692" s="16"/>
    </row>
    <row r="693" spans="2:8">
      <c r="B693" s="5"/>
      <c r="H693" s="16"/>
    </row>
    <row r="694" spans="2:8">
      <c r="B694" s="5"/>
      <c r="H694" s="16"/>
    </row>
    <row r="695" spans="2:8">
      <c r="B695" s="5"/>
      <c r="H695" s="16"/>
    </row>
    <row r="696" spans="2:8">
      <c r="B696" s="5"/>
      <c r="H696" s="16"/>
    </row>
    <row r="697" spans="2:8">
      <c r="B697" s="5"/>
      <c r="H697" s="16"/>
    </row>
    <row r="698" spans="2:8">
      <c r="B698" s="5"/>
      <c r="H698" s="16"/>
    </row>
    <row r="699" spans="2:8">
      <c r="B699" s="5"/>
      <c r="H699" s="16"/>
    </row>
    <row r="700" spans="2:8">
      <c r="B700" s="5"/>
      <c r="H700" s="16"/>
    </row>
    <row r="701" spans="2:8">
      <c r="B701" s="5"/>
      <c r="H701" s="16"/>
    </row>
    <row r="702" spans="2:8">
      <c r="B702" s="5"/>
      <c r="H702" s="16"/>
    </row>
    <row r="703" spans="2:8">
      <c r="B703" s="5"/>
      <c r="H703" s="16"/>
    </row>
    <row r="704" spans="2:8">
      <c r="B704" s="5"/>
      <c r="H704" s="16"/>
    </row>
    <row r="705" spans="2:8">
      <c r="B705" s="5"/>
      <c r="H705" s="16"/>
    </row>
    <row r="706" spans="2:8">
      <c r="B706" s="5"/>
      <c r="H706" s="16"/>
    </row>
    <row r="707" spans="2:8">
      <c r="B707" s="5"/>
      <c r="H707" s="16"/>
    </row>
    <row r="708" spans="2:8">
      <c r="B708" s="5"/>
      <c r="H708" s="16"/>
    </row>
    <row r="709" spans="2:8">
      <c r="B709" s="5"/>
      <c r="H709" s="16"/>
    </row>
    <row r="710" spans="2:8">
      <c r="B710" s="5"/>
      <c r="H710" s="16"/>
    </row>
    <row r="711" spans="2:8">
      <c r="B711" s="5"/>
      <c r="H711" s="16"/>
    </row>
    <row r="712" spans="2:8">
      <c r="B712" s="5"/>
      <c r="H712" s="16"/>
    </row>
    <row r="713" spans="2:8">
      <c r="B713" s="5"/>
      <c r="H713" s="16"/>
    </row>
    <row r="714" spans="2:8">
      <c r="B714" s="5"/>
      <c r="H714" s="16"/>
    </row>
    <row r="715" spans="2:8">
      <c r="B715" s="5"/>
      <c r="H715" s="16"/>
    </row>
    <row r="716" spans="2:8">
      <c r="B716" s="5"/>
      <c r="H716" s="16"/>
    </row>
    <row r="717" spans="2:8">
      <c r="B717" s="5"/>
      <c r="H717" s="16"/>
    </row>
    <row r="718" spans="2:8">
      <c r="B718" s="5"/>
      <c r="H718" s="16"/>
    </row>
    <row r="719" spans="2:8">
      <c r="B719" s="5"/>
      <c r="H719" s="16"/>
    </row>
    <row r="720" spans="2:8">
      <c r="B720" s="5"/>
      <c r="H720" s="16"/>
    </row>
    <row r="721" spans="2:8">
      <c r="B721" s="5"/>
      <c r="H721" s="16"/>
    </row>
    <row r="722" spans="2:8">
      <c r="B722" s="5"/>
      <c r="H722" s="16"/>
    </row>
    <row r="723" spans="2:8">
      <c r="B723" s="5"/>
      <c r="H723" s="16"/>
    </row>
    <row r="724" spans="2:8">
      <c r="B724" s="5"/>
      <c r="H724" s="16"/>
    </row>
    <row r="725" spans="2:8">
      <c r="B725" s="5"/>
      <c r="H725" s="16"/>
    </row>
    <row r="726" spans="2:8">
      <c r="B726" s="5"/>
      <c r="H726" s="16"/>
    </row>
    <row r="727" spans="2:8">
      <c r="B727" s="5"/>
      <c r="H727" s="16"/>
    </row>
    <row r="728" spans="2:8">
      <c r="B728" s="5"/>
      <c r="H728" s="16"/>
    </row>
    <row r="729" spans="2:8">
      <c r="B729" s="5"/>
      <c r="H729" s="16"/>
    </row>
    <row r="730" spans="2:8">
      <c r="B730" s="5"/>
      <c r="H730" s="16"/>
    </row>
    <row r="731" spans="2:8">
      <c r="B731" s="5"/>
      <c r="H731" s="16"/>
    </row>
    <row r="732" spans="2:8">
      <c r="B732" s="5"/>
      <c r="H732" s="16"/>
    </row>
    <row r="733" spans="2:8">
      <c r="B733" s="5"/>
      <c r="H733" s="16"/>
    </row>
    <row r="734" spans="2:8">
      <c r="B734" s="5"/>
      <c r="H734" s="16"/>
    </row>
    <row r="735" spans="2:8">
      <c r="B735" s="5"/>
      <c r="H735" s="16"/>
    </row>
    <row r="736" spans="2:8">
      <c r="B736" s="5"/>
      <c r="H736" s="16"/>
    </row>
    <row r="737" spans="2:8">
      <c r="B737" s="5"/>
      <c r="H737" s="16"/>
    </row>
    <row r="738" spans="2:8">
      <c r="B738" s="5"/>
      <c r="H738" s="16"/>
    </row>
    <row r="739" spans="2:8">
      <c r="B739" s="5"/>
      <c r="H739" s="16"/>
    </row>
    <row r="740" spans="2:8">
      <c r="B740" s="5"/>
      <c r="H740" s="16"/>
    </row>
    <row r="741" spans="2:8">
      <c r="B741" s="5"/>
      <c r="H741" s="16"/>
    </row>
    <row r="742" spans="2:8">
      <c r="B742" s="5"/>
      <c r="H742" s="16"/>
    </row>
    <row r="743" spans="2:8">
      <c r="B743" s="5"/>
      <c r="H743" s="16"/>
    </row>
    <row r="744" spans="2:8">
      <c r="B744" s="5"/>
      <c r="H744" s="16"/>
    </row>
    <row r="745" spans="2:8">
      <c r="B745" s="5"/>
      <c r="H745" s="16"/>
    </row>
    <row r="746" spans="2:8">
      <c r="B746" s="5"/>
      <c r="H746" s="16"/>
    </row>
    <row r="747" spans="2:8">
      <c r="B747" s="5"/>
      <c r="H747" s="16"/>
    </row>
    <row r="748" spans="2:8">
      <c r="B748" s="5"/>
      <c r="H748" s="16"/>
    </row>
    <row r="749" spans="2:8">
      <c r="B749" s="5"/>
      <c r="H749" s="16"/>
    </row>
    <row r="750" spans="2:8">
      <c r="B750" s="5"/>
      <c r="H750" s="16"/>
    </row>
    <row r="751" spans="2:8">
      <c r="B751" s="5"/>
      <c r="H751" s="16"/>
    </row>
    <row r="752" spans="2:8">
      <c r="B752" s="5"/>
      <c r="H752" s="16"/>
    </row>
    <row r="753" spans="2:8">
      <c r="B753" s="5"/>
      <c r="H753" s="16"/>
    </row>
    <row r="754" spans="2:8">
      <c r="B754" s="5"/>
      <c r="H754" s="16"/>
    </row>
    <row r="755" spans="2:8">
      <c r="B755" s="5"/>
      <c r="H755" s="16"/>
    </row>
    <row r="756" spans="2:8">
      <c r="B756" s="5"/>
      <c r="H756" s="16"/>
    </row>
    <row r="757" spans="2:8">
      <c r="B757" s="5"/>
      <c r="H757" s="16"/>
    </row>
    <row r="758" spans="2:8">
      <c r="B758" s="5"/>
      <c r="H758" s="16"/>
    </row>
    <row r="759" spans="2:8">
      <c r="B759" s="5"/>
      <c r="H759" s="16"/>
    </row>
    <row r="760" spans="2:8">
      <c r="B760" s="5"/>
      <c r="H760" s="16"/>
    </row>
    <row r="761" spans="2:8">
      <c r="B761" s="5"/>
      <c r="H761" s="16"/>
    </row>
    <row r="762" spans="2:8">
      <c r="B762" s="5"/>
      <c r="H762" s="16"/>
    </row>
    <row r="763" spans="2:8">
      <c r="B763" s="5"/>
      <c r="H763" s="16"/>
    </row>
    <row r="764" spans="2:8">
      <c r="B764" s="5"/>
      <c r="H764" s="16"/>
    </row>
    <row r="765" spans="2:8">
      <c r="B765" s="5"/>
      <c r="H765" s="16"/>
    </row>
    <row r="766" spans="2:8">
      <c r="B766" s="5"/>
      <c r="H766" s="16"/>
    </row>
    <row r="767" spans="2:8">
      <c r="B767" s="5"/>
      <c r="H767" s="16"/>
    </row>
    <row r="768" spans="2:8">
      <c r="B768" s="5"/>
      <c r="H768" s="16"/>
    </row>
    <row r="769" spans="2:8">
      <c r="B769" s="5"/>
      <c r="H769" s="16"/>
    </row>
    <row r="770" spans="2:8">
      <c r="B770" s="5"/>
      <c r="H770" s="16"/>
    </row>
    <row r="771" spans="2:8">
      <c r="B771" s="5"/>
      <c r="H771" s="16"/>
    </row>
    <row r="772" spans="2:8">
      <c r="B772" s="5"/>
      <c r="H772" s="16"/>
    </row>
    <row r="773" spans="2:8">
      <c r="B773" s="5"/>
      <c r="H773" s="16"/>
    </row>
    <row r="774" spans="2:8">
      <c r="B774" s="5"/>
      <c r="H774" s="16"/>
    </row>
    <row r="775" spans="2:8">
      <c r="B775" s="5"/>
      <c r="H775" s="16"/>
    </row>
    <row r="776" spans="2:8">
      <c r="B776" s="5"/>
      <c r="H776" s="16"/>
    </row>
    <row r="777" spans="2:8">
      <c r="B777" s="5"/>
      <c r="H777" s="16"/>
    </row>
    <row r="778" spans="2:8">
      <c r="B778" s="5"/>
      <c r="H778" s="16"/>
    </row>
    <row r="779" spans="2:8">
      <c r="B779" s="5"/>
      <c r="H779" s="16"/>
    </row>
    <row r="780" spans="2:8">
      <c r="B780" s="5"/>
      <c r="H780" s="16"/>
    </row>
    <row r="781" spans="2:8">
      <c r="B781" s="5"/>
      <c r="H781" s="16"/>
    </row>
    <row r="782" spans="2:8">
      <c r="B782" s="5"/>
      <c r="H782" s="16"/>
    </row>
    <row r="783" spans="2:8">
      <c r="B783" s="5"/>
      <c r="H783" s="16"/>
    </row>
    <row r="784" spans="2:8">
      <c r="B784" s="5"/>
      <c r="H784" s="16"/>
    </row>
    <row r="785" spans="2:8">
      <c r="B785" s="5"/>
      <c r="H785" s="16"/>
    </row>
    <row r="786" spans="2:8">
      <c r="B786" s="5"/>
      <c r="H786" s="16"/>
    </row>
    <row r="787" spans="2:8">
      <c r="B787" s="5"/>
      <c r="H787" s="16"/>
    </row>
    <row r="788" spans="2:8">
      <c r="B788" s="5"/>
      <c r="H788" s="16"/>
    </row>
    <row r="789" spans="2:8">
      <c r="B789" s="5"/>
      <c r="H789" s="16"/>
    </row>
    <row r="790" spans="2:8">
      <c r="B790" s="5"/>
      <c r="H790" s="16"/>
    </row>
    <row r="791" spans="2:8">
      <c r="B791" s="5"/>
      <c r="H791" s="16"/>
    </row>
    <row r="792" spans="2:8">
      <c r="B792" s="5"/>
      <c r="H792" s="16"/>
    </row>
    <row r="793" spans="2:8">
      <c r="B793" s="5"/>
      <c r="H793" s="16"/>
    </row>
    <row r="794" spans="2:8">
      <c r="B794" s="5"/>
      <c r="H794" s="16"/>
    </row>
    <row r="795" spans="2:8">
      <c r="B795" s="5"/>
      <c r="H795" s="16"/>
    </row>
    <row r="796" spans="2:8">
      <c r="B796" s="5"/>
      <c r="H796" s="16"/>
    </row>
    <row r="797" spans="2:8">
      <c r="B797" s="5"/>
      <c r="H797" s="16"/>
    </row>
    <row r="798" spans="2:8">
      <c r="B798" s="5"/>
      <c r="H798" s="16"/>
    </row>
    <row r="799" spans="2:8">
      <c r="B799" s="5"/>
      <c r="H799" s="16"/>
    </row>
    <row r="800" spans="2:8">
      <c r="B800" s="5"/>
      <c r="H800" s="16"/>
    </row>
    <row r="801" spans="2:8">
      <c r="B801" s="5"/>
      <c r="H801" s="16"/>
    </row>
    <row r="802" spans="2:8">
      <c r="B802" s="5"/>
      <c r="H802" s="16"/>
    </row>
    <row r="803" spans="2:8">
      <c r="B803" s="5"/>
      <c r="H803" s="16"/>
    </row>
    <row r="804" spans="2:8">
      <c r="B804" s="5"/>
      <c r="H804" s="16"/>
    </row>
    <row r="805" spans="2:8">
      <c r="B805" s="5"/>
      <c r="H805" s="16"/>
    </row>
    <row r="806" spans="2:8">
      <c r="B806" s="5"/>
      <c r="H806" s="16"/>
    </row>
    <row r="807" spans="2:8">
      <c r="B807" s="5"/>
      <c r="H807" s="16"/>
    </row>
    <row r="808" spans="2:8">
      <c r="B808" s="5"/>
      <c r="H808" s="16"/>
    </row>
    <row r="809" spans="2:8">
      <c r="B809" s="5"/>
      <c r="H809" s="16"/>
    </row>
    <row r="810" spans="2:8">
      <c r="B810" s="5"/>
      <c r="H810" s="16"/>
    </row>
    <row r="811" spans="2:8">
      <c r="B811" s="5"/>
      <c r="H811" s="16"/>
    </row>
    <row r="812" spans="2:8">
      <c r="B812" s="5"/>
      <c r="H812" s="16"/>
    </row>
    <row r="813" spans="2:8">
      <c r="B813" s="5"/>
      <c r="H813" s="16"/>
    </row>
    <row r="814" spans="2:8">
      <c r="B814" s="5"/>
      <c r="H814" s="16"/>
    </row>
    <row r="815" spans="2:8">
      <c r="B815" s="5"/>
      <c r="H815" s="16"/>
    </row>
    <row r="816" spans="2:8">
      <c r="B816" s="5"/>
      <c r="H816" s="16"/>
    </row>
    <row r="817" spans="2:8">
      <c r="B817" s="5"/>
      <c r="H817" s="16"/>
    </row>
    <row r="818" spans="2:8">
      <c r="B818" s="5"/>
      <c r="H818" s="16"/>
    </row>
    <row r="819" spans="2:8">
      <c r="B819" s="5"/>
      <c r="H819" s="16"/>
    </row>
    <row r="820" spans="2:8">
      <c r="B820" s="5"/>
      <c r="H820" s="16"/>
    </row>
    <row r="821" spans="2:8">
      <c r="B821" s="5"/>
      <c r="H821" s="16"/>
    </row>
    <row r="822" spans="2:8">
      <c r="B822" s="5"/>
      <c r="H822" s="16"/>
    </row>
    <row r="823" spans="2:8">
      <c r="B823" s="5"/>
      <c r="H823" s="16"/>
    </row>
    <row r="824" spans="2:8">
      <c r="B824" s="5"/>
      <c r="H824" s="16"/>
    </row>
    <row r="825" spans="2:8">
      <c r="B825" s="5"/>
      <c r="H825" s="16"/>
    </row>
    <row r="826" spans="2:8">
      <c r="B826" s="5"/>
      <c r="H826" s="16"/>
    </row>
    <row r="827" spans="2:8">
      <c r="B827" s="5"/>
      <c r="H827" s="16"/>
    </row>
    <row r="828" spans="2:8">
      <c r="B828" s="5"/>
      <c r="H828" s="16"/>
    </row>
    <row r="829" spans="2:8">
      <c r="B829" s="5"/>
      <c r="H829" s="16"/>
    </row>
    <row r="830" spans="2:8">
      <c r="B830" s="5"/>
      <c r="H830" s="16"/>
    </row>
    <row r="831" spans="2:8">
      <c r="B831" s="5"/>
      <c r="H831" s="16"/>
    </row>
    <row r="832" spans="2:8">
      <c r="B832" s="5"/>
      <c r="H832" s="16"/>
    </row>
    <row r="833" spans="2:8">
      <c r="B833" s="5"/>
      <c r="H833" s="16"/>
    </row>
    <row r="834" spans="2:8">
      <c r="B834" s="5"/>
      <c r="H834" s="16"/>
    </row>
    <row r="835" spans="2:8">
      <c r="B835" s="5"/>
      <c r="H835" s="16"/>
    </row>
    <row r="836" spans="2:8">
      <c r="B836" s="5"/>
      <c r="H836" s="16"/>
    </row>
    <row r="837" spans="2:8">
      <c r="B837" s="5"/>
      <c r="H837" s="16"/>
    </row>
    <row r="838" spans="2:8">
      <c r="B838" s="5"/>
      <c r="H838" s="16"/>
    </row>
    <row r="839" spans="2:8">
      <c r="B839" s="5"/>
      <c r="H839" s="16"/>
    </row>
    <row r="840" spans="2:8">
      <c r="B840" s="5"/>
      <c r="H840" s="16"/>
    </row>
    <row r="841" spans="2:8">
      <c r="B841" s="5"/>
      <c r="H841" s="16"/>
    </row>
    <row r="842" spans="2:8">
      <c r="B842" s="5"/>
      <c r="H842" s="16"/>
    </row>
    <row r="843" spans="2:8">
      <c r="B843" s="5"/>
      <c r="H843" s="16"/>
    </row>
    <row r="844" spans="2:8">
      <c r="B844" s="5"/>
      <c r="H844" s="16"/>
    </row>
    <row r="845" spans="2:8">
      <c r="B845" s="5"/>
      <c r="H845" s="16"/>
    </row>
    <row r="846" spans="2:8">
      <c r="B846" s="5"/>
      <c r="H846" s="16"/>
    </row>
    <row r="847" spans="2:8">
      <c r="B847" s="5"/>
      <c r="H847" s="16"/>
    </row>
    <row r="848" spans="2:8">
      <c r="B848" s="5"/>
      <c r="H848" s="16"/>
    </row>
    <row r="849" spans="2:8">
      <c r="B849" s="5"/>
      <c r="H849" s="16"/>
    </row>
    <row r="850" spans="2:8">
      <c r="B850" s="5"/>
      <c r="H850" s="16"/>
    </row>
    <row r="851" spans="2:8">
      <c r="B851" s="5"/>
      <c r="H851" s="16"/>
    </row>
    <row r="852" spans="2:8">
      <c r="B852" s="5"/>
      <c r="H852" s="16"/>
    </row>
    <row r="853" spans="2:8">
      <c r="B853" s="5"/>
      <c r="H853" s="16"/>
    </row>
    <row r="854" spans="2:8">
      <c r="B854" s="5"/>
      <c r="H854" s="16"/>
    </row>
    <row r="855" spans="2:8">
      <c r="B855" s="5"/>
      <c r="H855" s="16"/>
    </row>
    <row r="856" spans="2:8">
      <c r="B856" s="5"/>
      <c r="H856" s="16"/>
    </row>
    <row r="857" spans="2:8">
      <c r="B857" s="5"/>
      <c r="H857" s="16"/>
    </row>
    <row r="858" spans="2:8">
      <c r="B858" s="5"/>
      <c r="H858" s="16"/>
    </row>
    <row r="859" spans="2:8">
      <c r="B859" s="5"/>
      <c r="H859" s="16"/>
    </row>
    <row r="860" spans="2:8">
      <c r="B860" s="5"/>
      <c r="H860" s="16"/>
    </row>
    <row r="861" spans="2:8">
      <c r="B861" s="5"/>
      <c r="H861" s="16"/>
    </row>
    <row r="862" spans="2:8">
      <c r="B862" s="5"/>
      <c r="H862" s="16"/>
    </row>
    <row r="863" spans="2:8">
      <c r="B863" s="5"/>
      <c r="H863" s="16"/>
    </row>
    <row r="864" spans="2:8">
      <c r="B864" s="5"/>
      <c r="H864" s="16"/>
    </row>
    <row r="865" spans="2:8">
      <c r="B865" s="5"/>
      <c r="H865" s="16"/>
    </row>
    <row r="866" spans="2:8">
      <c r="B866" s="5"/>
      <c r="H866" s="16"/>
    </row>
    <row r="867" spans="2:8">
      <c r="B867" s="5"/>
      <c r="H867" s="16"/>
    </row>
    <row r="868" spans="2:8">
      <c r="B868" s="5"/>
      <c r="H868" s="16"/>
    </row>
    <row r="869" spans="2:8">
      <c r="B869" s="5"/>
      <c r="H869" s="16"/>
    </row>
    <row r="870" spans="2:8">
      <c r="B870" s="5"/>
      <c r="H870" s="16"/>
    </row>
    <row r="871" spans="2:8">
      <c r="B871" s="5"/>
      <c r="H871" s="16"/>
    </row>
    <row r="872" spans="2:8">
      <c r="B872" s="5"/>
      <c r="H872" s="16"/>
    </row>
    <row r="873" spans="2:8">
      <c r="B873" s="5"/>
      <c r="H873" s="16"/>
    </row>
    <row r="874" spans="2:8">
      <c r="B874" s="5"/>
      <c r="H874" s="16"/>
    </row>
    <row r="875" spans="2:8">
      <c r="B875" s="5"/>
      <c r="H875" s="16"/>
    </row>
    <row r="876" spans="2:8">
      <c r="B876" s="5"/>
      <c r="H876" s="16"/>
    </row>
    <row r="877" spans="2:8">
      <c r="B877" s="5"/>
      <c r="H877" s="16"/>
    </row>
    <row r="878" spans="2:8">
      <c r="B878" s="5"/>
      <c r="H878" s="16"/>
    </row>
    <row r="879" spans="2:8">
      <c r="B879" s="5"/>
      <c r="H879" s="16"/>
    </row>
    <row r="880" spans="2:8">
      <c r="B880" s="5"/>
      <c r="H880" s="16"/>
    </row>
    <row r="881" spans="2:8">
      <c r="B881" s="5"/>
      <c r="H881" s="16"/>
    </row>
    <row r="882" spans="2:8">
      <c r="B882" s="5"/>
      <c r="H882" s="16"/>
    </row>
    <row r="883" spans="2:8">
      <c r="B883" s="5"/>
      <c r="H883" s="16"/>
    </row>
    <row r="884" spans="2:8">
      <c r="B884" s="5"/>
      <c r="H884" s="16"/>
    </row>
    <row r="885" spans="2:8">
      <c r="B885" s="5"/>
      <c r="H885" s="16"/>
    </row>
    <row r="886" spans="2:8">
      <c r="B886" s="5"/>
      <c r="H886" s="16"/>
    </row>
    <row r="887" spans="2:8">
      <c r="B887" s="5"/>
      <c r="H887" s="16"/>
    </row>
    <row r="888" spans="2:8">
      <c r="B888" s="5"/>
      <c r="H888" s="16"/>
    </row>
    <row r="889" spans="2:8">
      <c r="B889" s="5"/>
      <c r="H889" s="16"/>
    </row>
    <row r="890" spans="2:8">
      <c r="B890" s="5"/>
      <c r="H890" s="16"/>
    </row>
    <row r="891" spans="2:8">
      <c r="B891" s="5"/>
      <c r="H891" s="16"/>
    </row>
    <row r="892" spans="2:8">
      <c r="B892" s="5"/>
      <c r="H892" s="16"/>
    </row>
  </sheetData>
  <mergeCells count="27">
    <mergeCell ref="C50:F50"/>
    <mergeCell ref="G50:H50"/>
    <mergeCell ref="C47:F47"/>
    <mergeCell ref="G47:H47"/>
    <mergeCell ref="C48:F48"/>
    <mergeCell ref="G48:H48"/>
    <mergeCell ref="C49:F49"/>
    <mergeCell ref="G49:H49"/>
    <mergeCell ref="C44:F44"/>
    <mergeCell ref="G44:H44"/>
    <mergeCell ref="C45:F45"/>
    <mergeCell ref="G45:H45"/>
    <mergeCell ref="C46:F46"/>
    <mergeCell ref="G46:H46"/>
    <mergeCell ref="C43:F43"/>
    <mergeCell ref="G43:H43"/>
    <mergeCell ref="A4:H4"/>
    <mergeCell ref="A10:F10"/>
    <mergeCell ref="A17:F17"/>
    <mergeCell ref="A23:F23"/>
    <mergeCell ref="A29:F29"/>
    <mergeCell ref="A35:F35"/>
    <mergeCell ref="A38:F38"/>
    <mergeCell ref="C41:F41"/>
    <mergeCell ref="G41:H41"/>
    <mergeCell ref="C42:F42"/>
    <mergeCell ref="G42:H42"/>
  </mergeCells>
  <phoneticPr fontId="24" type="noConversion"/>
  <dataValidations count="1">
    <dataValidation type="list" allowBlank="1" showInputMessage="1" showErrorMessage="1" sqref="B42:B48" xr:uid="{87149AE4-6768-49E2-A438-B24E53795B2D}">
      <formula1>$L$41:$L$45</formula1>
    </dataValidation>
  </dataValidations>
  <pageMargins left="0.7" right="0.7" top="0.75" bottom="0.75" header="0.3" footer="0.3"/>
  <pageSetup scale="52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7A45E-2B55-496C-A807-BF359B647816}">
  <sheetPr>
    <tabColor rgb="FFFFC000"/>
    <pageSetUpPr fitToPage="1"/>
  </sheetPr>
  <dimension ref="A1:L892"/>
  <sheetViews>
    <sheetView showZeros="0" view="pageBreakPreview" zoomScale="60" zoomScaleNormal="70" workbookViewId="0">
      <selection activeCell="A11" sqref="A11"/>
    </sheetView>
  </sheetViews>
  <sheetFormatPr defaultColWidth="10.875" defaultRowHeight="18.75"/>
  <cols>
    <col min="1" max="1" width="35.625" customWidth="1"/>
    <col min="2" max="2" width="14.625" style="16" customWidth="1"/>
    <col min="3" max="7" width="15.875" style="5" customWidth="1"/>
    <col min="8" max="8" width="15.875" style="17" customWidth="1"/>
    <col min="9" max="9" width="9" style="5"/>
    <col min="10" max="12" width="0" style="5" hidden="1" customWidth="1"/>
    <col min="13" max="16384" width="10.875" style="5"/>
  </cols>
  <sheetData>
    <row r="1" spans="1:10" customFormat="1" ht="15.75">
      <c r="A1" s="41"/>
      <c r="B1" s="42"/>
      <c r="C1" s="43"/>
      <c r="D1" s="43"/>
      <c r="E1" s="45" t="s">
        <v>25</v>
      </c>
      <c r="F1" s="43"/>
      <c r="G1" s="45" t="s">
        <v>26</v>
      </c>
      <c r="H1" s="44">
        <v>6</v>
      </c>
    </row>
    <row r="2" spans="1:10">
      <c r="A2" s="30"/>
      <c r="B2" s="18" t="s">
        <v>27</v>
      </c>
      <c r="C2" s="19" t="s">
        <v>28</v>
      </c>
      <c r="D2" s="19" t="s">
        <v>29</v>
      </c>
      <c r="E2" s="18" t="s">
        <v>30</v>
      </c>
      <c r="F2" s="18" t="s">
        <v>31</v>
      </c>
      <c r="G2" s="18" t="s">
        <v>32</v>
      </c>
      <c r="H2" s="18" t="s">
        <v>33</v>
      </c>
    </row>
    <row r="3" spans="1:10" ht="21" customHeight="1">
      <c r="A3" s="31" t="s">
        <v>7</v>
      </c>
      <c r="B3" s="6">
        <f>'Week. 3'!H3+1</f>
        <v>46047</v>
      </c>
      <c r="C3" s="6">
        <f>B3+1</f>
        <v>46048</v>
      </c>
      <c r="D3" s="6">
        <f t="shared" ref="D3:H3" si="0">C3+1</f>
        <v>46049</v>
      </c>
      <c r="E3" s="6">
        <f t="shared" si="0"/>
        <v>46050</v>
      </c>
      <c r="F3" s="6">
        <f t="shared" si="0"/>
        <v>46051</v>
      </c>
      <c r="G3" s="6">
        <f t="shared" si="0"/>
        <v>46052</v>
      </c>
      <c r="H3" s="6">
        <f t="shared" si="0"/>
        <v>46053</v>
      </c>
    </row>
    <row r="4" spans="1:10" s="7" customFormat="1">
      <c r="A4" s="181" t="s">
        <v>135</v>
      </c>
      <c r="B4" s="181"/>
      <c r="C4" s="181"/>
      <c r="D4" s="181"/>
      <c r="E4" s="181"/>
      <c r="F4" s="181"/>
      <c r="G4" s="181"/>
      <c r="H4" s="181"/>
    </row>
    <row r="5" spans="1:10" s="7" customFormat="1" ht="26.1" customHeight="1">
      <c r="A5" s="32" t="s">
        <v>8</v>
      </c>
      <c r="B5" s="27"/>
      <c r="C5" s="27"/>
      <c r="D5" s="27"/>
      <c r="E5" s="27"/>
      <c r="F5" s="27"/>
      <c r="G5" s="27"/>
      <c r="H5" s="27"/>
    </row>
    <row r="6" spans="1:10" s="7" customFormat="1" ht="26.1" customHeight="1">
      <c r="A6" s="4" t="s">
        <v>23</v>
      </c>
      <c r="B6" s="62"/>
      <c r="C6" s="62"/>
      <c r="D6" s="62"/>
      <c r="E6" s="62"/>
      <c r="F6" s="62"/>
      <c r="G6" s="62"/>
      <c r="H6" s="62"/>
    </row>
    <row r="7" spans="1:10" s="7" customFormat="1" ht="21.95" customHeight="1">
      <c r="A7" s="32" t="s">
        <v>35</v>
      </c>
      <c r="B7" s="27"/>
      <c r="C7" s="28"/>
      <c r="D7" s="28"/>
      <c r="E7" s="28"/>
      <c r="F7" s="28"/>
      <c r="G7" s="28"/>
      <c r="H7" s="27"/>
    </row>
    <row r="8" spans="1:10" s="7" customFormat="1" ht="24.95" customHeight="1">
      <c r="A8" s="83" t="s">
        <v>36</v>
      </c>
      <c r="B8" s="84">
        <f t="shared" ref="B8:H8" si="1">B5+B6+B7</f>
        <v>0</v>
      </c>
      <c r="C8" s="84">
        <f t="shared" si="1"/>
        <v>0</v>
      </c>
      <c r="D8" s="84">
        <f t="shared" si="1"/>
        <v>0</v>
      </c>
      <c r="E8" s="84">
        <f t="shared" si="1"/>
        <v>0</v>
      </c>
      <c r="F8" s="84">
        <f t="shared" si="1"/>
        <v>0</v>
      </c>
      <c r="G8" s="84">
        <f t="shared" si="1"/>
        <v>0</v>
      </c>
      <c r="H8" s="84">
        <f t="shared" si="1"/>
        <v>0</v>
      </c>
    </row>
    <row r="9" spans="1:10" s="7" customFormat="1" ht="24.95" customHeight="1">
      <c r="A9" s="33"/>
      <c r="B9" s="29"/>
      <c r="C9" s="29"/>
      <c r="D9" s="29"/>
      <c r="E9" s="29"/>
      <c r="F9" s="29"/>
      <c r="G9" s="63" t="s">
        <v>37</v>
      </c>
      <c r="H9" s="64">
        <f>SUM(B8:H8)</f>
        <v>0</v>
      </c>
    </row>
    <row r="10" spans="1:10" s="7" customFormat="1">
      <c r="A10" s="182" t="s">
        <v>136</v>
      </c>
      <c r="B10" s="183"/>
      <c r="C10" s="183"/>
      <c r="D10" s="183"/>
      <c r="E10" s="183"/>
      <c r="F10" s="183"/>
      <c r="G10" s="65" t="s">
        <v>39</v>
      </c>
      <c r="H10" s="66">
        <v>-0.15</v>
      </c>
      <c r="I10" s="5"/>
      <c r="J10" s="26"/>
    </row>
    <row r="11" spans="1:10" s="7" customFormat="1" ht="30" customHeight="1">
      <c r="A11" s="39" t="s">
        <v>8</v>
      </c>
      <c r="B11" s="9"/>
      <c r="C11" s="9"/>
      <c r="D11" s="67"/>
      <c r="E11" s="67"/>
      <c r="F11" s="9"/>
      <c r="G11" s="68"/>
      <c r="H11" s="69"/>
    </row>
    <row r="12" spans="1:10" s="7" customFormat="1" ht="30" customHeight="1">
      <c r="A12" s="70" t="s">
        <v>23</v>
      </c>
      <c r="B12" s="59"/>
      <c r="C12" s="58"/>
      <c r="D12" s="58"/>
      <c r="E12" s="58"/>
      <c r="F12" s="58"/>
      <c r="G12" s="58"/>
      <c r="H12" s="58"/>
    </row>
    <row r="13" spans="1:10" s="7" customFormat="1" ht="30" customHeight="1">
      <c r="A13" s="3" t="s">
        <v>35</v>
      </c>
      <c r="B13" s="8"/>
      <c r="C13" s="8"/>
      <c r="D13" s="8"/>
      <c r="E13" s="8"/>
      <c r="F13" s="8"/>
      <c r="G13" s="8"/>
      <c r="H13" s="8"/>
    </row>
    <row r="14" spans="1:10" s="7" customFormat="1" ht="27" customHeight="1">
      <c r="A14" s="85" t="s">
        <v>36</v>
      </c>
      <c r="B14" s="87">
        <f t="shared" ref="B14:H14" si="2">B11+B12+B13</f>
        <v>0</v>
      </c>
      <c r="C14" s="87">
        <f t="shared" si="2"/>
        <v>0</v>
      </c>
      <c r="D14" s="87">
        <f t="shared" si="2"/>
        <v>0</v>
      </c>
      <c r="E14" s="87">
        <f t="shared" si="2"/>
        <v>0</v>
      </c>
      <c r="F14" s="87">
        <f t="shared" si="2"/>
        <v>0</v>
      </c>
      <c r="G14" s="87">
        <f t="shared" si="2"/>
        <v>0</v>
      </c>
      <c r="H14" s="87">
        <f t="shared" si="2"/>
        <v>0</v>
      </c>
    </row>
    <row r="15" spans="1:10" s="7" customFormat="1" ht="24.95" customHeight="1">
      <c r="A15" s="86" t="s">
        <v>40</v>
      </c>
      <c r="B15" s="92" t="e">
        <f t="shared" ref="B15:H15" si="3">(B14-B8)/B8</f>
        <v>#DIV/0!</v>
      </c>
      <c r="C15" s="93" t="e">
        <f t="shared" si="3"/>
        <v>#DIV/0!</v>
      </c>
      <c r="D15" s="93" t="e">
        <f t="shared" si="3"/>
        <v>#DIV/0!</v>
      </c>
      <c r="E15" s="93" t="e">
        <f t="shared" si="3"/>
        <v>#DIV/0!</v>
      </c>
      <c r="F15" s="93" t="e">
        <f t="shared" si="3"/>
        <v>#DIV/0!</v>
      </c>
      <c r="G15" s="93" t="e">
        <f t="shared" si="3"/>
        <v>#DIV/0!</v>
      </c>
      <c r="H15" s="94" t="e">
        <f t="shared" si="3"/>
        <v>#DIV/0!</v>
      </c>
      <c r="I15" s="71"/>
    </row>
    <row r="16" spans="1:10" ht="30" customHeight="1">
      <c r="B16" s="88"/>
      <c r="C16" s="88"/>
      <c r="D16" s="88"/>
      <c r="E16" s="88"/>
      <c r="F16" s="89"/>
      <c r="G16" s="90" t="s">
        <v>37</v>
      </c>
      <c r="H16" s="91">
        <f>SUM(B14:H14)</f>
        <v>0</v>
      </c>
    </row>
    <row r="17" spans="1:8" s="7" customFormat="1">
      <c r="A17" s="184" t="s">
        <v>41</v>
      </c>
      <c r="B17" s="185"/>
      <c r="C17" s="185"/>
      <c r="D17" s="185"/>
      <c r="E17" s="185"/>
      <c r="F17" s="185"/>
      <c r="G17" s="72" t="s">
        <v>42</v>
      </c>
      <c r="H17" s="66" t="e">
        <f>(H16-H9)/H9</f>
        <v>#DIV/0!</v>
      </c>
    </row>
    <row r="18" spans="1:8" s="7" customFormat="1" ht="30" customHeight="1">
      <c r="A18" s="35" t="s">
        <v>43</v>
      </c>
      <c r="B18" s="12"/>
      <c r="C18" s="12"/>
      <c r="D18" s="73"/>
      <c r="E18" s="73"/>
      <c r="F18" s="12"/>
      <c r="G18" s="24"/>
      <c r="H18" s="74"/>
    </row>
    <row r="19" spans="1:8" s="7" customFormat="1" ht="30" customHeight="1">
      <c r="A19" s="35" t="str">
        <f>'Week. 3'!A31</f>
        <v>Non Meal Plan Meals</v>
      </c>
      <c r="B19" s="12"/>
      <c r="C19" s="12"/>
      <c r="D19" s="73"/>
      <c r="E19" s="73"/>
      <c r="F19" s="12"/>
      <c r="G19" s="24"/>
      <c r="H19" s="74"/>
    </row>
    <row r="20" spans="1:8" s="7" customFormat="1" ht="30" customHeight="1">
      <c r="A20" s="35" t="str">
        <f>'Week. 3'!A32</f>
        <v xml:space="preserve">Meal numbers </v>
      </c>
      <c r="B20" s="95"/>
      <c r="C20" s="95"/>
      <c r="D20" s="67"/>
      <c r="E20" s="67"/>
      <c r="F20" s="95"/>
      <c r="G20" s="95"/>
      <c r="H20" s="75"/>
    </row>
    <row r="21" spans="1:8" s="7" customFormat="1" ht="24.95" customHeight="1">
      <c r="A21" s="36" t="s">
        <v>45</v>
      </c>
      <c r="B21" s="77">
        <f t="shared" ref="B21:G21" si="4">B18+B20</f>
        <v>0</v>
      </c>
      <c r="C21" s="77">
        <f t="shared" si="4"/>
        <v>0</v>
      </c>
      <c r="D21" s="96"/>
      <c r="E21" s="96"/>
      <c r="F21" s="77">
        <f t="shared" si="4"/>
        <v>0</v>
      </c>
      <c r="G21" s="77">
        <f t="shared" si="4"/>
        <v>0</v>
      </c>
      <c r="H21" s="77">
        <f>H18+H20</f>
        <v>0</v>
      </c>
    </row>
    <row r="22" spans="1:8" s="7" customFormat="1" ht="24.95" customHeight="1">
      <c r="A22" s="34" t="s">
        <v>40</v>
      </c>
      <c r="B22" s="92" t="e">
        <f>(B21-B5)/B5</f>
        <v>#DIV/0!</v>
      </c>
      <c r="C22" s="93" t="e">
        <f>(C21-C5)/C5</f>
        <v>#DIV/0!</v>
      </c>
      <c r="D22" s="99"/>
      <c r="E22" s="99"/>
      <c r="F22" s="93" t="e">
        <f>(F21-F5)/F5</f>
        <v>#DIV/0!</v>
      </c>
      <c r="G22" s="93" t="e">
        <f>(G21-G5)/G5</f>
        <v>#DIV/0!</v>
      </c>
      <c r="H22" s="94" t="e">
        <f>(H21-H5)/H5</f>
        <v>#DIV/0!</v>
      </c>
    </row>
    <row r="23" spans="1:8" s="7" customFormat="1">
      <c r="A23" s="186" t="s">
        <v>46</v>
      </c>
      <c r="B23" s="187"/>
      <c r="C23" s="187"/>
      <c r="D23" s="187"/>
      <c r="E23" s="187"/>
      <c r="F23" s="188" t="s">
        <v>47</v>
      </c>
      <c r="G23" s="97"/>
      <c r="H23" s="98"/>
    </row>
    <row r="24" spans="1:8" s="7" customFormat="1" ht="30" customHeight="1">
      <c r="A24" s="35" t="s">
        <v>43</v>
      </c>
      <c r="B24" s="12"/>
      <c r="C24" s="12"/>
      <c r="D24" s="12"/>
      <c r="E24" s="12"/>
      <c r="F24" s="12"/>
      <c r="G24" s="12"/>
      <c r="H24" s="11"/>
    </row>
    <row r="25" spans="1:8" s="7" customFormat="1" ht="30" customHeight="1">
      <c r="A25" s="35" t="str">
        <f>A19</f>
        <v>Non Meal Plan Meals</v>
      </c>
      <c r="B25" s="117"/>
      <c r="C25" s="117"/>
      <c r="D25" s="117"/>
      <c r="E25" s="117"/>
      <c r="F25" s="117"/>
      <c r="G25" s="117"/>
      <c r="H25" s="117"/>
    </row>
    <row r="26" spans="1:8" s="7" customFormat="1" ht="30" customHeight="1">
      <c r="A26" s="35" t="str">
        <f>A20</f>
        <v xml:space="preserve">Meal numbers </v>
      </c>
      <c r="B26" s="11"/>
      <c r="C26" s="11"/>
      <c r="D26" s="11"/>
      <c r="E26" s="11"/>
      <c r="F26" s="11"/>
      <c r="G26" s="11"/>
      <c r="H26" s="11"/>
    </row>
    <row r="27" spans="1:8" s="7" customFormat="1" ht="27.95" customHeight="1">
      <c r="A27" s="36" t="s">
        <v>50</v>
      </c>
      <c r="B27" s="100">
        <f>B24+B25+B26</f>
        <v>0</v>
      </c>
      <c r="C27" s="100">
        <f t="shared" ref="C27:G27" si="5">C24+C25+C26</f>
        <v>0</v>
      </c>
      <c r="D27" s="100">
        <f t="shared" si="5"/>
        <v>0</v>
      </c>
      <c r="E27" s="100">
        <f t="shared" si="5"/>
        <v>0</v>
      </c>
      <c r="F27" s="100">
        <f t="shared" si="5"/>
        <v>0</v>
      </c>
      <c r="G27" s="100">
        <f t="shared" si="5"/>
        <v>0</v>
      </c>
      <c r="H27" s="100">
        <f>H24+H25+H26</f>
        <v>0</v>
      </c>
    </row>
    <row r="28" spans="1:8" s="7" customFormat="1" ht="24.95" customHeight="1">
      <c r="A28" s="34" t="s">
        <v>40</v>
      </c>
      <c r="B28" s="92" t="e">
        <f t="shared" ref="B28:H28" si="6">(B27-B6)/B6</f>
        <v>#DIV/0!</v>
      </c>
      <c r="C28" s="93" t="e">
        <f t="shared" si="6"/>
        <v>#DIV/0!</v>
      </c>
      <c r="D28" s="93" t="e">
        <f t="shared" si="6"/>
        <v>#DIV/0!</v>
      </c>
      <c r="E28" s="93" t="e">
        <f t="shared" si="6"/>
        <v>#DIV/0!</v>
      </c>
      <c r="F28" s="93" t="e">
        <f t="shared" si="6"/>
        <v>#DIV/0!</v>
      </c>
      <c r="G28" s="93" t="e">
        <f t="shared" si="6"/>
        <v>#DIV/0!</v>
      </c>
      <c r="H28" s="94" t="e">
        <f t="shared" si="6"/>
        <v>#DIV/0!</v>
      </c>
    </row>
    <row r="29" spans="1:8" s="7" customFormat="1">
      <c r="A29" s="189" t="s">
        <v>51</v>
      </c>
      <c r="B29" s="190"/>
      <c r="C29" s="190"/>
      <c r="D29" s="190"/>
      <c r="E29" s="190"/>
      <c r="F29" s="191" t="s">
        <v>35</v>
      </c>
      <c r="G29" s="101"/>
      <c r="H29" s="102"/>
    </row>
    <row r="30" spans="1:8" s="7" customFormat="1" ht="30" customHeight="1">
      <c r="A30" s="35" t="s">
        <v>43</v>
      </c>
      <c r="B30" s="9"/>
      <c r="C30" s="9"/>
      <c r="D30" s="9"/>
      <c r="E30" s="9"/>
      <c r="F30" s="9"/>
      <c r="G30" s="9"/>
      <c r="H30" s="10"/>
    </row>
    <row r="31" spans="1:8" s="7" customFormat="1" ht="30" customHeight="1">
      <c r="A31" s="35" t="str">
        <f>A25</f>
        <v>Non Meal Plan Meals</v>
      </c>
      <c r="B31" s="60"/>
      <c r="C31" s="60"/>
      <c r="D31" s="60"/>
      <c r="E31" s="60"/>
      <c r="F31" s="60"/>
      <c r="G31" s="60"/>
      <c r="H31" s="60"/>
    </row>
    <row r="32" spans="1:8" s="7" customFormat="1" ht="30" customHeight="1">
      <c r="A32" s="35" t="str">
        <f>A26</f>
        <v xml:space="preserve">Meal numbers </v>
      </c>
      <c r="B32" s="10"/>
      <c r="C32" s="10"/>
      <c r="D32" s="10"/>
      <c r="E32" s="10"/>
      <c r="F32" s="10"/>
      <c r="G32" s="10"/>
      <c r="H32" s="10"/>
    </row>
    <row r="33" spans="1:12" s="7" customFormat="1" ht="30.95" customHeight="1">
      <c r="A33" s="36" t="s">
        <v>53</v>
      </c>
      <c r="B33" s="103">
        <f>B30+B31+B32</f>
        <v>0</v>
      </c>
      <c r="C33" s="103">
        <f t="shared" ref="C33:G33" si="7">C30+C31+C32</f>
        <v>0</v>
      </c>
      <c r="D33" s="103">
        <f t="shared" si="7"/>
        <v>0</v>
      </c>
      <c r="E33" s="103">
        <f t="shared" si="7"/>
        <v>0</v>
      </c>
      <c r="F33" s="103">
        <f t="shared" si="7"/>
        <v>0</v>
      </c>
      <c r="G33" s="103">
        <f t="shared" si="7"/>
        <v>0</v>
      </c>
      <c r="H33" s="103">
        <f>H30+H31+H32</f>
        <v>0</v>
      </c>
    </row>
    <row r="34" spans="1:12" s="7" customFormat="1" ht="24.95" customHeight="1">
      <c r="A34" s="34" t="s">
        <v>40</v>
      </c>
      <c r="B34" s="92" t="e">
        <f t="shared" ref="B34:H34" si="8">(B33-B7)/B7</f>
        <v>#DIV/0!</v>
      </c>
      <c r="C34" s="93" t="e">
        <f t="shared" si="8"/>
        <v>#DIV/0!</v>
      </c>
      <c r="D34" s="93" t="e">
        <f t="shared" si="8"/>
        <v>#DIV/0!</v>
      </c>
      <c r="E34" s="93" t="e">
        <f t="shared" si="8"/>
        <v>#DIV/0!</v>
      </c>
      <c r="F34" s="93" t="e">
        <f t="shared" si="8"/>
        <v>#DIV/0!</v>
      </c>
      <c r="G34" s="93" t="e">
        <f t="shared" si="8"/>
        <v>#DIV/0!</v>
      </c>
      <c r="H34" s="94" t="e">
        <f t="shared" si="8"/>
        <v>#DIV/0!</v>
      </c>
    </row>
    <row r="35" spans="1:12" s="7" customFormat="1">
      <c r="A35" s="192" t="s">
        <v>54</v>
      </c>
      <c r="B35" s="193"/>
      <c r="C35" s="193"/>
      <c r="D35" s="193"/>
      <c r="E35" s="193"/>
      <c r="F35" s="194" t="s">
        <v>35</v>
      </c>
      <c r="G35" s="104"/>
      <c r="H35" s="105"/>
    </row>
    <row r="36" spans="1:12" s="7" customFormat="1" ht="30.95" customHeight="1">
      <c r="A36" s="78" t="s">
        <v>55</v>
      </c>
      <c r="B36" s="77">
        <f>B33+B27+B21</f>
        <v>0</v>
      </c>
      <c r="C36" s="77">
        <f t="shared" ref="C36:H36" si="9">C33+C27+C21</f>
        <v>0</v>
      </c>
      <c r="D36" s="77">
        <f t="shared" si="9"/>
        <v>0</v>
      </c>
      <c r="E36" s="77">
        <f t="shared" si="9"/>
        <v>0</v>
      </c>
      <c r="F36" s="77">
        <f t="shared" si="9"/>
        <v>0</v>
      </c>
      <c r="G36" s="77">
        <f t="shared" si="9"/>
        <v>0</v>
      </c>
      <c r="H36" s="77">
        <f t="shared" si="9"/>
        <v>0</v>
      </c>
    </row>
    <row r="37" spans="1:12" s="7" customFormat="1" ht="24.95" customHeight="1">
      <c r="A37" s="34" t="s">
        <v>40</v>
      </c>
      <c r="B37" s="92" t="e">
        <f t="shared" ref="B37:H37" si="10">(B36-B8)/B8</f>
        <v>#DIV/0!</v>
      </c>
      <c r="C37" s="93" t="e">
        <f t="shared" si="10"/>
        <v>#DIV/0!</v>
      </c>
      <c r="D37" s="93" t="e">
        <f t="shared" si="10"/>
        <v>#DIV/0!</v>
      </c>
      <c r="E37" s="93" t="e">
        <f t="shared" si="10"/>
        <v>#DIV/0!</v>
      </c>
      <c r="F37" s="93" t="e">
        <f t="shared" si="10"/>
        <v>#DIV/0!</v>
      </c>
      <c r="G37" s="93" t="e">
        <f t="shared" si="10"/>
        <v>#DIV/0!</v>
      </c>
      <c r="H37" s="94" t="e">
        <f t="shared" si="10"/>
        <v>#DIV/0!</v>
      </c>
    </row>
    <row r="38" spans="1:12" ht="30" customHeight="1">
      <c r="A38" s="195"/>
      <c r="B38" s="196"/>
      <c r="C38" s="196"/>
      <c r="D38" s="196"/>
      <c r="E38" s="196"/>
      <c r="F38" s="196"/>
      <c r="G38" s="106" t="s">
        <v>37</v>
      </c>
      <c r="H38" s="107">
        <f>SUM(B36:H36)</f>
        <v>0</v>
      </c>
    </row>
    <row r="39" spans="1:12" s="7" customFormat="1" ht="24.95" customHeight="1">
      <c r="A39" s="37"/>
      <c r="B39" s="25"/>
      <c r="C39" s="25"/>
      <c r="D39" s="25"/>
      <c r="E39" s="25"/>
      <c r="F39" s="25"/>
      <c r="G39" s="79" t="s">
        <v>40</v>
      </c>
      <c r="H39" s="80" t="e">
        <f>(H38-H9)/H9</f>
        <v>#DIV/0!</v>
      </c>
    </row>
    <row r="40" spans="1:12" s="7" customFormat="1" ht="24.95" customHeight="1">
      <c r="A40" s="37"/>
      <c r="B40" s="25"/>
      <c r="C40" s="25"/>
      <c r="D40" s="25"/>
      <c r="E40" s="25"/>
      <c r="F40" s="25"/>
      <c r="G40" s="81" t="s">
        <v>56</v>
      </c>
      <c r="H40" s="82" t="e">
        <f>(H38-H16)/H16</f>
        <v>#DIV/0!</v>
      </c>
    </row>
    <row r="41" spans="1:12" s="46" customFormat="1" ht="23.1" customHeight="1">
      <c r="A41" s="40"/>
      <c r="B41" s="47" t="s">
        <v>57</v>
      </c>
      <c r="C41" s="197" t="s">
        <v>58</v>
      </c>
      <c r="D41" s="197"/>
      <c r="E41" s="197"/>
      <c r="F41" s="197"/>
      <c r="G41" s="198">
        <v>2022</v>
      </c>
      <c r="H41" s="199"/>
    </row>
    <row r="42" spans="1:12" ht="30" customHeight="1">
      <c r="A42" s="1" t="s">
        <v>60</v>
      </c>
      <c r="B42" s="57" t="s">
        <v>59</v>
      </c>
      <c r="C42" s="180"/>
      <c r="D42" s="180"/>
      <c r="E42" s="180"/>
      <c r="F42" s="180"/>
      <c r="G42" s="178"/>
      <c r="H42" s="179"/>
      <c r="L42" s="7" t="s">
        <v>61</v>
      </c>
    </row>
    <row r="43" spans="1:12" ht="30" customHeight="1">
      <c r="A43" s="1" t="s">
        <v>1</v>
      </c>
      <c r="B43" s="57" t="s">
        <v>59</v>
      </c>
      <c r="C43" s="180"/>
      <c r="D43" s="180"/>
      <c r="E43" s="180"/>
      <c r="F43" s="180"/>
      <c r="G43" s="178"/>
      <c r="H43" s="179"/>
      <c r="L43" s="5" t="s">
        <v>62</v>
      </c>
    </row>
    <row r="44" spans="1:12" ht="30" customHeight="1">
      <c r="A44" s="1" t="s">
        <v>2</v>
      </c>
      <c r="B44" s="57" t="s">
        <v>59</v>
      </c>
      <c r="C44" s="175"/>
      <c r="D44" s="175"/>
      <c r="E44" s="175"/>
      <c r="F44" s="175"/>
      <c r="G44" s="176"/>
      <c r="H44" s="177"/>
      <c r="L44" s="5" t="s">
        <v>63</v>
      </c>
    </row>
    <row r="45" spans="1:12" ht="30" customHeight="1">
      <c r="A45" s="1" t="s">
        <v>3</v>
      </c>
      <c r="B45" s="57" t="s">
        <v>59</v>
      </c>
      <c r="C45" s="175"/>
      <c r="D45" s="175"/>
      <c r="E45" s="175"/>
      <c r="F45" s="175"/>
      <c r="G45" s="176"/>
      <c r="H45" s="177"/>
      <c r="L45" s="5" t="s">
        <v>64</v>
      </c>
    </row>
    <row r="46" spans="1:12" ht="30.95" customHeight="1">
      <c r="A46" s="1" t="s">
        <v>4</v>
      </c>
      <c r="B46" s="57" t="s">
        <v>59</v>
      </c>
      <c r="C46" s="175"/>
      <c r="D46" s="175"/>
      <c r="E46" s="175"/>
      <c r="F46" s="175"/>
      <c r="G46" s="176"/>
      <c r="H46" s="177"/>
    </row>
    <row r="47" spans="1:12" ht="30" customHeight="1">
      <c r="A47" s="1" t="s">
        <v>5</v>
      </c>
      <c r="B47" s="57" t="s">
        <v>59</v>
      </c>
      <c r="C47" s="175"/>
      <c r="D47" s="175"/>
      <c r="E47" s="175"/>
      <c r="F47" s="175"/>
      <c r="G47" s="176"/>
      <c r="H47" s="177"/>
    </row>
    <row r="48" spans="1:12" ht="30" customHeight="1">
      <c r="A48" s="1" t="s">
        <v>6</v>
      </c>
      <c r="B48" s="57" t="s">
        <v>59</v>
      </c>
      <c r="C48" s="175"/>
      <c r="D48" s="175"/>
      <c r="E48" s="175"/>
      <c r="F48" s="175"/>
      <c r="G48" s="176"/>
      <c r="H48" s="177"/>
    </row>
    <row r="49" spans="1:8" ht="30" customHeight="1">
      <c r="A49" s="1"/>
      <c r="B49" s="14"/>
      <c r="C49" s="175"/>
      <c r="D49" s="175"/>
      <c r="E49" s="175"/>
      <c r="F49" s="175"/>
      <c r="G49" s="176"/>
      <c r="H49" s="177"/>
    </row>
    <row r="50" spans="1:8" ht="30" customHeight="1">
      <c r="A50" s="2"/>
      <c r="B50" s="14"/>
      <c r="C50" s="175"/>
      <c r="D50" s="175"/>
      <c r="E50" s="175"/>
      <c r="F50" s="175"/>
      <c r="G50" s="176"/>
      <c r="H50" s="177"/>
    </row>
    <row r="51" spans="1:8">
      <c r="A51" s="30"/>
      <c r="B51" s="18" t="s">
        <v>27</v>
      </c>
      <c r="C51" s="18" t="s">
        <v>28</v>
      </c>
      <c r="D51" s="18" t="s">
        <v>65</v>
      </c>
      <c r="E51" s="18" t="s">
        <v>30</v>
      </c>
      <c r="F51" s="18" t="s">
        <v>66</v>
      </c>
      <c r="G51" s="18" t="s">
        <v>32</v>
      </c>
      <c r="H51" s="18" t="s">
        <v>33</v>
      </c>
    </row>
    <row r="52" spans="1:8">
      <c r="A52" s="38" t="s">
        <v>67</v>
      </c>
      <c r="B52" s="15"/>
      <c r="C52" s="20"/>
      <c r="D52" s="20"/>
      <c r="E52" s="20"/>
      <c r="F52" s="20"/>
      <c r="G52" s="20"/>
      <c r="H52" s="15"/>
    </row>
    <row r="53" spans="1:8" customFormat="1" ht="15.75">
      <c r="A53" s="48" t="s">
        <v>68</v>
      </c>
      <c r="B53" s="22"/>
      <c r="C53" s="21"/>
      <c r="D53" s="21"/>
      <c r="E53" s="21"/>
      <c r="F53" s="21"/>
      <c r="G53" s="23" t="s">
        <v>37</v>
      </c>
      <c r="H53" s="23">
        <f>SUM(B52:H52)</f>
        <v>0</v>
      </c>
    </row>
    <row r="54" spans="1:8">
      <c r="A54" s="30"/>
      <c r="B54" s="18" t="s">
        <v>27</v>
      </c>
      <c r="C54" s="18" t="s">
        <v>28</v>
      </c>
      <c r="D54" s="18" t="s">
        <v>65</v>
      </c>
      <c r="E54" s="18" t="s">
        <v>30</v>
      </c>
      <c r="F54" s="18" t="s">
        <v>66</v>
      </c>
      <c r="G54" s="18" t="s">
        <v>32</v>
      </c>
      <c r="H54" s="18" t="s">
        <v>33</v>
      </c>
    </row>
    <row r="55" spans="1:8">
      <c r="A55" s="38" t="s">
        <v>69</v>
      </c>
      <c r="B55" s="51"/>
      <c r="C55" s="52"/>
      <c r="D55" s="52"/>
      <c r="E55" s="52"/>
      <c r="F55" s="52"/>
      <c r="G55" s="20"/>
      <c r="H55" s="15"/>
    </row>
    <row r="56" spans="1:8" customFormat="1" ht="15.75">
      <c r="A56" s="49" t="s">
        <v>70</v>
      </c>
      <c r="B56" s="53"/>
      <c r="C56" s="53" t="s">
        <v>71</v>
      </c>
      <c r="D56" s="54"/>
      <c r="E56" s="54"/>
      <c r="F56" s="55"/>
      <c r="G56" s="50" t="s">
        <v>37</v>
      </c>
      <c r="H56" s="23"/>
    </row>
    <row r="57" spans="1:8">
      <c r="H57" s="16"/>
    </row>
    <row r="58" spans="1:8">
      <c r="H58" s="16"/>
    </row>
    <row r="59" spans="1:8">
      <c r="H59" s="16"/>
    </row>
    <row r="60" spans="1:8">
      <c r="H60" s="16"/>
    </row>
    <row r="61" spans="1:8">
      <c r="H61" s="16"/>
    </row>
    <row r="62" spans="1:8">
      <c r="H62" s="16"/>
    </row>
    <row r="63" spans="1:8">
      <c r="H63" s="16"/>
    </row>
    <row r="64" spans="1:8">
      <c r="B64" s="5"/>
      <c r="H64" s="16"/>
    </row>
    <row r="65" spans="2:8">
      <c r="B65" s="5"/>
      <c r="H65" s="16"/>
    </row>
    <row r="66" spans="2:8">
      <c r="B66" s="5"/>
      <c r="H66" s="16"/>
    </row>
    <row r="67" spans="2:8">
      <c r="B67" s="5"/>
      <c r="H67" s="16"/>
    </row>
    <row r="68" spans="2:8">
      <c r="B68" s="5"/>
      <c r="H68" s="16"/>
    </row>
    <row r="69" spans="2:8">
      <c r="B69" s="5"/>
      <c r="H69" s="16"/>
    </row>
    <row r="70" spans="2:8">
      <c r="B70" s="5"/>
      <c r="H70" s="16"/>
    </row>
    <row r="71" spans="2:8">
      <c r="B71" s="5"/>
      <c r="H71" s="16"/>
    </row>
    <row r="72" spans="2:8">
      <c r="B72" s="5"/>
      <c r="H72" s="16"/>
    </row>
    <row r="73" spans="2:8">
      <c r="B73" s="5"/>
      <c r="H73" s="16"/>
    </row>
    <row r="74" spans="2:8">
      <c r="B74" s="5"/>
      <c r="H74" s="16"/>
    </row>
    <row r="75" spans="2:8">
      <c r="B75" s="5"/>
      <c r="H75" s="16"/>
    </row>
    <row r="76" spans="2:8">
      <c r="B76" s="5"/>
      <c r="H76" s="16"/>
    </row>
    <row r="77" spans="2:8">
      <c r="B77" s="5"/>
      <c r="H77" s="16"/>
    </row>
    <row r="78" spans="2:8">
      <c r="B78" s="5"/>
      <c r="H78" s="16"/>
    </row>
    <row r="79" spans="2:8">
      <c r="B79" s="5"/>
      <c r="H79" s="16"/>
    </row>
    <row r="80" spans="2:8">
      <c r="B80" s="5"/>
      <c r="H80" s="16"/>
    </row>
    <row r="81" spans="2:8">
      <c r="B81" s="5"/>
      <c r="H81" s="16"/>
    </row>
    <row r="82" spans="2:8">
      <c r="B82" s="5"/>
      <c r="H82" s="16"/>
    </row>
    <row r="83" spans="2:8">
      <c r="B83" s="5"/>
      <c r="H83" s="16"/>
    </row>
    <row r="84" spans="2:8">
      <c r="B84" s="5"/>
      <c r="H84" s="16"/>
    </row>
    <row r="85" spans="2:8">
      <c r="B85" s="5"/>
      <c r="H85" s="16"/>
    </row>
    <row r="86" spans="2:8">
      <c r="B86" s="5"/>
      <c r="H86" s="16"/>
    </row>
    <row r="87" spans="2:8">
      <c r="B87" s="5"/>
      <c r="H87" s="16"/>
    </row>
    <row r="88" spans="2:8">
      <c r="B88" s="5"/>
      <c r="H88" s="16"/>
    </row>
    <row r="89" spans="2:8">
      <c r="B89" s="5"/>
      <c r="H89" s="16"/>
    </row>
    <row r="90" spans="2:8">
      <c r="B90" s="5"/>
      <c r="H90" s="16"/>
    </row>
    <row r="91" spans="2:8">
      <c r="B91" s="5"/>
      <c r="H91" s="16"/>
    </row>
    <row r="92" spans="2:8">
      <c r="B92" s="5"/>
      <c r="H92" s="16"/>
    </row>
    <row r="93" spans="2:8">
      <c r="B93" s="5"/>
      <c r="H93" s="16"/>
    </row>
    <row r="94" spans="2:8">
      <c r="B94" s="5"/>
      <c r="H94" s="16"/>
    </row>
    <row r="95" spans="2:8">
      <c r="B95" s="5"/>
      <c r="H95" s="16"/>
    </row>
    <row r="96" spans="2:8">
      <c r="B96" s="5"/>
      <c r="H96" s="16"/>
    </row>
    <row r="97" spans="2:8">
      <c r="B97" s="5"/>
      <c r="H97" s="16"/>
    </row>
    <row r="98" spans="2:8">
      <c r="B98" s="5"/>
      <c r="H98" s="16"/>
    </row>
    <row r="99" spans="2:8">
      <c r="B99" s="5"/>
      <c r="H99" s="16"/>
    </row>
    <row r="100" spans="2:8">
      <c r="B100" s="5"/>
      <c r="H100" s="16"/>
    </row>
    <row r="101" spans="2:8">
      <c r="B101" s="5"/>
      <c r="H101" s="16"/>
    </row>
    <row r="102" spans="2:8">
      <c r="B102" s="5"/>
      <c r="H102" s="16"/>
    </row>
    <row r="103" spans="2:8">
      <c r="B103" s="5"/>
      <c r="H103" s="16"/>
    </row>
    <row r="104" spans="2:8">
      <c r="B104" s="5"/>
      <c r="H104" s="16"/>
    </row>
    <row r="105" spans="2:8">
      <c r="B105" s="5"/>
      <c r="H105" s="16"/>
    </row>
    <row r="106" spans="2:8">
      <c r="B106" s="5"/>
      <c r="H106" s="16"/>
    </row>
    <row r="107" spans="2:8">
      <c r="B107" s="5"/>
      <c r="H107" s="16"/>
    </row>
    <row r="108" spans="2:8">
      <c r="B108" s="5"/>
      <c r="H108" s="16"/>
    </row>
    <row r="109" spans="2:8">
      <c r="B109" s="5"/>
      <c r="H109" s="16"/>
    </row>
    <row r="110" spans="2:8">
      <c r="B110" s="5"/>
      <c r="H110" s="16"/>
    </row>
    <row r="111" spans="2:8">
      <c r="B111" s="5"/>
      <c r="H111" s="16"/>
    </row>
    <row r="112" spans="2:8">
      <c r="B112" s="5"/>
      <c r="H112" s="16"/>
    </row>
    <row r="113" spans="2:8">
      <c r="B113" s="5"/>
      <c r="H113" s="16"/>
    </row>
    <row r="114" spans="2:8">
      <c r="B114" s="5"/>
      <c r="H114" s="16"/>
    </row>
    <row r="115" spans="2:8">
      <c r="B115" s="5"/>
      <c r="H115" s="16"/>
    </row>
    <row r="116" spans="2:8">
      <c r="B116" s="5"/>
      <c r="H116" s="16"/>
    </row>
    <row r="117" spans="2:8">
      <c r="B117" s="5"/>
      <c r="H117" s="16"/>
    </row>
    <row r="118" spans="2:8">
      <c r="B118" s="5"/>
      <c r="H118" s="16"/>
    </row>
    <row r="119" spans="2:8">
      <c r="B119" s="5"/>
      <c r="H119" s="16"/>
    </row>
    <row r="120" spans="2:8">
      <c r="B120" s="5"/>
      <c r="H120" s="16"/>
    </row>
    <row r="121" spans="2:8">
      <c r="B121" s="5"/>
      <c r="H121" s="16"/>
    </row>
    <row r="122" spans="2:8">
      <c r="B122" s="5"/>
      <c r="H122" s="16"/>
    </row>
    <row r="123" spans="2:8">
      <c r="B123" s="5"/>
      <c r="H123" s="16"/>
    </row>
    <row r="124" spans="2:8">
      <c r="B124" s="5"/>
      <c r="H124" s="16"/>
    </row>
    <row r="125" spans="2:8">
      <c r="B125" s="5"/>
      <c r="H125" s="16"/>
    </row>
    <row r="126" spans="2:8">
      <c r="B126" s="5"/>
      <c r="H126" s="16"/>
    </row>
    <row r="127" spans="2:8">
      <c r="B127" s="5"/>
      <c r="H127" s="16"/>
    </row>
    <row r="128" spans="2:8">
      <c r="B128" s="5"/>
      <c r="H128" s="16"/>
    </row>
    <row r="129" spans="2:8">
      <c r="B129" s="5"/>
      <c r="H129" s="16"/>
    </row>
    <row r="130" spans="2:8">
      <c r="B130" s="5"/>
      <c r="H130" s="16"/>
    </row>
    <row r="131" spans="2:8">
      <c r="B131" s="5"/>
      <c r="H131" s="16"/>
    </row>
    <row r="132" spans="2:8">
      <c r="B132" s="5"/>
      <c r="H132" s="16"/>
    </row>
    <row r="133" spans="2:8">
      <c r="B133" s="5"/>
      <c r="H133" s="16"/>
    </row>
    <row r="134" spans="2:8">
      <c r="B134" s="5"/>
      <c r="H134" s="16"/>
    </row>
    <row r="135" spans="2:8">
      <c r="B135" s="5"/>
      <c r="H135" s="16"/>
    </row>
    <row r="136" spans="2:8">
      <c r="B136" s="5"/>
      <c r="H136" s="16"/>
    </row>
    <row r="137" spans="2:8">
      <c r="B137" s="5"/>
      <c r="H137" s="16"/>
    </row>
    <row r="138" spans="2:8">
      <c r="B138" s="5"/>
      <c r="H138" s="16"/>
    </row>
    <row r="139" spans="2:8">
      <c r="B139" s="5"/>
      <c r="H139" s="16"/>
    </row>
    <row r="140" spans="2:8">
      <c r="B140" s="5"/>
      <c r="H140" s="16"/>
    </row>
    <row r="141" spans="2:8">
      <c r="B141" s="5"/>
      <c r="H141" s="16"/>
    </row>
    <row r="142" spans="2:8">
      <c r="B142" s="5"/>
      <c r="H142" s="16"/>
    </row>
    <row r="143" spans="2:8">
      <c r="B143" s="5"/>
      <c r="H143" s="16"/>
    </row>
    <row r="144" spans="2:8">
      <c r="B144" s="5"/>
      <c r="H144" s="16"/>
    </row>
    <row r="145" spans="2:8">
      <c r="B145" s="5"/>
      <c r="H145" s="16"/>
    </row>
    <row r="146" spans="2:8">
      <c r="B146" s="5"/>
      <c r="H146" s="16"/>
    </row>
    <row r="147" spans="2:8">
      <c r="B147" s="5"/>
      <c r="H147" s="16"/>
    </row>
    <row r="148" spans="2:8">
      <c r="B148" s="5"/>
      <c r="H148" s="16"/>
    </row>
    <row r="149" spans="2:8">
      <c r="B149" s="5"/>
      <c r="H149" s="16"/>
    </row>
    <row r="150" spans="2:8">
      <c r="B150" s="5"/>
      <c r="H150" s="16"/>
    </row>
    <row r="151" spans="2:8">
      <c r="B151" s="5"/>
      <c r="H151" s="16"/>
    </row>
    <row r="152" spans="2:8">
      <c r="B152" s="5"/>
      <c r="H152" s="16"/>
    </row>
    <row r="153" spans="2:8">
      <c r="B153" s="5"/>
      <c r="H153" s="16"/>
    </row>
    <row r="154" spans="2:8">
      <c r="B154" s="5"/>
      <c r="H154" s="16"/>
    </row>
    <row r="155" spans="2:8">
      <c r="B155" s="5"/>
      <c r="H155" s="16"/>
    </row>
    <row r="156" spans="2:8">
      <c r="B156" s="5"/>
      <c r="H156" s="16"/>
    </row>
    <row r="157" spans="2:8">
      <c r="B157" s="5"/>
      <c r="H157" s="16"/>
    </row>
    <row r="158" spans="2:8">
      <c r="B158" s="5"/>
      <c r="H158" s="16"/>
    </row>
    <row r="159" spans="2:8">
      <c r="B159" s="5"/>
      <c r="H159" s="16"/>
    </row>
    <row r="160" spans="2:8">
      <c r="B160" s="5"/>
      <c r="H160" s="16"/>
    </row>
    <row r="161" spans="2:8">
      <c r="B161" s="5"/>
      <c r="H161" s="16"/>
    </row>
    <row r="162" spans="2:8">
      <c r="B162" s="5"/>
      <c r="H162" s="16"/>
    </row>
    <row r="163" spans="2:8">
      <c r="B163" s="5"/>
      <c r="H163" s="16"/>
    </row>
    <row r="164" spans="2:8">
      <c r="B164" s="5"/>
      <c r="H164" s="16"/>
    </row>
    <row r="165" spans="2:8">
      <c r="B165" s="5"/>
      <c r="H165" s="16"/>
    </row>
    <row r="166" spans="2:8">
      <c r="B166" s="5"/>
      <c r="H166" s="16"/>
    </row>
    <row r="167" spans="2:8">
      <c r="B167" s="5"/>
      <c r="H167" s="16"/>
    </row>
    <row r="168" spans="2:8">
      <c r="B168" s="5"/>
      <c r="H168" s="16"/>
    </row>
    <row r="169" spans="2:8">
      <c r="B169" s="5"/>
      <c r="H169" s="16"/>
    </row>
    <row r="170" spans="2:8">
      <c r="B170" s="5"/>
      <c r="H170" s="16"/>
    </row>
    <row r="171" spans="2:8">
      <c r="B171" s="5"/>
      <c r="H171" s="16"/>
    </row>
    <row r="172" spans="2:8">
      <c r="B172" s="5"/>
      <c r="H172" s="16"/>
    </row>
    <row r="173" spans="2:8">
      <c r="B173" s="5"/>
      <c r="H173" s="16"/>
    </row>
    <row r="174" spans="2:8">
      <c r="B174" s="5"/>
      <c r="H174" s="16"/>
    </row>
    <row r="175" spans="2:8">
      <c r="B175" s="5"/>
      <c r="H175" s="16"/>
    </row>
    <row r="176" spans="2:8">
      <c r="B176" s="5"/>
      <c r="H176" s="16"/>
    </row>
    <row r="177" spans="2:8">
      <c r="B177" s="5"/>
      <c r="H177" s="16"/>
    </row>
    <row r="178" spans="2:8">
      <c r="B178" s="5"/>
      <c r="H178" s="16"/>
    </row>
    <row r="179" spans="2:8">
      <c r="B179" s="5"/>
      <c r="H179" s="16"/>
    </row>
    <row r="180" spans="2:8">
      <c r="B180" s="5"/>
      <c r="H180" s="16"/>
    </row>
    <row r="181" spans="2:8">
      <c r="B181" s="5"/>
      <c r="H181" s="16"/>
    </row>
    <row r="182" spans="2:8">
      <c r="B182" s="5"/>
      <c r="H182" s="16"/>
    </row>
    <row r="183" spans="2:8">
      <c r="B183" s="5"/>
      <c r="H183" s="16"/>
    </row>
    <row r="184" spans="2:8">
      <c r="B184" s="5"/>
      <c r="H184" s="16"/>
    </row>
    <row r="185" spans="2:8">
      <c r="B185" s="5"/>
      <c r="H185" s="16"/>
    </row>
    <row r="186" spans="2:8">
      <c r="B186" s="5"/>
      <c r="H186" s="16"/>
    </row>
    <row r="187" spans="2:8">
      <c r="B187" s="5"/>
      <c r="H187" s="16"/>
    </row>
    <row r="188" spans="2:8">
      <c r="B188" s="5"/>
      <c r="H188" s="16"/>
    </row>
    <row r="189" spans="2:8">
      <c r="B189" s="5"/>
      <c r="H189" s="16"/>
    </row>
    <row r="190" spans="2:8">
      <c r="B190" s="5"/>
      <c r="H190" s="16"/>
    </row>
    <row r="191" spans="2:8">
      <c r="B191" s="5"/>
      <c r="H191" s="16"/>
    </row>
    <row r="192" spans="2:8">
      <c r="B192" s="5"/>
      <c r="H192" s="16"/>
    </row>
    <row r="193" spans="2:8">
      <c r="B193" s="5"/>
      <c r="H193" s="16"/>
    </row>
    <row r="194" spans="2:8">
      <c r="B194" s="5"/>
      <c r="H194" s="16"/>
    </row>
    <row r="195" spans="2:8">
      <c r="B195" s="5"/>
      <c r="H195" s="16"/>
    </row>
    <row r="196" spans="2:8">
      <c r="B196" s="5"/>
      <c r="H196" s="16"/>
    </row>
    <row r="197" spans="2:8">
      <c r="B197" s="5"/>
      <c r="H197" s="16"/>
    </row>
    <row r="198" spans="2:8">
      <c r="B198" s="5"/>
      <c r="H198" s="16"/>
    </row>
    <row r="199" spans="2:8">
      <c r="B199" s="5"/>
      <c r="H199" s="16"/>
    </row>
    <row r="200" spans="2:8">
      <c r="B200" s="5"/>
      <c r="H200" s="16"/>
    </row>
    <row r="201" spans="2:8">
      <c r="B201" s="5"/>
      <c r="H201" s="16"/>
    </row>
    <row r="202" spans="2:8">
      <c r="B202" s="5"/>
      <c r="H202" s="16"/>
    </row>
    <row r="203" spans="2:8">
      <c r="B203" s="5"/>
      <c r="H203" s="16"/>
    </row>
    <row r="204" spans="2:8">
      <c r="B204" s="5"/>
      <c r="H204" s="16"/>
    </row>
    <row r="205" spans="2:8">
      <c r="B205" s="5"/>
      <c r="H205" s="16"/>
    </row>
    <row r="206" spans="2:8">
      <c r="B206" s="5"/>
      <c r="H206" s="16"/>
    </row>
    <row r="207" spans="2:8">
      <c r="B207" s="5"/>
      <c r="H207" s="16"/>
    </row>
    <row r="208" spans="2:8">
      <c r="B208" s="5"/>
      <c r="H208" s="16"/>
    </row>
    <row r="209" spans="2:8">
      <c r="B209" s="5"/>
      <c r="H209" s="16"/>
    </row>
    <row r="210" spans="2:8">
      <c r="B210" s="5"/>
      <c r="H210" s="16"/>
    </row>
    <row r="211" spans="2:8">
      <c r="B211" s="5"/>
      <c r="H211" s="16"/>
    </row>
    <row r="212" spans="2:8">
      <c r="B212" s="5"/>
      <c r="H212" s="16"/>
    </row>
    <row r="213" spans="2:8">
      <c r="B213" s="5"/>
      <c r="H213" s="16"/>
    </row>
    <row r="214" spans="2:8">
      <c r="B214" s="5"/>
      <c r="H214" s="16"/>
    </row>
    <row r="215" spans="2:8">
      <c r="B215" s="5"/>
      <c r="H215" s="16"/>
    </row>
    <row r="216" spans="2:8">
      <c r="B216" s="5"/>
      <c r="H216" s="16"/>
    </row>
    <row r="217" spans="2:8">
      <c r="B217" s="5"/>
      <c r="H217" s="16"/>
    </row>
    <row r="218" spans="2:8">
      <c r="B218" s="5"/>
      <c r="H218" s="16"/>
    </row>
    <row r="219" spans="2:8">
      <c r="B219" s="5"/>
      <c r="H219" s="16"/>
    </row>
    <row r="220" spans="2:8">
      <c r="B220" s="5"/>
      <c r="H220" s="16"/>
    </row>
    <row r="221" spans="2:8">
      <c r="B221" s="5"/>
      <c r="H221" s="16"/>
    </row>
    <row r="222" spans="2:8">
      <c r="B222" s="5"/>
      <c r="H222" s="16"/>
    </row>
    <row r="223" spans="2:8">
      <c r="B223" s="5"/>
      <c r="H223" s="16"/>
    </row>
    <row r="224" spans="2:8">
      <c r="B224" s="5"/>
      <c r="H224" s="16"/>
    </row>
    <row r="225" spans="2:8">
      <c r="B225" s="5"/>
      <c r="H225" s="16"/>
    </row>
    <row r="226" spans="2:8">
      <c r="B226" s="5"/>
      <c r="H226" s="16"/>
    </row>
    <row r="227" spans="2:8">
      <c r="B227" s="5"/>
      <c r="H227" s="16"/>
    </row>
    <row r="228" spans="2:8">
      <c r="B228" s="5"/>
      <c r="H228" s="16"/>
    </row>
    <row r="229" spans="2:8">
      <c r="B229" s="5"/>
      <c r="H229" s="16"/>
    </row>
    <row r="230" spans="2:8">
      <c r="B230" s="5"/>
      <c r="H230" s="16"/>
    </row>
    <row r="231" spans="2:8">
      <c r="B231" s="5"/>
      <c r="H231" s="16"/>
    </row>
    <row r="232" spans="2:8">
      <c r="B232" s="5"/>
      <c r="H232" s="16"/>
    </row>
    <row r="233" spans="2:8">
      <c r="B233" s="5"/>
      <c r="H233" s="16"/>
    </row>
    <row r="234" spans="2:8">
      <c r="B234" s="5"/>
      <c r="H234" s="16"/>
    </row>
    <row r="235" spans="2:8">
      <c r="B235" s="5"/>
      <c r="H235" s="16"/>
    </row>
    <row r="236" spans="2:8">
      <c r="B236" s="5"/>
      <c r="H236" s="16"/>
    </row>
    <row r="237" spans="2:8">
      <c r="B237" s="5"/>
      <c r="H237" s="16"/>
    </row>
    <row r="238" spans="2:8">
      <c r="B238" s="5"/>
      <c r="H238" s="16"/>
    </row>
    <row r="239" spans="2:8">
      <c r="B239" s="5"/>
      <c r="H239" s="16"/>
    </row>
    <row r="240" spans="2:8">
      <c r="B240" s="5"/>
      <c r="H240" s="16"/>
    </row>
    <row r="241" spans="2:8">
      <c r="B241" s="5"/>
      <c r="H241" s="16"/>
    </row>
    <row r="242" spans="2:8">
      <c r="B242" s="5"/>
      <c r="H242" s="16"/>
    </row>
    <row r="243" spans="2:8">
      <c r="B243" s="5"/>
      <c r="H243" s="16"/>
    </row>
    <row r="244" spans="2:8">
      <c r="B244" s="5"/>
      <c r="H244" s="16"/>
    </row>
    <row r="245" spans="2:8">
      <c r="B245" s="5"/>
      <c r="H245" s="16"/>
    </row>
    <row r="246" spans="2:8">
      <c r="B246" s="5"/>
      <c r="H246" s="16"/>
    </row>
    <row r="247" spans="2:8">
      <c r="B247" s="5"/>
      <c r="H247" s="16"/>
    </row>
    <row r="248" spans="2:8">
      <c r="B248" s="5"/>
      <c r="H248" s="16"/>
    </row>
    <row r="249" spans="2:8">
      <c r="B249" s="5"/>
      <c r="H249" s="16"/>
    </row>
    <row r="250" spans="2:8">
      <c r="B250" s="5"/>
      <c r="H250" s="16"/>
    </row>
    <row r="251" spans="2:8">
      <c r="B251" s="5"/>
      <c r="H251" s="16"/>
    </row>
    <row r="252" spans="2:8">
      <c r="B252" s="5"/>
      <c r="H252" s="16"/>
    </row>
    <row r="253" spans="2:8">
      <c r="B253" s="5"/>
      <c r="H253" s="16"/>
    </row>
    <row r="254" spans="2:8">
      <c r="B254" s="5"/>
      <c r="H254" s="16"/>
    </row>
    <row r="255" spans="2:8">
      <c r="B255" s="5"/>
      <c r="H255" s="16"/>
    </row>
    <row r="256" spans="2:8">
      <c r="B256" s="5"/>
      <c r="H256" s="16"/>
    </row>
    <row r="257" spans="2:8">
      <c r="B257" s="5"/>
      <c r="H257" s="16"/>
    </row>
    <row r="258" spans="2:8">
      <c r="B258" s="5"/>
      <c r="H258" s="16"/>
    </row>
    <row r="259" spans="2:8">
      <c r="B259" s="5"/>
      <c r="H259" s="16"/>
    </row>
    <row r="260" spans="2:8">
      <c r="B260" s="5"/>
      <c r="H260" s="16"/>
    </row>
    <row r="261" spans="2:8">
      <c r="B261" s="5"/>
      <c r="H261" s="16"/>
    </row>
    <row r="262" spans="2:8">
      <c r="B262" s="5"/>
      <c r="H262" s="16"/>
    </row>
    <row r="263" spans="2:8">
      <c r="B263" s="5"/>
      <c r="H263" s="16"/>
    </row>
    <row r="264" spans="2:8">
      <c r="B264" s="5"/>
      <c r="H264" s="16"/>
    </row>
    <row r="265" spans="2:8">
      <c r="B265" s="5"/>
      <c r="H265" s="16"/>
    </row>
    <row r="266" spans="2:8">
      <c r="B266" s="5"/>
      <c r="H266" s="16"/>
    </row>
    <row r="267" spans="2:8">
      <c r="B267" s="5"/>
      <c r="H267" s="16"/>
    </row>
    <row r="268" spans="2:8">
      <c r="B268" s="5"/>
      <c r="H268" s="16"/>
    </row>
    <row r="269" spans="2:8">
      <c r="B269" s="5"/>
      <c r="H269" s="16"/>
    </row>
    <row r="270" spans="2:8">
      <c r="B270" s="5"/>
      <c r="H270" s="16"/>
    </row>
    <row r="271" spans="2:8">
      <c r="B271" s="5"/>
      <c r="H271" s="16"/>
    </row>
    <row r="272" spans="2:8">
      <c r="B272" s="5"/>
      <c r="H272" s="16"/>
    </row>
    <row r="273" spans="2:8">
      <c r="B273" s="5"/>
      <c r="H273" s="16"/>
    </row>
    <row r="274" spans="2:8">
      <c r="B274" s="5"/>
      <c r="H274" s="16"/>
    </row>
    <row r="275" spans="2:8">
      <c r="B275" s="5"/>
      <c r="H275" s="16"/>
    </row>
    <row r="276" spans="2:8">
      <c r="B276" s="5"/>
      <c r="H276" s="16"/>
    </row>
    <row r="277" spans="2:8">
      <c r="B277" s="5"/>
      <c r="H277" s="16"/>
    </row>
    <row r="278" spans="2:8">
      <c r="B278" s="5"/>
      <c r="H278" s="16"/>
    </row>
    <row r="279" spans="2:8">
      <c r="B279" s="5"/>
      <c r="H279" s="16"/>
    </row>
    <row r="280" spans="2:8">
      <c r="B280" s="5"/>
      <c r="H280" s="16"/>
    </row>
    <row r="281" spans="2:8">
      <c r="B281" s="5"/>
      <c r="H281" s="16"/>
    </row>
    <row r="282" spans="2:8">
      <c r="B282" s="5"/>
      <c r="H282" s="16"/>
    </row>
    <row r="283" spans="2:8">
      <c r="B283" s="5"/>
      <c r="H283" s="16"/>
    </row>
    <row r="284" spans="2:8">
      <c r="B284" s="5"/>
      <c r="H284" s="16"/>
    </row>
    <row r="285" spans="2:8">
      <c r="B285" s="5"/>
      <c r="H285" s="16"/>
    </row>
    <row r="286" spans="2:8">
      <c r="B286" s="5"/>
      <c r="H286" s="16"/>
    </row>
    <row r="287" spans="2:8">
      <c r="B287" s="5"/>
      <c r="H287" s="16"/>
    </row>
    <row r="288" spans="2:8">
      <c r="B288" s="5"/>
      <c r="H288" s="16"/>
    </row>
    <row r="289" spans="2:8">
      <c r="B289" s="5"/>
      <c r="H289" s="16"/>
    </row>
    <row r="290" spans="2:8">
      <c r="B290" s="5"/>
      <c r="H290" s="16"/>
    </row>
    <row r="291" spans="2:8">
      <c r="B291" s="5"/>
      <c r="H291" s="16"/>
    </row>
    <row r="292" spans="2:8">
      <c r="B292" s="5"/>
      <c r="H292" s="16"/>
    </row>
    <row r="293" spans="2:8">
      <c r="B293" s="5"/>
      <c r="H293" s="16"/>
    </row>
    <row r="294" spans="2:8">
      <c r="B294" s="5"/>
      <c r="H294" s="16"/>
    </row>
    <row r="295" spans="2:8">
      <c r="B295" s="5"/>
      <c r="H295" s="16"/>
    </row>
    <row r="296" spans="2:8">
      <c r="B296" s="5"/>
      <c r="H296" s="16"/>
    </row>
    <row r="297" spans="2:8">
      <c r="B297" s="5"/>
      <c r="H297" s="16"/>
    </row>
    <row r="298" spans="2:8">
      <c r="B298" s="5"/>
      <c r="H298" s="16"/>
    </row>
    <row r="299" spans="2:8">
      <c r="B299" s="5"/>
      <c r="H299" s="16"/>
    </row>
    <row r="300" spans="2:8">
      <c r="B300" s="5"/>
      <c r="H300" s="16"/>
    </row>
    <row r="301" spans="2:8">
      <c r="B301" s="5"/>
      <c r="H301" s="16"/>
    </row>
    <row r="302" spans="2:8">
      <c r="B302" s="5"/>
      <c r="H302" s="16"/>
    </row>
    <row r="303" spans="2:8">
      <c r="B303" s="5"/>
      <c r="H303" s="16"/>
    </row>
    <row r="304" spans="2:8">
      <c r="B304" s="5"/>
      <c r="H304" s="16"/>
    </row>
    <row r="305" spans="2:8">
      <c r="B305" s="5"/>
      <c r="H305" s="16"/>
    </row>
    <row r="306" spans="2:8">
      <c r="B306" s="5"/>
      <c r="H306" s="16"/>
    </row>
    <row r="307" spans="2:8">
      <c r="B307" s="5"/>
      <c r="H307" s="16"/>
    </row>
    <row r="308" spans="2:8">
      <c r="B308" s="5"/>
      <c r="H308" s="16"/>
    </row>
    <row r="309" spans="2:8">
      <c r="B309" s="5"/>
      <c r="H309" s="16"/>
    </row>
    <row r="310" spans="2:8">
      <c r="B310" s="5"/>
      <c r="H310" s="16"/>
    </row>
    <row r="311" spans="2:8">
      <c r="B311" s="5"/>
      <c r="H311" s="16"/>
    </row>
    <row r="312" spans="2:8">
      <c r="B312" s="5"/>
      <c r="H312" s="16"/>
    </row>
    <row r="313" spans="2:8">
      <c r="B313" s="5"/>
      <c r="H313" s="16"/>
    </row>
    <row r="314" spans="2:8">
      <c r="B314" s="5"/>
      <c r="H314" s="16"/>
    </row>
    <row r="315" spans="2:8">
      <c r="B315" s="5"/>
      <c r="H315" s="16"/>
    </row>
    <row r="316" spans="2:8">
      <c r="B316" s="5"/>
      <c r="H316" s="16"/>
    </row>
    <row r="317" spans="2:8">
      <c r="B317" s="5"/>
      <c r="H317" s="16"/>
    </row>
    <row r="318" spans="2:8">
      <c r="B318" s="5"/>
      <c r="H318" s="16"/>
    </row>
    <row r="319" spans="2:8">
      <c r="B319" s="5"/>
      <c r="H319" s="16"/>
    </row>
    <row r="320" spans="2:8">
      <c r="B320" s="5"/>
      <c r="H320" s="16"/>
    </row>
    <row r="321" spans="2:8">
      <c r="B321" s="5"/>
      <c r="H321" s="16"/>
    </row>
    <row r="322" spans="2:8">
      <c r="B322" s="5"/>
      <c r="H322" s="16"/>
    </row>
    <row r="323" spans="2:8">
      <c r="B323" s="5"/>
      <c r="H323" s="16"/>
    </row>
    <row r="324" spans="2:8">
      <c r="B324" s="5"/>
      <c r="H324" s="16"/>
    </row>
    <row r="325" spans="2:8">
      <c r="B325" s="5"/>
      <c r="H325" s="16"/>
    </row>
    <row r="326" spans="2:8">
      <c r="B326" s="5"/>
      <c r="H326" s="16"/>
    </row>
    <row r="327" spans="2:8">
      <c r="B327" s="5"/>
      <c r="H327" s="16"/>
    </row>
    <row r="328" spans="2:8">
      <c r="B328" s="5"/>
      <c r="H328" s="16"/>
    </row>
    <row r="329" spans="2:8">
      <c r="B329" s="5"/>
      <c r="H329" s="16"/>
    </row>
    <row r="330" spans="2:8">
      <c r="B330" s="5"/>
      <c r="H330" s="16"/>
    </row>
    <row r="331" spans="2:8">
      <c r="B331" s="5"/>
      <c r="H331" s="16"/>
    </row>
    <row r="332" spans="2:8">
      <c r="B332" s="5"/>
      <c r="H332" s="16"/>
    </row>
    <row r="333" spans="2:8">
      <c r="B333" s="5"/>
      <c r="H333" s="16"/>
    </row>
    <row r="334" spans="2:8">
      <c r="B334" s="5"/>
      <c r="H334" s="16"/>
    </row>
    <row r="335" spans="2:8">
      <c r="B335" s="5"/>
      <c r="H335" s="16"/>
    </row>
    <row r="336" spans="2:8">
      <c r="B336" s="5"/>
      <c r="H336" s="16"/>
    </row>
    <row r="337" spans="2:8">
      <c r="B337" s="5"/>
      <c r="H337" s="16"/>
    </row>
    <row r="338" spans="2:8">
      <c r="B338" s="5"/>
      <c r="H338" s="16"/>
    </row>
    <row r="339" spans="2:8">
      <c r="B339" s="5"/>
      <c r="H339" s="16"/>
    </row>
    <row r="340" spans="2:8">
      <c r="B340" s="5"/>
      <c r="H340" s="16"/>
    </row>
    <row r="341" spans="2:8">
      <c r="B341" s="5"/>
      <c r="H341" s="16"/>
    </row>
    <row r="342" spans="2:8">
      <c r="B342" s="5"/>
      <c r="H342" s="16"/>
    </row>
    <row r="343" spans="2:8">
      <c r="B343" s="5"/>
      <c r="H343" s="16"/>
    </row>
    <row r="344" spans="2:8">
      <c r="B344" s="5"/>
      <c r="H344" s="16"/>
    </row>
    <row r="345" spans="2:8">
      <c r="B345" s="5"/>
      <c r="H345" s="16"/>
    </row>
    <row r="346" spans="2:8">
      <c r="B346" s="5"/>
      <c r="H346" s="16"/>
    </row>
    <row r="347" spans="2:8">
      <c r="B347" s="5"/>
      <c r="H347" s="16"/>
    </row>
    <row r="348" spans="2:8">
      <c r="B348" s="5"/>
      <c r="H348" s="16"/>
    </row>
    <row r="349" spans="2:8">
      <c r="B349" s="5"/>
      <c r="H349" s="16"/>
    </row>
    <row r="350" spans="2:8">
      <c r="B350" s="5"/>
      <c r="H350" s="16"/>
    </row>
    <row r="351" spans="2:8">
      <c r="B351" s="5"/>
      <c r="H351" s="16"/>
    </row>
    <row r="352" spans="2:8">
      <c r="B352" s="5"/>
      <c r="H352" s="16"/>
    </row>
    <row r="353" spans="2:8">
      <c r="B353" s="5"/>
      <c r="H353" s="16"/>
    </row>
    <row r="354" spans="2:8">
      <c r="B354" s="5"/>
      <c r="H354" s="16"/>
    </row>
    <row r="355" spans="2:8">
      <c r="B355" s="5"/>
      <c r="H355" s="16"/>
    </row>
    <row r="356" spans="2:8">
      <c r="B356" s="5"/>
      <c r="H356" s="16"/>
    </row>
    <row r="357" spans="2:8">
      <c r="B357" s="5"/>
      <c r="H357" s="16"/>
    </row>
    <row r="358" spans="2:8">
      <c r="B358" s="5"/>
      <c r="H358" s="16"/>
    </row>
    <row r="359" spans="2:8">
      <c r="B359" s="5"/>
      <c r="H359" s="16"/>
    </row>
    <row r="360" spans="2:8">
      <c r="B360" s="5"/>
      <c r="H360" s="16"/>
    </row>
    <row r="361" spans="2:8">
      <c r="B361" s="5"/>
      <c r="H361" s="16"/>
    </row>
    <row r="362" spans="2:8">
      <c r="B362" s="5"/>
      <c r="H362" s="16"/>
    </row>
    <row r="363" spans="2:8">
      <c r="B363" s="5"/>
      <c r="H363" s="16"/>
    </row>
    <row r="364" spans="2:8">
      <c r="B364" s="5"/>
      <c r="H364" s="16"/>
    </row>
    <row r="365" spans="2:8">
      <c r="B365" s="5"/>
      <c r="H365" s="16"/>
    </row>
    <row r="366" spans="2:8">
      <c r="B366" s="5"/>
      <c r="H366" s="16"/>
    </row>
    <row r="367" spans="2:8">
      <c r="B367" s="5"/>
      <c r="H367" s="16"/>
    </row>
    <row r="368" spans="2:8">
      <c r="B368" s="5"/>
      <c r="H368" s="16"/>
    </row>
    <row r="369" spans="2:8">
      <c r="B369" s="5"/>
      <c r="H369" s="16"/>
    </row>
    <row r="370" spans="2:8">
      <c r="B370" s="5"/>
      <c r="H370" s="16"/>
    </row>
    <row r="371" spans="2:8">
      <c r="B371" s="5"/>
      <c r="H371" s="16"/>
    </row>
    <row r="372" spans="2:8">
      <c r="B372" s="5"/>
      <c r="H372" s="16"/>
    </row>
    <row r="373" spans="2:8">
      <c r="B373" s="5"/>
      <c r="H373" s="16"/>
    </row>
    <row r="374" spans="2:8">
      <c r="B374" s="5"/>
      <c r="H374" s="16"/>
    </row>
    <row r="375" spans="2:8">
      <c r="B375" s="5"/>
      <c r="H375" s="16"/>
    </row>
    <row r="376" spans="2:8">
      <c r="B376" s="5"/>
      <c r="H376" s="16"/>
    </row>
    <row r="377" spans="2:8">
      <c r="B377" s="5"/>
      <c r="H377" s="16"/>
    </row>
    <row r="378" spans="2:8">
      <c r="B378" s="5"/>
      <c r="H378" s="16"/>
    </row>
    <row r="379" spans="2:8">
      <c r="B379" s="5"/>
      <c r="H379" s="16"/>
    </row>
    <row r="380" spans="2:8">
      <c r="B380" s="5"/>
      <c r="H380" s="16"/>
    </row>
    <row r="381" spans="2:8">
      <c r="B381" s="5"/>
      <c r="H381" s="16"/>
    </row>
    <row r="382" spans="2:8">
      <c r="B382" s="5"/>
      <c r="H382" s="16"/>
    </row>
    <row r="383" spans="2:8">
      <c r="B383" s="5"/>
      <c r="H383" s="16"/>
    </row>
    <row r="384" spans="2:8">
      <c r="B384" s="5"/>
      <c r="H384" s="16"/>
    </row>
    <row r="385" spans="2:8">
      <c r="B385" s="5"/>
      <c r="H385" s="16"/>
    </row>
    <row r="386" spans="2:8">
      <c r="B386" s="5"/>
      <c r="H386" s="16"/>
    </row>
    <row r="387" spans="2:8">
      <c r="B387" s="5"/>
      <c r="H387" s="16"/>
    </row>
    <row r="388" spans="2:8">
      <c r="B388" s="5"/>
      <c r="H388" s="16"/>
    </row>
    <row r="389" spans="2:8">
      <c r="B389" s="5"/>
      <c r="H389" s="16"/>
    </row>
    <row r="390" spans="2:8">
      <c r="B390" s="5"/>
      <c r="H390" s="16"/>
    </row>
    <row r="391" spans="2:8">
      <c r="B391" s="5"/>
      <c r="H391" s="16"/>
    </row>
    <row r="392" spans="2:8">
      <c r="B392" s="5"/>
      <c r="H392" s="16"/>
    </row>
    <row r="393" spans="2:8">
      <c r="B393" s="5"/>
      <c r="H393" s="16"/>
    </row>
    <row r="394" spans="2:8">
      <c r="B394" s="5"/>
      <c r="H394" s="16"/>
    </row>
    <row r="395" spans="2:8">
      <c r="B395" s="5"/>
      <c r="H395" s="16"/>
    </row>
    <row r="396" spans="2:8">
      <c r="B396" s="5"/>
      <c r="H396" s="16"/>
    </row>
    <row r="397" spans="2:8">
      <c r="B397" s="5"/>
      <c r="H397" s="16"/>
    </row>
    <row r="398" spans="2:8">
      <c r="B398" s="5"/>
      <c r="H398" s="16"/>
    </row>
    <row r="399" spans="2:8">
      <c r="B399" s="5"/>
      <c r="H399" s="16"/>
    </row>
    <row r="400" spans="2:8">
      <c r="B400" s="5"/>
      <c r="H400" s="16"/>
    </row>
    <row r="401" spans="2:8">
      <c r="B401" s="5"/>
      <c r="H401" s="16"/>
    </row>
    <row r="402" spans="2:8">
      <c r="B402" s="5"/>
      <c r="H402" s="16"/>
    </row>
    <row r="403" spans="2:8">
      <c r="B403" s="5"/>
      <c r="H403" s="16"/>
    </row>
    <row r="404" spans="2:8">
      <c r="B404" s="5"/>
      <c r="H404" s="16"/>
    </row>
    <row r="405" spans="2:8">
      <c r="B405" s="5"/>
      <c r="H405" s="16"/>
    </row>
    <row r="406" spans="2:8">
      <c r="B406" s="5"/>
      <c r="H406" s="16"/>
    </row>
    <row r="407" spans="2:8">
      <c r="B407" s="5"/>
      <c r="H407" s="16"/>
    </row>
    <row r="408" spans="2:8">
      <c r="B408" s="5"/>
      <c r="H408" s="16"/>
    </row>
    <row r="409" spans="2:8">
      <c r="B409" s="5"/>
      <c r="H409" s="16"/>
    </row>
    <row r="410" spans="2:8">
      <c r="B410" s="5"/>
      <c r="H410" s="16"/>
    </row>
    <row r="411" spans="2:8">
      <c r="B411" s="5"/>
      <c r="H411" s="16"/>
    </row>
    <row r="412" spans="2:8">
      <c r="B412" s="5"/>
      <c r="H412" s="16"/>
    </row>
    <row r="413" spans="2:8">
      <c r="B413" s="5"/>
      <c r="H413" s="16"/>
    </row>
    <row r="414" spans="2:8">
      <c r="B414" s="5"/>
      <c r="H414" s="16"/>
    </row>
    <row r="415" spans="2:8">
      <c r="B415" s="5"/>
      <c r="H415" s="16"/>
    </row>
    <row r="416" spans="2:8">
      <c r="B416" s="5"/>
      <c r="H416" s="16"/>
    </row>
    <row r="417" spans="2:8">
      <c r="B417" s="5"/>
      <c r="H417" s="16"/>
    </row>
    <row r="418" spans="2:8">
      <c r="B418" s="5"/>
      <c r="H418" s="16"/>
    </row>
    <row r="419" spans="2:8">
      <c r="B419" s="5"/>
      <c r="H419" s="16"/>
    </row>
    <row r="420" spans="2:8">
      <c r="B420" s="5"/>
      <c r="H420" s="16"/>
    </row>
    <row r="421" spans="2:8">
      <c r="B421" s="5"/>
      <c r="H421" s="16"/>
    </row>
    <row r="422" spans="2:8">
      <c r="B422" s="5"/>
      <c r="H422" s="16"/>
    </row>
    <row r="423" spans="2:8">
      <c r="B423" s="5"/>
      <c r="H423" s="16"/>
    </row>
    <row r="424" spans="2:8">
      <c r="B424" s="5"/>
      <c r="H424" s="16"/>
    </row>
    <row r="425" spans="2:8">
      <c r="B425" s="5"/>
      <c r="H425" s="16"/>
    </row>
    <row r="426" spans="2:8">
      <c r="B426" s="5"/>
      <c r="H426" s="16"/>
    </row>
    <row r="427" spans="2:8">
      <c r="B427" s="5"/>
      <c r="H427" s="16"/>
    </row>
    <row r="428" spans="2:8">
      <c r="B428" s="5"/>
      <c r="H428" s="16"/>
    </row>
    <row r="429" spans="2:8">
      <c r="B429" s="5"/>
      <c r="H429" s="16"/>
    </row>
    <row r="430" spans="2:8">
      <c r="B430" s="5"/>
      <c r="H430" s="16"/>
    </row>
    <row r="431" spans="2:8">
      <c r="B431" s="5"/>
      <c r="H431" s="16"/>
    </row>
    <row r="432" spans="2:8">
      <c r="B432" s="5"/>
      <c r="H432" s="16"/>
    </row>
    <row r="433" spans="2:8">
      <c r="B433" s="5"/>
      <c r="H433" s="16"/>
    </row>
    <row r="434" spans="2:8">
      <c r="B434" s="5"/>
      <c r="H434" s="16"/>
    </row>
    <row r="435" spans="2:8">
      <c r="B435" s="5"/>
      <c r="H435" s="16"/>
    </row>
    <row r="436" spans="2:8">
      <c r="B436" s="5"/>
      <c r="H436" s="16"/>
    </row>
    <row r="437" spans="2:8">
      <c r="B437" s="5"/>
      <c r="H437" s="16"/>
    </row>
    <row r="438" spans="2:8">
      <c r="B438" s="5"/>
      <c r="H438" s="16"/>
    </row>
    <row r="439" spans="2:8">
      <c r="B439" s="5"/>
      <c r="H439" s="16"/>
    </row>
    <row r="440" spans="2:8">
      <c r="B440" s="5"/>
      <c r="H440" s="16"/>
    </row>
    <row r="441" spans="2:8">
      <c r="B441" s="5"/>
      <c r="H441" s="16"/>
    </row>
    <row r="442" spans="2:8">
      <c r="B442" s="5"/>
      <c r="H442" s="16"/>
    </row>
    <row r="443" spans="2:8">
      <c r="B443" s="5"/>
      <c r="H443" s="16"/>
    </row>
    <row r="444" spans="2:8">
      <c r="B444" s="5"/>
      <c r="H444" s="16"/>
    </row>
    <row r="445" spans="2:8">
      <c r="B445" s="5"/>
      <c r="H445" s="16"/>
    </row>
    <row r="446" spans="2:8">
      <c r="B446" s="5"/>
      <c r="H446" s="16"/>
    </row>
    <row r="447" spans="2:8">
      <c r="B447" s="5"/>
      <c r="H447" s="16"/>
    </row>
    <row r="448" spans="2:8">
      <c r="B448" s="5"/>
      <c r="H448" s="16"/>
    </row>
    <row r="449" spans="2:8">
      <c r="B449" s="5"/>
      <c r="H449" s="16"/>
    </row>
    <row r="450" spans="2:8">
      <c r="B450" s="5"/>
      <c r="H450" s="16"/>
    </row>
    <row r="451" spans="2:8">
      <c r="B451" s="5"/>
      <c r="H451" s="16"/>
    </row>
    <row r="452" spans="2:8">
      <c r="B452" s="5"/>
      <c r="H452" s="16"/>
    </row>
    <row r="453" spans="2:8">
      <c r="B453" s="5"/>
      <c r="H453" s="16"/>
    </row>
    <row r="454" spans="2:8">
      <c r="B454" s="5"/>
      <c r="H454" s="16"/>
    </row>
    <row r="455" spans="2:8">
      <c r="B455" s="5"/>
      <c r="H455" s="16"/>
    </row>
    <row r="456" spans="2:8">
      <c r="B456" s="5"/>
      <c r="H456" s="16"/>
    </row>
    <row r="457" spans="2:8">
      <c r="B457" s="5"/>
      <c r="H457" s="16"/>
    </row>
    <row r="458" spans="2:8">
      <c r="B458" s="5"/>
      <c r="H458" s="16"/>
    </row>
    <row r="459" spans="2:8">
      <c r="B459" s="5"/>
      <c r="H459" s="16"/>
    </row>
    <row r="460" spans="2:8">
      <c r="B460" s="5"/>
      <c r="H460" s="16"/>
    </row>
    <row r="461" spans="2:8">
      <c r="B461" s="5"/>
      <c r="H461" s="16"/>
    </row>
    <row r="462" spans="2:8">
      <c r="B462" s="5"/>
      <c r="H462" s="16"/>
    </row>
    <row r="463" spans="2:8">
      <c r="B463" s="5"/>
      <c r="H463" s="16"/>
    </row>
    <row r="464" spans="2:8">
      <c r="B464" s="5"/>
      <c r="H464" s="16"/>
    </row>
    <row r="465" spans="2:8">
      <c r="B465" s="5"/>
      <c r="H465" s="16"/>
    </row>
    <row r="466" spans="2:8">
      <c r="B466" s="5"/>
      <c r="H466" s="16"/>
    </row>
    <row r="467" spans="2:8">
      <c r="B467" s="5"/>
      <c r="H467" s="16"/>
    </row>
    <row r="468" spans="2:8">
      <c r="B468" s="5"/>
      <c r="H468" s="16"/>
    </row>
    <row r="469" spans="2:8">
      <c r="B469" s="5"/>
      <c r="H469" s="16"/>
    </row>
    <row r="470" spans="2:8">
      <c r="B470" s="5"/>
      <c r="H470" s="16"/>
    </row>
    <row r="471" spans="2:8">
      <c r="B471" s="5"/>
      <c r="H471" s="16"/>
    </row>
    <row r="472" spans="2:8">
      <c r="B472" s="5"/>
      <c r="H472" s="16"/>
    </row>
    <row r="473" spans="2:8">
      <c r="B473" s="5"/>
      <c r="H473" s="16"/>
    </row>
    <row r="474" spans="2:8">
      <c r="B474" s="5"/>
      <c r="H474" s="16"/>
    </row>
    <row r="475" spans="2:8">
      <c r="B475" s="5"/>
      <c r="H475" s="16"/>
    </row>
    <row r="476" spans="2:8">
      <c r="B476" s="5"/>
      <c r="H476" s="16"/>
    </row>
    <row r="477" spans="2:8">
      <c r="B477" s="5"/>
      <c r="H477" s="16"/>
    </row>
    <row r="478" spans="2:8">
      <c r="B478" s="5"/>
      <c r="H478" s="16"/>
    </row>
    <row r="479" spans="2:8">
      <c r="B479" s="5"/>
      <c r="H479" s="16"/>
    </row>
    <row r="480" spans="2:8">
      <c r="B480" s="5"/>
      <c r="H480" s="16"/>
    </row>
    <row r="481" spans="2:8">
      <c r="B481" s="5"/>
      <c r="H481" s="16"/>
    </row>
    <row r="482" spans="2:8">
      <c r="B482" s="5"/>
      <c r="H482" s="16"/>
    </row>
    <row r="483" spans="2:8">
      <c r="B483" s="5"/>
      <c r="H483" s="16"/>
    </row>
    <row r="484" spans="2:8">
      <c r="B484" s="5"/>
      <c r="H484" s="16"/>
    </row>
    <row r="485" spans="2:8">
      <c r="B485" s="5"/>
      <c r="H485" s="16"/>
    </row>
    <row r="486" spans="2:8">
      <c r="B486" s="5"/>
      <c r="H486" s="16"/>
    </row>
    <row r="487" spans="2:8">
      <c r="B487" s="5"/>
      <c r="H487" s="16"/>
    </row>
    <row r="488" spans="2:8">
      <c r="B488" s="5"/>
      <c r="H488" s="16"/>
    </row>
    <row r="489" spans="2:8">
      <c r="B489" s="5"/>
      <c r="H489" s="16"/>
    </row>
    <row r="490" spans="2:8">
      <c r="B490" s="5"/>
      <c r="H490" s="16"/>
    </row>
    <row r="491" spans="2:8">
      <c r="B491" s="5"/>
      <c r="H491" s="16"/>
    </row>
    <row r="492" spans="2:8">
      <c r="B492" s="5"/>
      <c r="H492" s="16"/>
    </row>
    <row r="493" spans="2:8">
      <c r="B493" s="5"/>
      <c r="H493" s="16"/>
    </row>
    <row r="494" spans="2:8">
      <c r="B494" s="5"/>
      <c r="H494" s="16"/>
    </row>
    <row r="495" spans="2:8">
      <c r="B495" s="5"/>
      <c r="H495" s="16"/>
    </row>
    <row r="496" spans="2:8">
      <c r="B496" s="5"/>
      <c r="H496" s="16"/>
    </row>
    <row r="497" spans="2:8">
      <c r="B497" s="5"/>
      <c r="H497" s="16"/>
    </row>
    <row r="498" spans="2:8">
      <c r="B498" s="5"/>
      <c r="H498" s="16"/>
    </row>
    <row r="499" spans="2:8">
      <c r="B499" s="5"/>
      <c r="H499" s="16"/>
    </row>
    <row r="500" spans="2:8">
      <c r="B500" s="5"/>
      <c r="H500" s="16"/>
    </row>
    <row r="501" spans="2:8">
      <c r="B501" s="5"/>
      <c r="H501" s="16"/>
    </row>
    <row r="502" spans="2:8">
      <c r="B502" s="5"/>
      <c r="H502" s="16"/>
    </row>
    <row r="503" spans="2:8">
      <c r="B503" s="5"/>
      <c r="H503" s="16"/>
    </row>
    <row r="504" spans="2:8">
      <c r="B504" s="5"/>
      <c r="H504" s="16"/>
    </row>
    <row r="505" spans="2:8">
      <c r="B505" s="5"/>
      <c r="H505" s="16"/>
    </row>
    <row r="506" spans="2:8">
      <c r="B506" s="5"/>
      <c r="H506" s="16"/>
    </row>
    <row r="507" spans="2:8">
      <c r="B507" s="5"/>
      <c r="H507" s="16"/>
    </row>
    <row r="508" spans="2:8">
      <c r="B508" s="5"/>
      <c r="H508" s="16"/>
    </row>
    <row r="509" spans="2:8">
      <c r="B509" s="5"/>
      <c r="H509" s="16"/>
    </row>
    <row r="510" spans="2:8">
      <c r="B510" s="5"/>
      <c r="H510" s="16"/>
    </row>
    <row r="511" spans="2:8">
      <c r="B511" s="5"/>
      <c r="H511" s="16"/>
    </row>
    <row r="512" spans="2:8">
      <c r="B512" s="5"/>
      <c r="H512" s="16"/>
    </row>
    <row r="513" spans="2:8">
      <c r="B513" s="5"/>
      <c r="H513" s="16"/>
    </row>
    <row r="514" spans="2:8">
      <c r="B514" s="5"/>
      <c r="H514" s="16"/>
    </row>
    <row r="515" spans="2:8">
      <c r="B515" s="5"/>
      <c r="H515" s="16"/>
    </row>
    <row r="516" spans="2:8">
      <c r="B516" s="5"/>
      <c r="H516" s="16"/>
    </row>
    <row r="517" spans="2:8">
      <c r="B517" s="5"/>
      <c r="H517" s="16"/>
    </row>
    <row r="518" spans="2:8">
      <c r="B518" s="5"/>
      <c r="H518" s="16"/>
    </row>
    <row r="519" spans="2:8">
      <c r="B519" s="5"/>
      <c r="H519" s="16"/>
    </row>
    <row r="520" spans="2:8">
      <c r="B520" s="5"/>
      <c r="H520" s="16"/>
    </row>
    <row r="521" spans="2:8">
      <c r="B521" s="5"/>
      <c r="H521" s="16"/>
    </row>
    <row r="522" spans="2:8">
      <c r="B522" s="5"/>
      <c r="H522" s="16"/>
    </row>
    <row r="523" spans="2:8">
      <c r="B523" s="5"/>
      <c r="H523" s="16"/>
    </row>
    <row r="524" spans="2:8">
      <c r="B524" s="5"/>
      <c r="H524" s="16"/>
    </row>
    <row r="525" spans="2:8">
      <c r="B525" s="5"/>
      <c r="H525" s="16"/>
    </row>
    <row r="526" spans="2:8">
      <c r="B526" s="5"/>
      <c r="H526" s="16"/>
    </row>
    <row r="527" spans="2:8">
      <c r="B527" s="5"/>
      <c r="H527" s="16"/>
    </row>
    <row r="528" spans="2:8">
      <c r="B528" s="5"/>
      <c r="H528" s="16"/>
    </row>
    <row r="529" spans="2:8">
      <c r="B529" s="5"/>
      <c r="H529" s="16"/>
    </row>
    <row r="530" spans="2:8">
      <c r="B530" s="5"/>
      <c r="H530" s="16"/>
    </row>
    <row r="531" spans="2:8">
      <c r="B531" s="5"/>
      <c r="H531" s="16"/>
    </row>
    <row r="532" spans="2:8">
      <c r="B532" s="5"/>
      <c r="H532" s="16"/>
    </row>
    <row r="533" spans="2:8">
      <c r="B533" s="5"/>
      <c r="H533" s="16"/>
    </row>
    <row r="534" spans="2:8">
      <c r="B534" s="5"/>
      <c r="H534" s="16"/>
    </row>
    <row r="535" spans="2:8">
      <c r="B535" s="5"/>
      <c r="H535" s="16"/>
    </row>
    <row r="536" spans="2:8">
      <c r="B536" s="5"/>
      <c r="H536" s="16"/>
    </row>
    <row r="537" spans="2:8">
      <c r="B537" s="5"/>
      <c r="H537" s="16"/>
    </row>
    <row r="538" spans="2:8">
      <c r="B538" s="5"/>
      <c r="H538" s="16"/>
    </row>
    <row r="539" spans="2:8">
      <c r="B539" s="5"/>
      <c r="H539" s="16"/>
    </row>
    <row r="540" spans="2:8">
      <c r="B540" s="5"/>
      <c r="H540" s="16"/>
    </row>
    <row r="541" spans="2:8">
      <c r="B541" s="5"/>
      <c r="H541" s="16"/>
    </row>
    <row r="542" spans="2:8">
      <c r="B542" s="5"/>
      <c r="H542" s="16"/>
    </row>
    <row r="543" spans="2:8">
      <c r="B543" s="5"/>
      <c r="H543" s="16"/>
    </row>
    <row r="544" spans="2:8">
      <c r="B544" s="5"/>
      <c r="H544" s="16"/>
    </row>
    <row r="545" spans="2:8">
      <c r="B545" s="5"/>
      <c r="H545" s="16"/>
    </row>
    <row r="546" spans="2:8">
      <c r="B546" s="5"/>
      <c r="H546" s="16"/>
    </row>
    <row r="547" spans="2:8">
      <c r="B547" s="5"/>
      <c r="H547" s="16"/>
    </row>
    <row r="548" spans="2:8">
      <c r="B548" s="5"/>
      <c r="H548" s="16"/>
    </row>
    <row r="549" spans="2:8">
      <c r="B549" s="5"/>
      <c r="H549" s="16"/>
    </row>
    <row r="550" spans="2:8">
      <c r="B550" s="5"/>
      <c r="H550" s="16"/>
    </row>
    <row r="551" spans="2:8">
      <c r="B551" s="5"/>
      <c r="H551" s="16"/>
    </row>
    <row r="552" spans="2:8">
      <c r="B552" s="5"/>
      <c r="H552" s="16"/>
    </row>
    <row r="553" spans="2:8">
      <c r="B553" s="5"/>
      <c r="H553" s="16"/>
    </row>
    <row r="554" spans="2:8">
      <c r="B554" s="5"/>
      <c r="H554" s="16"/>
    </row>
    <row r="555" spans="2:8">
      <c r="B555" s="5"/>
      <c r="H555" s="16"/>
    </row>
    <row r="556" spans="2:8">
      <c r="B556" s="5"/>
      <c r="H556" s="16"/>
    </row>
    <row r="557" spans="2:8">
      <c r="B557" s="5"/>
      <c r="H557" s="16"/>
    </row>
    <row r="558" spans="2:8">
      <c r="B558" s="5"/>
      <c r="H558" s="16"/>
    </row>
    <row r="559" spans="2:8">
      <c r="B559" s="5"/>
      <c r="H559" s="16"/>
    </row>
    <row r="560" spans="2:8">
      <c r="B560" s="5"/>
      <c r="H560" s="16"/>
    </row>
    <row r="561" spans="2:8">
      <c r="B561" s="5"/>
      <c r="H561" s="16"/>
    </row>
    <row r="562" spans="2:8">
      <c r="B562" s="5"/>
      <c r="H562" s="16"/>
    </row>
    <row r="563" spans="2:8">
      <c r="B563" s="5"/>
      <c r="H563" s="16"/>
    </row>
    <row r="564" spans="2:8">
      <c r="B564" s="5"/>
      <c r="H564" s="16"/>
    </row>
    <row r="565" spans="2:8">
      <c r="B565" s="5"/>
      <c r="H565" s="16"/>
    </row>
    <row r="566" spans="2:8">
      <c r="B566" s="5"/>
      <c r="H566" s="16"/>
    </row>
    <row r="567" spans="2:8">
      <c r="B567" s="5"/>
      <c r="H567" s="16"/>
    </row>
    <row r="568" spans="2:8">
      <c r="B568" s="5"/>
      <c r="H568" s="16"/>
    </row>
    <row r="569" spans="2:8">
      <c r="B569" s="5"/>
      <c r="H569" s="16"/>
    </row>
    <row r="570" spans="2:8">
      <c r="B570" s="5"/>
      <c r="H570" s="16"/>
    </row>
    <row r="571" spans="2:8">
      <c r="B571" s="5"/>
      <c r="H571" s="16"/>
    </row>
    <row r="572" spans="2:8">
      <c r="B572" s="5"/>
      <c r="H572" s="16"/>
    </row>
    <row r="573" spans="2:8">
      <c r="B573" s="5"/>
      <c r="H573" s="16"/>
    </row>
    <row r="574" spans="2:8">
      <c r="B574" s="5"/>
      <c r="H574" s="16"/>
    </row>
    <row r="575" spans="2:8">
      <c r="B575" s="5"/>
      <c r="H575" s="16"/>
    </row>
    <row r="576" spans="2:8">
      <c r="B576" s="5"/>
      <c r="H576" s="16"/>
    </row>
    <row r="577" spans="2:8">
      <c r="B577" s="5"/>
      <c r="H577" s="16"/>
    </row>
    <row r="578" spans="2:8">
      <c r="B578" s="5"/>
      <c r="H578" s="16"/>
    </row>
    <row r="579" spans="2:8">
      <c r="B579" s="5"/>
      <c r="H579" s="16"/>
    </row>
    <row r="580" spans="2:8">
      <c r="B580" s="5"/>
      <c r="H580" s="16"/>
    </row>
    <row r="581" spans="2:8">
      <c r="B581" s="5"/>
      <c r="H581" s="16"/>
    </row>
    <row r="582" spans="2:8">
      <c r="B582" s="5"/>
      <c r="H582" s="16"/>
    </row>
    <row r="583" spans="2:8">
      <c r="B583" s="5"/>
      <c r="H583" s="16"/>
    </row>
    <row r="584" spans="2:8">
      <c r="B584" s="5"/>
      <c r="H584" s="16"/>
    </row>
    <row r="585" spans="2:8">
      <c r="B585" s="5"/>
      <c r="H585" s="16"/>
    </row>
    <row r="586" spans="2:8">
      <c r="B586" s="5"/>
      <c r="H586" s="16"/>
    </row>
    <row r="587" spans="2:8">
      <c r="B587" s="5"/>
      <c r="H587" s="16"/>
    </row>
    <row r="588" spans="2:8">
      <c r="B588" s="5"/>
      <c r="H588" s="16"/>
    </row>
    <row r="589" spans="2:8">
      <c r="B589" s="5"/>
      <c r="H589" s="16"/>
    </row>
    <row r="590" spans="2:8">
      <c r="B590" s="5"/>
      <c r="H590" s="16"/>
    </row>
    <row r="591" spans="2:8">
      <c r="B591" s="5"/>
      <c r="H591" s="16"/>
    </row>
    <row r="592" spans="2:8">
      <c r="B592" s="5"/>
      <c r="H592" s="16"/>
    </row>
    <row r="593" spans="2:8">
      <c r="B593" s="5"/>
      <c r="H593" s="16"/>
    </row>
    <row r="594" spans="2:8">
      <c r="B594" s="5"/>
      <c r="H594" s="16"/>
    </row>
    <row r="595" spans="2:8">
      <c r="B595" s="5"/>
      <c r="H595" s="16"/>
    </row>
    <row r="596" spans="2:8">
      <c r="B596" s="5"/>
      <c r="H596" s="16"/>
    </row>
    <row r="597" spans="2:8">
      <c r="B597" s="5"/>
      <c r="H597" s="16"/>
    </row>
    <row r="598" spans="2:8">
      <c r="B598" s="5"/>
      <c r="H598" s="16"/>
    </row>
    <row r="599" spans="2:8">
      <c r="B599" s="5"/>
      <c r="H599" s="16"/>
    </row>
    <row r="600" spans="2:8">
      <c r="B600" s="5"/>
      <c r="H600" s="16"/>
    </row>
    <row r="601" spans="2:8">
      <c r="B601" s="5"/>
      <c r="H601" s="16"/>
    </row>
    <row r="602" spans="2:8">
      <c r="B602" s="5"/>
      <c r="H602" s="16"/>
    </row>
    <row r="603" spans="2:8">
      <c r="B603" s="5"/>
      <c r="H603" s="16"/>
    </row>
    <row r="604" spans="2:8">
      <c r="B604" s="5"/>
      <c r="H604" s="16"/>
    </row>
    <row r="605" spans="2:8">
      <c r="B605" s="5"/>
      <c r="H605" s="16"/>
    </row>
    <row r="606" spans="2:8">
      <c r="B606" s="5"/>
      <c r="H606" s="16"/>
    </row>
    <row r="607" spans="2:8">
      <c r="B607" s="5"/>
      <c r="H607" s="16"/>
    </row>
    <row r="608" spans="2:8">
      <c r="B608" s="5"/>
      <c r="H608" s="16"/>
    </row>
    <row r="609" spans="2:8">
      <c r="B609" s="5"/>
      <c r="H609" s="16"/>
    </row>
    <row r="610" spans="2:8">
      <c r="B610" s="5"/>
      <c r="H610" s="16"/>
    </row>
    <row r="611" spans="2:8">
      <c r="B611" s="5"/>
      <c r="H611" s="16"/>
    </row>
    <row r="612" spans="2:8">
      <c r="B612" s="5"/>
      <c r="H612" s="16"/>
    </row>
    <row r="613" spans="2:8">
      <c r="B613" s="5"/>
      <c r="H613" s="16"/>
    </row>
    <row r="614" spans="2:8">
      <c r="B614" s="5"/>
      <c r="H614" s="16"/>
    </row>
    <row r="615" spans="2:8">
      <c r="B615" s="5"/>
      <c r="H615" s="16"/>
    </row>
    <row r="616" spans="2:8">
      <c r="B616" s="5"/>
      <c r="H616" s="16"/>
    </row>
    <row r="617" spans="2:8">
      <c r="B617" s="5"/>
      <c r="H617" s="16"/>
    </row>
    <row r="618" spans="2:8">
      <c r="B618" s="5"/>
      <c r="H618" s="16"/>
    </row>
    <row r="619" spans="2:8">
      <c r="B619" s="5"/>
      <c r="H619" s="16"/>
    </row>
    <row r="620" spans="2:8">
      <c r="B620" s="5"/>
      <c r="H620" s="16"/>
    </row>
    <row r="621" spans="2:8">
      <c r="B621" s="5"/>
      <c r="H621" s="16"/>
    </row>
    <row r="622" spans="2:8">
      <c r="B622" s="5"/>
      <c r="H622" s="16"/>
    </row>
    <row r="623" spans="2:8">
      <c r="B623" s="5"/>
      <c r="H623" s="16"/>
    </row>
    <row r="624" spans="2:8">
      <c r="B624" s="5"/>
      <c r="H624" s="16"/>
    </row>
    <row r="625" spans="2:8">
      <c r="B625" s="5"/>
      <c r="H625" s="16"/>
    </row>
    <row r="626" spans="2:8">
      <c r="B626" s="5"/>
      <c r="H626" s="16"/>
    </row>
    <row r="627" spans="2:8">
      <c r="B627" s="5"/>
      <c r="H627" s="16"/>
    </row>
    <row r="628" spans="2:8">
      <c r="B628" s="5"/>
      <c r="H628" s="16"/>
    </row>
    <row r="629" spans="2:8">
      <c r="B629" s="5"/>
      <c r="H629" s="16"/>
    </row>
    <row r="630" spans="2:8">
      <c r="B630" s="5"/>
      <c r="H630" s="16"/>
    </row>
    <row r="631" spans="2:8">
      <c r="B631" s="5"/>
      <c r="H631" s="16"/>
    </row>
    <row r="632" spans="2:8">
      <c r="B632" s="5"/>
      <c r="H632" s="16"/>
    </row>
    <row r="633" spans="2:8">
      <c r="B633" s="5"/>
      <c r="H633" s="16"/>
    </row>
    <row r="634" spans="2:8">
      <c r="B634" s="5"/>
      <c r="H634" s="16"/>
    </row>
    <row r="635" spans="2:8">
      <c r="B635" s="5"/>
      <c r="H635" s="16"/>
    </row>
    <row r="636" spans="2:8">
      <c r="B636" s="5"/>
      <c r="H636" s="16"/>
    </row>
    <row r="637" spans="2:8">
      <c r="B637" s="5"/>
      <c r="H637" s="16"/>
    </row>
    <row r="638" spans="2:8">
      <c r="B638" s="5"/>
      <c r="H638" s="16"/>
    </row>
    <row r="639" spans="2:8">
      <c r="B639" s="5"/>
      <c r="H639" s="16"/>
    </row>
    <row r="640" spans="2:8">
      <c r="B640" s="5"/>
      <c r="H640" s="16"/>
    </row>
    <row r="641" spans="2:8">
      <c r="B641" s="5"/>
      <c r="H641" s="16"/>
    </row>
    <row r="642" spans="2:8">
      <c r="B642" s="5"/>
      <c r="H642" s="16"/>
    </row>
    <row r="643" spans="2:8">
      <c r="B643" s="5"/>
      <c r="H643" s="16"/>
    </row>
    <row r="644" spans="2:8">
      <c r="B644" s="5"/>
      <c r="H644" s="16"/>
    </row>
    <row r="645" spans="2:8">
      <c r="B645" s="5"/>
      <c r="H645" s="16"/>
    </row>
    <row r="646" spans="2:8">
      <c r="B646" s="5"/>
      <c r="H646" s="16"/>
    </row>
    <row r="647" spans="2:8">
      <c r="B647" s="5"/>
      <c r="H647" s="16"/>
    </row>
    <row r="648" spans="2:8">
      <c r="B648" s="5"/>
      <c r="H648" s="16"/>
    </row>
    <row r="649" spans="2:8">
      <c r="B649" s="5"/>
      <c r="H649" s="16"/>
    </row>
    <row r="650" spans="2:8">
      <c r="B650" s="5"/>
      <c r="H650" s="16"/>
    </row>
    <row r="651" spans="2:8">
      <c r="B651" s="5"/>
      <c r="H651" s="16"/>
    </row>
    <row r="652" spans="2:8">
      <c r="B652" s="5"/>
      <c r="H652" s="16"/>
    </row>
    <row r="653" spans="2:8">
      <c r="B653" s="5"/>
      <c r="H653" s="16"/>
    </row>
    <row r="654" spans="2:8">
      <c r="B654" s="5"/>
      <c r="H654" s="16"/>
    </row>
    <row r="655" spans="2:8">
      <c r="B655" s="5"/>
      <c r="H655" s="16"/>
    </row>
    <row r="656" spans="2:8">
      <c r="B656" s="5"/>
      <c r="H656" s="16"/>
    </row>
    <row r="657" spans="2:8">
      <c r="B657" s="5"/>
      <c r="H657" s="16"/>
    </row>
    <row r="658" spans="2:8">
      <c r="B658" s="5"/>
      <c r="H658" s="16"/>
    </row>
    <row r="659" spans="2:8">
      <c r="B659" s="5"/>
      <c r="H659" s="16"/>
    </row>
    <row r="660" spans="2:8">
      <c r="B660" s="5"/>
      <c r="H660" s="16"/>
    </row>
    <row r="661" spans="2:8">
      <c r="B661" s="5"/>
      <c r="H661" s="16"/>
    </row>
    <row r="662" spans="2:8">
      <c r="B662" s="5"/>
      <c r="H662" s="16"/>
    </row>
    <row r="663" spans="2:8">
      <c r="B663" s="5"/>
      <c r="H663" s="16"/>
    </row>
    <row r="664" spans="2:8">
      <c r="B664" s="5"/>
      <c r="H664" s="16"/>
    </row>
    <row r="665" spans="2:8">
      <c r="B665" s="5"/>
      <c r="H665" s="16"/>
    </row>
    <row r="666" spans="2:8">
      <c r="B666" s="5"/>
      <c r="H666" s="16"/>
    </row>
    <row r="667" spans="2:8">
      <c r="B667" s="5"/>
      <c r="H667" s="16"/>
    </row>
    <row r="668" spans="2:8">
      <c r="B668" s="5"/>
      <c r="H668" s="16"/>
    </row>
    <row r="669" spans="2:8">
      <c r="B669" s="5"/>
      <c r="H669" s="16"/>
    </row>
    <row r="670" spans="2:8">
      <c r="B670" s="5"/>
      <c r="H670" s="16"/>
    </row>
    <row r="671" spans="2:8">
      <c r="B671" s="5"/>
      <c r="H671" s="16"/>
    </row>
    <row r="672" spans="2:8">
      <c r="B672" s="5"/>
      <c r="H672" s="16"/>
    </row>
    <row r="673" spans="2:8">
      <c r="B673" s="5"/>
      <c r="H673" s="16"/>
    </row>
    <row r="674" spans="2:8">
      <c r="B674" s="5"/>
      <c r="H674" s="16"/>
    </row>
    <row r="675" spans="2:8">
      <c r="B675" s="5"/>
      <c r="H675" s="16"/>
    </row>
    <row r="676" spans="2:8">
      <c r="B676" s="5"/>
      <c r="H676" s="16"/>
    </row>
    <row r="677" spans="2:8">
      <c r="B677" s="5"/>
      <c r="H677" s="16"/>
    </row>
    <row r="678" spans="2:8">
      <c r="B678" s="5"/>
      <c r="H678" s="16"/>
    </row>
    <row r="679" spans="2:8">
      <c r="B679" s="5"/>
      <c r="H679" s="16"/>
    </row>
    <row r="680" spans="2:8">
      <c r="B680" s="5"/>
      <c r="H680" s="16"/>
    </row>
    <row r="681" spans="2:8">
      <c r="B681" s="5"/>
      <c r="H681" s="16"/>
    </row>
    <row r="682" spans="2:8">
      <c r="B682" s="5"/>
      <c r="H682" s="16"/>
    </row>
    <row r="683" spans="2:8">
      <c r="B683" s="5"/>
      <c r="H683" s="16"/>
    </row>
    <row r="684" spans="2:8">
      <c r="B684" s="5"/>
      <c r="H684" s="16"/>
    </row>
    <row r="685" spans="2:8">
      <c r="B685" s="5"/>
      <c r="H685" s="16"/>
    </row>
    <row r="686" spans="2:8">
      <c r="B686" s="5"/>
      <c r="H686" s="16"/>
    </row>
    <row r="687" spans="2:8">
      <c r="B687" s="5"/>
      <c r="H687" s="16"/>
    </row>
    <row r="688" spans="2:8">
      <c r="B688" s="5"/>
      <c r="H688" s="16"/>
    </row>
    <row r="689" spans="2:8">
      <c r="B689" s="5"/>
      <c r="H689" s="16"/>
    </row>
    <row r="690" spans="2:8">
      <c r="B690" s="5"/>
      <c r="H690" s="16"/>
    </row>
    <row r="691" spans="2:8">
      <c r="B691" s="5"/>
      <c r="H691" s="16"/>
    </row>
    <row r="692" spans="2:8">
      <c r="B692" s="5"/>
      <c r="H692" s="16"/>
    </row>
    <row r="693" spans="2:8">
      <c r="B693" s="5"/>
      <c r="H693" s="16"/>
    </row>
    <row r="694" spans="2:8">
      <c r="B694" s="5"/>
      <c r="H694" s="16"/>
    </row>
    <row r="695" spans="2:8">
      <c r="B695" s="5"/>
      <c r="H695" s="16"/>
    </row>
    <row r="696" spans="2:8">
      <c r="B696" s="5"/>
      <c r="H696" s="16"/>
    </row>
    <row r="697" spans="2:8">
      <c r="B697" s="5"/>
      <c r="H697" s="16"/>
    </row>
    <row r="698" spans="2:8">
      <c r="B698" s="5"/>
      <c r="H698" s="16"/>
    </row>
    <row r="699" spans="2:8">
      <c r="B699" s="5"/>
      <c r="H699" s="16"/>
    </row>
    <row r="700" spans="2:8">
      <c r="B700" s="5"/>
      <c r="H700" s="16"/>
    </row>
    <row r="701" spans="2:8">
      <c r="B701" s="5"/>
      <c r="H701" s="16"/>
    </row>
    <row r="702" spans="2:8">
      <c r="B702" s="5"/>
      <c r="H702" s="16"/>
    </row>
    <row r="703" spans="2:8">
      <c r="B703" s="5"/>
      <c r="H703" s="16"/>
    </row>
    <row r="704" spans="2:8">
      <c r="B704" s="5"/>
      <c r="H704" s="16"/>
    </row>
    <row r="705" spans="2:8">
      <c r="B705" s="5"/>
      <c r="H705" s="16"/>
    </row>
    <row r="706" spans="2:8">
      <c r="B706" s="5"/>
      <c r="H706" s="16"/>
    </row>
    <row r="707" spans="2:8">
      <c r="B707" s="5"/>
      <c r="H707" s="16"/>
    </row>
    <row r="708" spans="2:8">
      <c r="B708" s="5"/>
      <c r="H708" s="16"/>
    </row>
    <row r="709" spans="2:8">
      <c r="B709" s="5"/>
      <c r="H709" s="16"/>
    </row>
    <row r="710" spans="2:8">
      <c r="B710" s="5"/>
      <c r="H710" s="16"/>
    </row>
    <row r="711" spans="2:8">
      <c r="B711" s="5"/>
      <c r="H711" s="16"/>
    </row>
    <row r="712" spans="2:8">
      <c r="B712" s="5"/>
      <c r="H712" s="16"/>
    </row>
    <row r="713" spans="2:8">
      <c r="B713" s="5"/>
      <c r="H713" s="16"/>
    </row>
    <row r="714" spans="2:8">
      <c r="B714" s="5"/>
      <c r="H714" s="16"/>
    </row>
    <row r="715" spans="2:8">
      <c r="B715" s="5"/>
      <c r="H715" s="16"/>
    </row>
    <row r="716" spans="2:8">
      <c r="B716" s="5"/>
      <c r="H716" s="16"/>
    </row>
    <row r="717" spans="2:8">
      <c r="B717" s="5"/>
      <c r="H717" s="16"/>
    </row>
    <row r="718" spans="2:8">
      <c r="B718" s="5"/>
      <c r="H718" s="16"/>
    </row>
    <row r="719" spans="2:8">
      <c r="B719" s="5"/>
      <c r="H719" s="16"/>
    </row>
    <row r="720" spans="2:8">
      <c r="B720" s="5"/>
      <c r="H720" s="16"/>
    </row>
    <row r="721" spans="2:8">
      <c r="B721" s="5"/>
      <c r="H721" s="16"/>
    </row>
    <row r="722" spans="2:8">
      <c r="B722" s="5"/>
      <c r="H722" s="16"/>
    </row>
    <row r="723" spans="2:8">
      <c r="B723" s="5"/>
      <c r="H723" s="16"/>
    </row>
    <row r="724" spans="2:8">
      <c r="B724" s="5"/>
      <c r="H724" s="16"/>
    </row>
    <row r="725" spans="2:8">
      <c r="B725" s="5"/>
      <c r="H725" s="16"/>
    </row>
    <row r="726" spans="2:8">
      <c r="B726" s="5"/>
      <c r="H726" s="16"/>
    </row>
    <row r="727" spans="2:8">
      <c r="B727" s="5"/>
      <c r="H727" s="16"/>
    </row>
    <row r="728" spans="2:8">
      <c r="B728" s="5"/>
      <c r="H728" s="16"/>
    </row>
    <row r="729" spans="2:8">
      <c r="B729" s="5"/>
      <c r="H729" s="16"/>
    </row>
    <row r="730" spans="2:8">
      <c r="B730" s="5"/>
      <c r="H730" s="16"/>
    </row>
    <row r="731" spans="2:8">
      <c r="B731" s="5"/>
      <c r="H731" s="16"/>
    </row>
    <row r="732" spans="2:8">
      <c r="B732" s="5"/>
      <c r="H732" s="16"/>
    </row>
    <row r="733" spans="2:8">
      <c r="B733" s="5"/>
      <c r="H733" s="16"/>
    </row>
    <row r="734" spans="2:8">
      <c r="B734" s="5"/>
      <c r="H734" s="16"/>
    </row>
    <row r="735" spans="2:8">
      <c r="B735" s="5"/>
      <c r="H735" s="16"/>
    </row>
    <row r="736" spans="2:8">
      <c r="B736" s="5"/>
      <c r="H736" s="16"/>
    </row>
    <row r="737" spans="2:8">
      <c r="B737" s="5"/>
      <c r="H737" s="16"/>
    </row>
    <row r="738" spans="2:8">
      <c r="B738" s="5"/>
      <c r="H738" s="16"/>
    </row>
    <row r="739" spans="2:8">
      <c r="B739" s="5"/>
      <c r="H739" s="16"/>
    </row>
    <row r="740" spans="2:8">
      <c r="B740" s="5"/>
      <c r="H740" s="16"/>
    </row>
    <row r="741" spans="2:8">
      <c r="B741" s="5"/>
      <c r="H741" s="16"/>
    </row>
    <row r="742" spans="2:8">
      <c r="B742" s="5"/>
      <c r="H742" s="16"/>
    </row>
    <row r="743" spans="2:8">
      <c r="B743" s="5"/>
      <c r="H743" s="16"/>
    </row>
    <row r="744" spans="2:8">
      <c r="B744" s="5"/>
      <c r="H744" s="16"/>
    </row>
    <row r="745" spans="2:8">
      <c r="B745" s="5"/>
      <c r="H745" s="16"/>
    </row>
    <row r="746" spans="2:8">
      <c r="B746" s="5"/>
      <c r="H746" s="16"/>
    </row>
    <row r="747" spans="2:8">
      <c r="B747" s="5"/>
      <c r="H747" s="16"/>
    </row>
    <row r="748" spans="2:8">
      <c r="B748" s="5"/>
      <c r="H748" s="16"/>
    </row>
    <row r="749" spans="2:8">
      <c r="B749" s="5"/>
      <c r="H749" s="16"/>
    </row>
    <row r="750" spans="2:8">
      <c r="B750" s="5"/>
      <c r="H750" s="16"/>
    </row>
    <row r="751" spans="2:8">
      <c r="B751" s="5"/>
      <c r="H751" s="16"/>
    </row>
    <row r="752" spans="2:8">
      <c r="B752" s="5"/>
      <c r="H752" s="16"/>
    </row>
    <row r="753" spans="2:8">
      <c r="B753" s="5"/>
      <c r="H753" s="16"/>
    </row>
    <row r="754" spans="2:8">
      <c r="B754" s="5"/>
      <c r="H754" s="16"/>
    </row>
    <row r="755" spans="2:8">
      <c r="B755" s="5"/>
      <c r="H755" s="16"/>
    </row>
    <row r="756" spans="2:8">
      <c r="B756" s="5"/>
      <c r="H756" s="16"/>
    </row>
    <row r="757" spans="2:8">
      <c r="B757" s="5"/>
      <c r="H757" s="16"/>
    </row>
    <row r="758" spans="2:8">
      <c r="B758" s="5"/>
      <c r="H758" s="16"/>
    </row>
    <row r="759" spans="2:8">
      <c r="B759" s="5"/>
      <c r="H759" s="16"/>
    </row>
    <row r="760" spans="2:8">
      <c r="B760" s="5"/>
      <c r="H760" s="16"/>
    </row>
    <row r="761" spans="2:8">
      <c r="B761" s="5"/>
      <c r="H761" s="16"/>
    </row>
    <row r="762" spans="2:8">
      <c r="B762" s="5"/>
      <c r="H762" s="16"/>
    </row>
    <row r="763" spans="2:8">
      <c r="B763" s="5"/>
      <c r="H763" s="16"/>
    </row>
    <row r="764" spans="2:8">
      <c r="B764" s="5"/>
      <c r="H764" s="16"/>
    </row>
    <row r="765" spans="2:8">
      <c r="B765" s="5"/>
      <c r="H765" s="16"/>
    </row>
    <row r="766" spans="2:8">
      <c r="B766" s="5"/>
      <c r="H766" s="16"/>
    </row>
    <row r="767" spans="2:8">
      <c r="B767" s="5"/>
      <c r="H767" s="16"/>
    </row>
    <row r="768" spans="2:8">
      <c r="B768" s="5"/>
      <c r="H768" s="16"/>
    </row>
    <row r="769" spans="2:8">
      <c r="B769" s="5"/>
      <c r="H769" s="16"/>
    </row>
    <row r="770" spans="2:8">
      <c r="B770" s="5"/>
      <c r="H770" s="16"/>
    </row>
    <row r="771" spans="2:8">
      <c r="B771" s="5"/>
      <c r="H771" s="16"/>
    </row>
    <row r="772" spans="2:8">
      <c r="B772" s="5"/>
      <c r="H772" s="16"/>
    </row>
    <row r="773" spans="2:8">
      <c r="B773" s="5"/>
      <c r="H773" s="16"/>
    </row>
    <row r="774" spans="2:8">
      <c r="B774" s="5"/>
      <c r="H774" s="16"/>
    </row>
    <row r="775" spans="2:8">
      <c r="B775" s="5"/>
      <c r="H775" s="16"/>
    </row>
    <row r="776" spans="2:8">
      <c r="B776" s="5"/>
      <c r="H776" s="16"/>
    </row>
    <row r="777" spans="2:8">
      <c r="B777" s="5"/>
      <c r="H777" s="16"/>
    </row>
    <row r="778" spans="2:8">
      <c r="B778" s="5"/>
      <c r="H778" s="16"/>
    </row>
    <row r="779" spans="2:8">
      <c r="B779" s="5"/>
      <c r="H779" s="16"/>
    </row>
    <row r="780" spans="2:8">
      <c r="B780" s="5"/>
      <c r="H780" s="16"/>
    </row>
    <row r="781" spans="2:8">
      <c r="B781" s="5"/>
      <c r="H781" s="16"/>
    </row>
    <row r="782" spans="2:8">
      <c r="B782" s="5"/>
      <c r="H782" s="16"/>
    </row>
    <row r="783" spans="2:8">
      <c r="B783" s="5"/>
      <c r="H783" s="16"/>
    </row>
    <row r="784" spans="2:8">
      <c r="B784" s="5"/>
      <c r="H784" s="16"/>
    </row>
    <row r="785" spans="2:8">
      <c r="B785" s="5"/>
      <c r="H785" s="16"/>
    </row>
    <row r="786" spans="2:8">
      <c r="B786" s="5"/>
      <c r="H786" s="16"/>
    </row>
    <row r="787" spans="2:8">
      <c r="B787" s="5"/>
      <c r="H787" s="16"/>
    </row>
    <row r="788" spans="2:8">
      <c r="B788" s="5"/>
      <c r="H788" s="16"/>
    </row>
    <row r="789" spans="2:8">
      <c r="B789" s="5"/>
      <c r="H789" s="16"/>
    </row>
    <row r="790" spans="2:8">
      <c r="B790" s="5"/>
      <c r="H790" s="16"/>
    </row>
    <row r="791" spans="2:8">
      <c r="B791" s="5"/>
      <c r="H791" s="16"/>
    </row>
    <row r="792" spans="2:8">
      <c r="B792" s="5"/>
      <c r="H792" s="16"/>
    </row>
    <row r="793" spans="2:8">
      <c r="B793" s="5"/>
      <c r="H793" s="16"/>
    </row>
    <row r="794" spans="2:8">
      <c r="B794" s="5"/>
      <c r="H794" s="16"/>
    </row>
    <row r="795" spans="2:8">
      <c r="B795" s="5"/>
      <c r="H795" s="16"/>
    </row>
    <row r="796" spans="2:8">
      <c r="B796" s="5"/>
      <c r="H796" s="16"/>
    </row>
    <row r="797" spans="2:8">
      <c r="B797" s="5"/>
      <c r="H797" s="16"/>
    </row>
    <row r="798" spans="2:8">
      <c r="B798" s="5"/>
      <c r="H798" s="16"/>
    </row>
    <row r="799" spans="2:8">
      <c r="B799" s="5"/>
      <c r="H799" s="16"/>
    </row>
    <row r="800" spans="2:8">
      <c r="B800" s="5"/>
      <c r="H800" s="16"/>
    </row>
    <row r="801" spans="2:8">
      <c r="B801" s="5"/>
      <c r="H801" s="16"/>
    </row>
    <row r="802" spans="2:8">
      <c r="B802" s="5"/>
      <c r="H802" s="16"/>
    </row>
    <row r="803" spans="2:8">
      <c r="B803" s="5"/>
      <c r="H803" s="16"/>
    </row>
    <row r="804" spans="2:8">
      <c r="B804" s="5"/>
      <c r="H804" s="16"/>
    </row>
    <row r="805" spans="2:8">
      <c r="B805" s="5"/>
      <c r="H805" s="16"/>
    </row>
    <row r="806" spans="2:8">
      <c r="B806" s="5"/>
      <c r="H806" s="16"/>
    </row>
    <row r="807" spans="2:8">
      <c r="B807" s="5"/>
      <c r="H807" s="16"/>
    </row>
    <row r="808" spans="2:8">
      <c r="B808" s="5"/>
      <c r="H808" s="16"/>
    </row>
    <row r="809" spans="2:8">
      <c r="B809" s="5"/>
      <c r="H809" s="16"/>
    </row>
    <row r="810" spans="2:8">
      <c r="B810" s="5"/>
      <c r="H810" s="16"/>
    </row>
    <row r="811" spans="2:8">
      <c r="B811" s="5"/>
      <c r="H811" s="16"/>
    </row>
    <row r="812" spans="2:8">
      <c r="B812" s="5"/>
      <c r="H812" s="16"/>
    </row>
    <row r="813" spans="2:8">
      <c r="B813" s="5"/>
      <c r="H813" s="16"/>
    </row>
    <row r="814" spans="2:8">
      <c r="B814" s="5"/>
      <c r="H814" s="16"/>
    </row>
    <row r="815" spans="2:8">
      <c r="B815" s="5"/>
      <c r="H815" s="16"/>
    </row>
    <row r="816" spans="2:8">
      <c r="B816" s="5"/>
      <c r="H816" s="16"/>
    </row>
    <row r="817" spans="2:8">
      <c r="B817" s="5"/>
      <c r="H817" s="16"/>
    </row>
    <row r="818" spans="2:8">
      <c r="B818" s="5"/>
      <c r="H818" s="16"/>
    </row>
    <row r="819" spans="2:8">
      <c r="B819" s="5"/>
      <c r="H819" s="16"/>
    </row>
    <row r="820" spans="2:8">
      <c r="B820" s="5"/>
      <c r="H820" s="16"/>
    </row>
    <row r="821" spans="2:8">
      <c r="B821" s="5"/>
      <c r="H821" s="16"/>
    </row>
    <row r="822" spans="2:8">
      <c r="B822" s="5"/>
      <c r="H822" s="16"/>
    </row>
    <row r="823" spans="2:8">
      <c r="B823" s="5"/>
      <c r="H823" s="16"/>
    </row>
    <row r="824" spans="2:8">
      <c r="B824" s="5"/>
      <c r="H824" s="16"/>
    </row>
    <row r="825" spans="2:8">
      <c r="B825" s="5"/>
      <c r="H825" s="16"/>
    </row>
    <row r="826" spans="2:8">
      <c r="B826" s="5"/>
      <c r="H826" s="16"/>
    </row>
    <row r="827" spans="2:8">
      <c r="B827" s="5"/>
      <c r="H827" s="16"/>
    </row>
    <row r="828" spans="2:8">
      <c r="B828" s="5"/>
      <c r="H828" s="16"/>
    </row>
    <row r="829" spans="2:8">
      <c r="B829" s="5"/>
      <c r="H829" s="16"/>
    </row>
    <row r="830" spans="2:8">
      <c r="B830" s="5"/>
      <c r="H830" s="16"/>
    </row>
    <row r="831" spans="2:8">
      <c r="B831" s="5"/>
      <c r="H831" s="16"/>
    </row>
    <row r="832" spans="2:8">
      <c r="B832" s="5"/>
      <c r="H832" s="16"/>
    </row>
    <row r="833" spans="2:8">
      <c r="B833" s="5"/>
      <c r="H833" s="16"/>
    </row>
    <row r="834" spans="2:8">
      <c r="B834" s="5"/>
      <c r="H834" s="16"/>
    </row>
    <row r="835" spans="2:8">
      <c r="B835" s="5"/>
      <c r="H835" s="16"/>
    </row>
    <row r="836" spans="2:8">
      <c r="B836" s="5"/>
      <c r="H836" s="16"/>
    </row>
    <row r="837" spans="2:8">
      <c r="B837" s="5"/>
      <c r="H837" s="16"/>
    </row>
    <row r="838" spans="2:8">
      <c r="B838" s="5"/>
      <c r="H838" s="16"/>
    </row>
    <row r="839" spans="2:8">
      <c r="B839" s="5"/>
      <c r="H839" s="16"/>
    </row>
    <row r="840" spans="2:8">
      <c r="B840" s="5"/>
      <c r="H840" s="16"/>
    </row>
    <row r="841" spans="2:8">
      <c r="B841" s="5"/>
      <c r="H841" s="16"/>
    </row>
    <row r="842" spans="2:8">
      <c r="B842" s="5"/>
      <c r="H842" s="16"/>
    </row>
    <row r="843" spans="2:8">
      <c r="B843" s="5"/>
      <c r="H843" s="16"/>
    </row>
    <row r="844" spans="2:8">
      <c r="B844" s="5"/>
      <c r="H844" s="16"/>
    </row>
    <row r="845" spans="2:8">
      <c r="B845" s="5"/>
      <c r="H845" s="16"/>
    </row>
    <row r="846" spans="2:8">
      <c r="B846" s="5"/>
      <c r="H846" s="16"/>
    </row>
    <row r="847" spans="2:8">
      <c r="B847" s="5"/>
      <c r="H847" s="16"/>
    </row>
    <row r="848" spans="2:8">
      <c r="B848" s="5"/>
      <c r="H848" s="16"/>
    </row>
    <row r="849" spans="2:8">
      <c r="B849" s="5"/>
      <c r="H849" s="16"/>
    </row>
    <row r="850" spans="2:8">
      <c r="B850" s="5"/>
      <c r="H850" s="16"/>
    </row>
    <row r="851" spans="2:8">
      <c r="B851" s="5"/>
      <c r="H851" s="16"/>
    </row>
    <row r="852" spans="2:8">
      <c r="B852" s="5"/>
      <c r="H852" s="16"/>
    </row>
    <row r="853" spans="2:8">
      <c r="B853" s="5"/>
      <c r="H853" s="16"/>
    </row>
    <row r="854" spans="2:8">
      <c r="B854" s="5"/>
      <c r="H854" s="16"/>
    </row>
    <row r="855" spans="2:8">
      <c r="B855" s="5"/>
      <c r="H855" s="16"/>
    </row>
    <row r="856" spans="2:8">
      <c r="B856" s="5"/>
      <c r="H856" s="16"/>
    </row>
    <row r="857" spans="2:8">
      <c r="B857" s="5"/>
      <c r="H857" s="16"/>
    </row>
    <row r="858" spans="2:8">
      <c r="B858" s="5"/>
      <c r="H858" s="16"/>
    </row>
    <row r="859" spans="2:8">
      <c r="B859" s="5"/>
      <c r="H859" s="16"/>
    </row>
    <row r="860" spans="2:8">
      <c r="B860" s="5"/>
      <c r="H860" s="16"/>
    </row>
    <row r="861" spans="2:8">
      <c r="B861" s="5"/>
      <c r="H861" s="16"/>
    </row>
    <row r="862" spans="2:8">
      <c r="B862" s="5"/>
      <c r="H862" s="16"/>
    </row>
    <row r="863" spans="2:8">
      <c r="B863" s="5"/>
      <c r="H863" s="16"/>
    </row>
    <row r="864" spans="2:8">
      <c r="B864" s="5"/>
      <c r="H864" s="16"/>
    </row>
    <row r="865" spans="2:8">
      <c r="B865" s="5"/>
      <c r="H865" s="16"/>
    </row>
    <row r="866" spans="2:8">
      <c r="B866" s="5"/>
      <c r="H866" s="16"/>
    </row>
    <row r="867" spans="2:8">
      <c r="B867" s="5"/>
      <c r="H867" s="16"/>
    </row>
    <row r="868" spans="2:8">
      <c r="B868" s="5"/>
      <c r="H868" s="16"/>
    </row>
    <row r="869" spans="2:8">
      <c r="B869" s="5"/>
      <c r="H869" s="16"/>
    </row>
    <row r="870" spans="2:8">
      <c r="B870" s="5"/>
      <c r="H870" s="16"/>
    </row>
    <row r="871" spans="2:8">
      <c r="B871" s="5"/>
      <c r="H871" s="16"/>
    </row>
    <row r="872" spans="2:8">
      <c r="B872" s="5"/>
      <c r="H872" s="16"/>
    </row>
    <row r="873" spans="2:8">
      <c r="B873" s="5"/>
      <c r="H873" s="16"/>
    </row>
    <row r="874" spans="2:8">
      <c r="B874" s="5"/>
      <c r="H874" s="16"/>
    </row>
    <row r="875" spans="2:8">
      <c r="B875" s="5"/>
      <c r="H875" s="16"/>
    </row>
    <row r="876" spans="2:8">
      <c r="B876" s="5"/>
      <c r="H876" s="16"/>
    </row>
    <row r="877" spans="2:8">
      <c r="B877" s="5"/>
      <c r="H877" s="16"/>
    </row>
    <row r="878" spans="2:8">
      <c r="B878" s="5"/>
      <c r="H878" s="16"/>
    </row>
    <row r="879" spans="2:8">
      <c r="B879" s="5"/>
      <c r="H879" s="16"/>
    </row>
    <row r="880" spans="2:8">
      <c r="B880" s="5"/>
      <c r="H880" s="16"/>
    </row>
    <row r="881" spans="2:8">
      <c r="B881" s="5"/>
      <c r="H881" s="16"/>
    </row>
    <row r="882" spans="2:8">
      <c r="B882" s="5"/>
      <c r="H882" s="16"/>
    </row>
    <row r="883" spans="2:8">
      <c r="B883" s="5"/>
      <c r="H883" s="16"/>
    </row>
    <row r="884" spans="2:8">
      <c r="B884" s="5"/>
      <c r="H884" s="16"/>
    </row>
    <row r="885" spans="2:8">
      <c r="B885" s="5"/>
      <c r="H885" s="16"/>
    </row>
    <row r="886" spans="2:8">
      <c r="B886" s="5"/>
      <c r="H886" s="16"/>
    </row>
    <row r="887" spans="2:8">
      <c r="B887" s="5"/>
      <c r="H887" s="16"/>
    </row>
    <row r="888" spans="2:8">
      <c r="B888" s="5"/>
      <c r="H888" s="16"/>
    </row>
    <row r="889" spans="2:8">
      <c r="B889" s="5"/>
      <c r="H889" s="16"/>
    </row>
    <row r="890" spans="2:8">
      <c r="B890" s="5"/>
      <c r="H890" s="16"/>
    </row>
    <row r="891" spans="2:8">
      <c r="B891" s="5"/>
      <c r="H891" s="16"/>
    </row>
    <row r="892" spans="2:8">
      <c r="B892" s="5"/>
      <c r="H892" s="16"/>
    </row>
  </sheetData>
  <mergeCells count="27">
    <mergeCell ref="C50:F50"/>
    <mergeCell ref="G50:H50"/>
    <mergeCell ref="C47:F47"/>
    <mergeCell ref="G47:H47"/>
    <mergeCell ref="C48:F48"/>
    <mergeCell ref="G48:H48"/>
    <mergeCell ref="C49:F49"/>
    <mergeCell ref="G49:H49"/>
    <mergeCell ref="C44:F44"/>
    <mergeCell ref="G44:H44"/>
    <mergeCell ref="C45:F45"/>
    <mergeCell ref="G45:H45"/>
    <mergeCell ref="C46:F46"/>
    <mergeCell ref="G46:H46"/>
    <mergeCell ref="C43:F43"/>
    <mergeCell ref="G43:H43"/>
    <mergeCell ref="A4:H4"/>
    <mergeCell ref="A10:F10"/>
    <mergeCell ref="A17:F17"/>
    <mergeCell ref="A23:F23"/>
    <mergeCell ref="A29:F29"/>
    <mergeCell ref="A35:F35"/>
    <mergeCell ref="A38:F38"/>
    <mergeCell ref="C41:F41"/>
    <mergeCell ref="G41:H41"/>
    <mergeCell ref="C42:F42"/>
    <mergeCell ref="G42:H42"/>
  </mergeCells>
  <phoneticPr fontId="24" type="noConversion"/>
  <dataValidations count="1">
    <dataValidation type="list" allowBlank="1" showInputMessage="1" showErrorMessage="1" sqref="B42:B48" xr:uid="{D16C1EC5-85F4-4973-AAAB-6187C4F48450}">
      <formula1>$L$41:$L$45</formula1>
    </dataValidation>
  </dataValidations>
  <pageMargins left="0.7" right="0.7" top="0.75" bottom="0.75" header="0.3" footer="0.3"/>
  <pageSetup scale="52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8F05C-22AD-40EF-849C-41F999146799}">
  <sheetPr>
    <pageSetUpPr fitToPage="1"/>
  </sheetPr>
  <dimension ref="A1:L892"/>
  <sheetViews>
    <sheetView showZeros="0" view="pageBreakPreview" zoomScale="60" zoomScaleNormal="70" workbookViewId="0">
      <selection activeCell="A11" sqref="A11"/>
    </sheetView>
  </sheetViews>
  <sheetFormatPr defaultColWidth="10.875" defaultRowHeight="18.75"/>
  <cols>
    <col min="1" max="1" width="35.625" customWidth="1"/>
    <col min="2" max="2" width="14.625" style="16" customWidth="1"/>
    <col min="3" max="7" width="15.875" style="5" customWidth="1"/>
    <col min="8" max="8" width="15.875" style="17" customWidth="1"/>
    <col min="9" max="9" width="9" style="5"/>
    <col min="10" max="12" width="0" style="5" hidden="1" customWidth="1"/>
    <col min="13" max="16384" width="10.875" style="5"/>
  </cols>
  <sheetData>
    <row r="1" spans="1:10" customFormat="1" ht="15.75">
      <c r="A1" s="41"/>
      <c r="B1" s="42"/>
      <c r="C1" s="43"/>
      <c r="D1" s="43"/>
      <c r="E1" s="45" t="s">
        <v>25</v>
      </c>
      <c r="F1" s="43"/>
      <c r="G1" s="45" t="s">
        <v>26</v>
      </c>
      <c r="H1" s="44">
        <v>6</v>
      </c>
    </row>
    <row r="2" spans="1:10">
      <c r="A2" s="30"/>
      <c r="B2" s="18" t="s">
        <v>27</v>
      </c>
      <c r="C2" s="19" t="s">
        <v>28</v>
      </c>
      <c r="D2" s="19" t="s">
        <v>29</v>
      </c>
      <c r="E2" s="18" t="s">
        <v>30</v>
      </c>
      <c r="F2" s="18" t="s">
        <v>31</v>
      </c>
      <c r="G2" s="18" t="s">
        <v>32</v>
      </c>
      <c r="H2" s="18" t="s">
        <v>33</v>
      </c>
    </row>
    <row r="3" spans="1:10" ht="21" customHeight="1">
      <c r="A3" s="31" t="s">
        <v>7</v>
      </c>
      <c r="B3" s="6">
        <f>'Week. 4'!H3+1</f>
        <v>46054</v>
      </c>
      <c r="C3" s="6">
        <f>B3+1</f>
        <v>46055</v>
      </c>
      <c r="D3" s="6">
        <f t="shared" ref="D3:H3" si="0">C3+1</f>
        <v>46056</v>
      </c>
      <c r="E3" s="6">
        <f t="shared" si="0"/>
        <v>46057</v>
      </c>
      <c r="F3" s="6">
        <f t="shared" si="0"/>
        <v>46058</v>
      </c>
      <c r="G3" s="6">
        <f t="shared" si="0"/>
        <v>46059</v>
      </c>
      <c r="H3" s="6">
        <f t="shared" si="0"/>
        <v>46060</v>
      </c>
    </row>
    <row r="4" spans="1:10" s="7" customFormat="1">
      <c r="A4" s="181" t="s">
        <v>135</v>
      </c>
      <c r="B4" s="181"/>
      <c r="C4" s="181"/>
      <c r="D4" s="181"/>
      <c r="E4" s="181"/>
      <c r="F4" s="181"/>
      <c r="G4" s="181"/>
      <c r="H4" s="181"/>
    </row>
    <row r="5" spans="1:10" s="7" customFormat="1" ht="26.1" customHeight="1">
      <c r="A5" s="32" t="s">
        <v>8</v>
      </c>
      <c r="B5" s="27"/>
      <c r="C5" s="27"/>
      <c r="D5" s="27"/>
      <c r="E5" s="27"/>
      <c r="F5" s="27"/>
      <c r="G5" s="27"/>
      <c r="H5" s="27"/>
    </row>
    <row r="6" spans="1:10" s="7" customFormat="1" ht="26.1" customHeight="1">
      <c r="A6" s="4" t="s">
        <v>23</v>
      </c>
      <c r="B6" s="62"/>
      <c r="C6" s="62"/>
      <c r="D6" s="62"/>
      <c r="E6" s="62"/>
      <c r="F6" s="62"/>
      <c r="G6" s="62"/>
      <c r="H6" s="62"/>
    </row>
    <row r="7" spans="1:10" s="7" customFormat="1" ht="21.95" customHeight="1">
      <c r="A7" s="32" t="s">
        <v>35</v>
      </c>
      <c r="B7" s="27"/>
      <c r="C7" s="28"/>
      <c r="D7" s="28"/>
      <c r="E7" s="28"/>
      <c r="F7" s="28"/>
      <c r="G7" s="28"/>
      <c r="H7" s="27"/>
    </row>
    <row r="8" spans="1:10" s="7" customFormat="1" ht="24.95" customHeight="1">
      <c r="A8" s="83" t="s">
        <v>36</v>
      </c>
      <c r="B8" s="84">
        <f t="shared" ref="B8:H8" si="1">B5+B6+B7</f>
        <v>0</v>
      </c>
      <c r="C8" s="84">
        <f t="shared" si="1"/>
        <v>0</v>
      </c>
      <c r="D8" s="84">
        <f t="shared" si="1"/>
        <v>0</v>
      </c>
      <c r="E8" s="84">
        <f t="shared" si="1"/>
        <v>0</v>
      </c>
      <c r="F8" s="84">
        <f t="shared" si="1"/>
        <v>0</v>
      </c>
      <c r="G8" s="84">
        <f t="shared" si="1"/>
        <v>0</v>
      </c>
      <c r="H8" s="84">
        <f t="shared" si="1"/>
        <v>0</v>
      </c>
    </row>
    <row r="9" spans="1:10" s="7" customFormat="1" ht="24.95" customHeight="1">
      <c r="A9" s="33"/>
      <c r="B9" s="29"/>
      <c r="C9" s="29"/>
      <c r="D9" s="29"/>
      <c r="E9" s="29"/>
      <c r="F9" s="29"/>
      <c r="G9" s="63" t="s">
        <v>37</v>
      </c>
      <c r="H9" s="64">
        <f>SUM(B8:H8)</f>
        <v>0</v>
      </c>
    </row>
    <row r="10" spans="1:10" s="7" customFormat="1">
      <c r="A10" s="182" t="s">
        <v>136</v>
      </c>
      <c r="B10" s="183"/>
      <c r="C10" s="183"/>
      <c r="D10" s="183"/>
      <c r="E10" s="183"/>
      <c r="F10" s="183"/>
      <c r="G10" s="65" t="s">
        <v>39</v>
      </c>
      <c r="H10" s="66">
        <v>-0.15</v>
      </c>
      <c r="I10" s="5"/>
      <c r="J10" s="26"/>
    </row>
    <row r="11" spans="1:10" s="7" customFormat="1" ht="30" customHeight="1">
      <c r="A11" s="39" t="s">
        <v>8</v>
      </c>
      <c r="B11" s="9"/>
      <c r="C11" s="9"/>
      <c r="D11" s="67"/>
      <c r="E11" s="67"/>
      <c r="F11" s="9"/>
      <c r="G11" s="68"/>
      <c r="H11" s="69"/>
    </row>
    <row r="12" spans="1:10" s="7" customFormat="1" ht="30" customHeight="1">
      <c r="A12" s="70" t="s">
        <v>23</v>
      </c>
      <c r="B12" s="59"/>
      <c r="C12" s="58"/>
      <c r="D12" s="58"/>
      <c r="E12" s="58"/>
      <c r="F12" s="58"/>
      <c r="G12" s="58"/>
      <c r="H12" s="58"/>
    </row>
    <row r="13" spans="1:10" s="7" customFormat="1" ht="30" customHeight="1">
      <c r="A13" s="3" t="s">
        <v>35</v>
      </c>
      <c r="B13" s="8"/>
      <c r="C13" s="8"/>
      <c r="D13" s="8"/>
      <c r="E13" s="8"/>
      <c r="F13" s="8"/>
      <c r="G13" s="8"/>
      <c r="H13" s="8"/>
    </row>
    <row r="14" spans="1:10" s="7" customFormat="1" ht="27" customHeight="1">
      <c r="A14" s="85" t="s">
        <v>36</v>
      </c>
      <c r="B14" s="87">
        <f t="shared" ref="B14:H14" si="2">B11+B12+B13</f>
        <v>0</v>
      </c>
      <c r="C14" s="87">
        <f t="shared" si="2"/>
        <v>0</v>
      </c>
      <c r="D14" s="87">
        <f t="shared" si="2"/>
        <v>0</v>
      </c>
      <c r="E14" s="87">
        <f t="shared" si="2"/>
        <v>0</v>
      </c>
      <c r="F14" s="87">
        <f t="shared" si="2"/>
        <v>0</v>
      </c>
      <c r="G14" s="87">
        <f t="shared" si="2"/>
        <v>0</v>
      </c>
      <c r="H14" s="87">
        <f t="shared" si="2"/>
        <v>0</v>
      </c>
    </row>
    <row r="15" spans="1:10" s="7" customFormat="1" ht="24.95" customHeight="1">
      <c r="A15" s="86" t="s">
        <v>40</v>
      </c>
      <c r="B15" s="92" t="e">
        <f t="shared" ref="B15:H15" si="3">(B14-B8)/B8</f>
        <v>#DIV/0!</v>
      </c>
      <c r="C15" s="93" t="e">
        <f t="shared" si="3"/>
        <v>#DIV/0!</v>
      </c>
      <c r="D15" s="93" t="e">
        <f t="shared" si="3"/>
        <v>#DIV/0!</v>
      </c>
      <c r="E15" s="93" t="e">
        <f t="shared" si="3"/>
        <v>#DIV/0!</v>
      </c>
      <c r="F15" s="93" t="e">
        <f t="shared" si="3"/>
        <v>#DIV/0!</v>
      </c>
      <c r="G15" s="93" t="e">
        <f t="shared" si="3"/>
        <v>#DIV/0!</v>
      </c>
      <c r="H15" s="94" t="e">
        <f t="shared" si="3"/>
        <v>#DIV/0!</v>
      </c>
      <c r="I15" s="71"/>
    </row>
    <row r="16" spans="1:10" ht="30" customHeight="1">
      <c r="B16" s="88"/>
      <c r="C16" s="88"/>
      <c r="D16" s="88"/>
      <c r="E16" s="88"/>
      <c r="F16" s="89"/>
      <c r="G16" s="90" t="s">
        <v>37</v>
      </c>
      <c r="H16" s="91">
        <f>SUM(B14:H14)</f>
        <v>0</v>
      </c>
    </row>
    <row r="17" spans="1:8" s="7" customFormat="1">
      <c r="A17" s="184" t="s">
        <v>41</v>
      </c>
      <c r="B17" s="185"/>
      <c r="C17" s="185"/>
      <c r="D17" s="185"/>
      <c r="E17" s="185"/>
      <c r="F17" s="185"/>
      <c r="G17" s="72" t="s">
        <v>42</v>
      </c>
      <c r="H17" s="66" t="e">
        <f>(H16-H9)/H9</f>
        <v>#DIV/0!</v>
      </c>
    </row>
    <row r="18" spans="1:8" s="7" customFormat="1" ht="30" customHeight="1">
      <c r="A18" s="35" t="s">
        <v>43</v>
      </c>
      <c r="B18" s="12"/>
      <c r="C18" s="12"/>
      <c r="D18" s="73"/>
      <c r="E18" s="73"/>
      <c r="F18" s="12"/>
      <c r="G18" s="24"/>
      <c r="H18" s="74"/>
    </row>
    <row r="19" spans="1:8" s="7" customFormat="1" ht="30" customHeight="1">
      <c r="A19" s="35" t="str">
        <f>'Week. 4'!A31</f>
        <v>Non Meal Plan Meals</v>
      </c>
      <c r="B19" s="12"/>
      <c r="C19" s="12"/>
      <c r="D19" s="73"/>
      <c r="E19" s="73"/>
      <c r="F19" s="12"/>
      <c r="G19" s="24"/>
      <c r="H19" s="74"/>
    </row>
    <row r="20" spans="1:8" s="7" customFormat="1" ht="30" customHeight="1">
      <c r="A20" s="35" t="str">
        <f>'Week. 4'!A32</f>
        <v xml:space="preserve">Meal numbers </v>
      </c>
      <c r="B20" s="95"/>
      <c r="C20" s="95"/>
      <c r="D20" s="67"/>
      <c r="E20" s="67"/>
      <c r="F20" s="95"/>
      <c r="G20" s="95"/>
      <c r="H20" s="75"/>
    </row>
    <row r="21" spans="1:8" s="7" customFormat="1" ht="24.95" customHeight="1">
      <c r="A21" s="36" t="s">
        <v>45</v>
      </c>
      <c r="B21" s="77">
        <f t="shared" ref="B21:G21" si="4">B18+B20</f>
        <v>0</v>
      </c>
      <c r="C21" s="77">
        <f t="shared" si="4"/>
        <v>0</v>
      </c>
      <c r="D21" s="96"/>
      <c r="E21" s="96"/>
      <c r="F21" s="77">
        <f t="shared" si="4"/>
        <v>0</v>
      </c>
      <c r="G21" s="77">
        <f t="shared" si="4"/>
        <v>0</v>
      </c>
      <c r="H21" s="77">
        <f>H18+H20</f>
        <v>0</v>
      </c>
    </row>
    <row r="22" spans="1:8" s="7" customFormat="1" ht="24.95" customHeight="1">
      <c r="A22" s="34" t="s">
        <v>40</v>
      </c>
      <c r="B22" s="92" t="e">
        <f>(B21-B5)/B5</f>
        <v>#DIV/0!</v>
      </c>
      <c r="C22" s="93" t="e">
        <f>(C21-C5)/C5</f>
        <v>#DIV/0!</v>
      </c>
      <c r="D22" s="99"/>
      <c r="E22" s="99"/>
      <c r="F22" s="93" t="e">
        <f>(F21-F5)/F5</f>
        <v>#DIV/0!</v>
      </c>
      <c r="G22" s="93" t="e">
        <f>(G21-G5)/G5</f>
        <v>#DIV/0!</v>
      </c>
      <c r="H22" s="94" t="e">
        <f>(H21-H5)/H5</f>
        <v>#DIV/0!</v>
      </c>
    </row>
    <row r="23" spans="1:8" s="7" customFormat="1">
      <c r="A23" s="186" t="s">
        <v>46</v>
      </c>
      <c r="B23" s="187"/>
      <c r="C23" s="187"/>
      <c r="D23" s="187"/>
      <c r="E23" s="187"/>
      <c r="F23" s="188" t="s">
        <v>47</v>
      </c>
      <c r="G23" s="97"/>
      <c r="H23" s="98"/>
    </row>
    <row r="24" spans="1:8" s="7" customFormat="1" ht="30" customHeight="1">
      <c r="A24" s="35" t="s">
        <v>43</v>
      </c>
      <c r="B24" s="11"/>
      <c r="C24" s="12"/>
      <c r="D24" s="12"/>
      <c r="E24" s="12"/>
      <c r="F24" s="12"/>
      <c r="G24" s="12"/>
      <c r="H24" s="11"/>
    </row>
    <row r="25" spans="1:8" s="7" customFormat="1" ht="30" customHeight="1">
      <c r="A25" s="35" t="str">
        <f>A19</f>
        <v>Non Meal Plan Meals</v>
      </c>
      <c r="B25" s="117"/>
      <c r="C25" s="117"/>
      <c r="D25" s="117"/>
      <c r="E25" s="117"/>
      <c r="F25" s="117"/>
      <c r="G25" s="117"/>
      <c r="H25" s="117"/>
    </row>
    <row r="26" spans="1:8" s="7" customFormat="1" ht="30" customHeight="1">
      <c r="A26" s="35" t="str">
        <f>A20</f>
        <v xml:space="preserve">Meal numbers </v>
      </c>
      <c r="B26" s="11"/>
      <c r="C26" s="11"/>
      <c r="D26" s="11"/>
      <c r="E26" s="11"/>
      <c r="F26" s="11"/>
      <c r="G26" s="11"/>
      <c r="H26" s="11"/>
    </row>
    <row r="27" spans="1:8" s="7" customFormat="1" ht="27.95" customHeight="1">
      <c r="A27" s="36" t="s">
        <v>50</v>
      </c>
      <c r="B27" s="100">
        <f>B24+B25+B26</f>
        <v>0</v>
      </c>
      <c r="C27" s="100">
        <f t="shared" ref="C27:G27" si="5">C24+C25+C26</f>
        <v>0</v>
      </c>
      <c r="D27" s="100">
        <f t="shared" si="5"/>
        <v>0</v>
      </c>
      <c r="E27" s="100">
        <f t="shared" si="5"/>
        <v>0</v>
      </c>
      <c r="F27" s="100">
        <f t="shared" si="5"/>
        <v>0</v>
      </c>
      <c r="G27" s="100">
        <f t="shared" si="5"/>
        <v>0</v>
      </c>
      <c r="H27" s="100">
        <f>H24+H25+H26</f>
        <v>0</v>
      </c>
    </row>
    <row r="28" spans="1:8" s="7" customFormat="1" ht="24.95" customHeight="1">
      <c r="A28" s="34" t="s">
        <v>40</v>
      </c>
      <c r="B28" s="92" t="e">
        <f t="shared" ref="B28:H28" si="6">(B27-B6)/B6</f>
        <v>#DIV/0!</v>
      </c>
      <c r="C28" s="93" t="e">
        <f t="shared" si="6"/>
        <v>#DIV/0!</v>
      </c>
      <c r="D28" s="93" t="e">
        <f t="shared" si="6"/>
        <v>#DIV/0!</v>
      </c>
      <c r="E28" s="93" t="e">
        <f t="shared" si="6"/>
        <v>#DIV/0!</v>
      </c>
      <c r="F28" s="93" t="e">
        <f t="shared" si="6"/>
        <v>#DIV/0!</v>
      </c>
      <c r="G28" s="93" t="e">
        <f t="shared" si="6"/>
        <v>#DIV/0!</v>
      </c>
      <c r="H28" s="94" t="e">
        <f t="shared" si="6"/>
        <v>#DIV/0!</v>
      </c>
    </row>
    <row r="29" spans="1:8" s="7" customFormat="1">
      <c r="A29" s="189" t="s">
        <v>51</v>
      </c>
      <c r="B29" s="190"/>
      <c r="C29" s="190"/>
      <c r="D29" s="190"/>
      <c r="E29" s="190"/>
      <c r="F29" s="191" t="s">
        <v>35</v>
      </c>
      <c r="G29" s="101"/>
      <c r="H29" s="102"/>
    </row>
    <row r="30" spans="1:8" s="7" customFormat="1" ht="30" customHeight="1">
      <c r="A30" s="35" t="s">
        <v>43</v>
      </c>
      <c r="B30" s="10"/>
      <c r="C30" s="9"/>
      <c r="D30" s="9"/>
      <c r="E30" s="9"/>
      <c r="F30" s="9"/>
      <c r="G30" s="9"/>
      <c r="H30" s="10"/>
    </row>
    <row r="31" spans="1:8" s="7" customFormat="1" ht="30" customHeight="1">
      <c r="A31" s="35" t="str">
        <f>A25</f>
        <v>Non Meal Plan Meals</v>
      </c>
      <c r="B31" s="60"/>
      <c r="C31" s="60"/>
      <c r="D31" s="60"/>
      <c r="E31" s="60"/>
      <c r="F31" s="60"/>
      <c r="G31" s="60"/>
      <c r="H31" s="60"/>
    </row>
    <row r="32" spans="1:8" s="7" customFormat="1" ht="30" customHeight="1">
      <c r="A32" s="35" t="str">
        <f>A26</f>
        <v xml:space="preserve">Meal numbers </v>
      </c>
      <c r="B32" s="10"/>
      <c r="C32" s="10"/>
      <c r="D32" s="10"/>
      <c r="E32" s="10"/>
      <c r="F32" s="10"/>
      <c r="G32" s="10"/>
      <c r="H32" s="10"/>
    </row>
    <row r="33" spans="1:12" s="7" customFormat="1" ht="30.95" customHeight="1">
      <c r="A33" s="36" t="s">
        <v>53</v>
      </c>
      <c r="B33" s="103">
        <f>B30+B31+B32</f>
        <v>0</v>
      </c>
      <c r="C33" s="103">
        <f t="shared" ref="C33:G33" si="7">C30+C31+C32</f>
        <v>0</v>
      </c>
      <c r="D33" s="103">
        <f t="shared" si="7"/>
        <v>0</v>
      </c>
      <c r="E33" s="103">
        <f t="shared" si="7"/>
        <v>0</v>
      </c>
      <c r="F33" s="103">
        <f t="shared" si="7"/>
        <v>0</v>
      </c>
      <c r="G33" s="103">
        <f t="shared" si="7"/>
        <v>0</v>
      </c>
      <c r="H33" s="103">
        <f>H30+H31+H32</f>
        <v>0</v>
      </c>
    </row>
    <row r="34" spans="1:12" s="7" customFormat="1" ht="24.95" customHeight="1">
      <c r="A34" s="34" t="s">
        <v>40</v>
      </c>
      <c r="B34" s="92" t="e">
        <f t="shared" ref="B34:H34" si="8">(B33-B7)/B7</f>
        <v>#DIV/0!</v>
      </c>
      <c r="C34" s="93" t="e">
        <f t="shared" si="8"/>
        <v>#DIV/0!</v>
      </c>
      <c r="D34" s="93" t="e">
        <f t="shared" si="8"/>
        <v>#DIV/0!</v>
      </c>
      <c r="E34" s="93" t="e">
        <f t="shared" si="8"/>
        <v>#DIV/0!</v>
      </c>
      <c r="F34" s="93" t="e">
        <f t="shared" si="8"/>
        <v>#DIV/0!</v>
      </c>
      <c r="G34" s="93" t="e">
        <f t="shared" si="8"/>
        <v>#DIV/0!</v>
      </c>
      <c r="H34" s="94" t="e">
        <f t="shared" si="8"/>
        <v>#DIV/0!</v>
      </c>
    </row>
    <row r="35" spans="1:12" s="7" customFormat="1">
      <c r="A35" s="192" t="s">
        <v>54</v>
      </c>
      <c r="B35" s="193"/>
      <c r="C35" s="193"/>
      <c r="D35" s="193"/>
      <c r="E35" s="193"/>
      <c r="F35" s="194" t="s">
        <v>35</v>
      </c>
      <c r="G35" s="104"/>
      <c r="H35" s="105"/>
    </row>
    <row r="36" spans="1:12" s="7" customFormat="1" ht="30.95" customHeight="1">
      <c r="A36" s="78" t="s">
        <v>55</v>
      </c>
      <c r="B36" s="77">
        <f>B33+B27+B21</f>
        <v>0</v>
      </c>
      <c r="C36" s="77">
        <f t="shared" ref="C36:H36" si="9">C33+C27+C21</f>
        <v>0</v>
      </c>
      <c r="D36" s="77">
        <f t="shared" si="9"/>
        <v>0</v>
      </c>
      <c r="E36" s="77">
        <f t="shared" si="9"/>
        <v>0</v>
      </c>
      <c r="F36" s="77">
        <f t="shared" si="9"/>
        <v>0</v>
      </c>
      <c r="G36" s="77">
        <f t="shared" si="9"/>
        <v>0</v>
      </c>
      <c r="H36" s="77">
        <f t="shared" si="9"/>
        <v>0</v>
      </c>
    </row>
    <row r="37" spans="1:12" s="7" customFormat="1" ht="24.95" customHeight="1">
      <c r="A37" s="34" t="s">
        <v>40</v>
      </c>
      <c r="B37" s="92" t="e">
        <f t="shared" ref="B37:H37" si="10">(B36-B8)/B8</f>
        <v>#DIV/0!</v>
      </c>
      <c r="C37" s="93" t="e">
        <f t="shared" si="10"/>
        <v>#DIV/0!</v>
      </c>
      <c r="D37" s="93" t="e">
        <f t="shared" si="10"/>
        <v>#DIV/0!</v>
      </c>
      <c r="E37" s="93" t="e">
        <f t="shared" si="10"/>
        <v>#DIV/0!</v>
      </c>
      <c r="F37" s="93" t="e">
        <f t="shared" si="10"/>
        <v>#DIV/0!</v>
      </c>
      <c r="G37" s="93" t="e">
        <f t="shared" si="10"/>
        <v>#DIV/0!</v>
      </c>
      <c r="H37" s="94" t="e">
        <f t="shared" si="10"/>
        <v>#DIV/0!</v>
      </c>
    </row>
    <row r="38" spans="1:12" ht="30" customHeight="1">
      <c r="A38" s="195"/>
      <c r="B38" s="196"/>
      <c r="C38" s="196"/>
      <c r="D38" s="196"/>
      <c r="E38" s="196"/>
      <c r="F38" s="196"/>
      <c r="G38" s="106" t="s">
        <v>37</v>
      </c>
      <c r="H38" s="107">
        <f>SUM(B36:H36)</f>
        <v>0</v>
      </c>
    </row>
    <row r="39" spans="1:12" s="7" customFormat="1" ht="24.95" customHeight="1">
      <c r="A39" s="37"/>
      <c r="B39" s="25"/>
      <c r="C39" s="25"/>
      <c r="D39" s="25"/>
      <c r="E39" s="25"/>
      <c r="F39" s="25"/>
      <c r="G39" s="79" t="s">
        <v>40</v>
      </c>
      <c r="H39" s="80" t="e">
        <f>(H38-H9)/H9</f>
        <v>#DIV/0!</v>
      </c>
    </row>
    <row r="40" spans="1:12" s="7" customFormat="1" ht="24.95" customHeight="1">
      <c r="A40" s="37"/>
      <c r="B40" s="25"/>
      <c r="C40" s="25"/>
      <c r="D40" s="25"/>
      <c r="E40" s="25"/>
      <c r="F40" s="25"/>
      <c r="G40" s="81" t="s">
        <v>56</v>
      </c>
      <c r="H40" s="82" t="e">
        <f>(H38-H16)/H16</f>
        <v>#DIV/0!</v>
      </c>
    </row>
    <row r="41" spans="1:12" s="46" customFormat="1" ht="23.1" customHeight="1">
      <c r="A41" s="40"/>
      <c r="B41" s="47" t="s">
        <v>57</v>
      </c>
      <c r="C41" s="197" t="s">
        <v>58</v>
      </c>
      <c r="D41" s="197"/>
      <c r="E41" s="197"/>
      <c r="F41" s="197"/>
      <c r="G41" s="198">
        <v>2022</v>
      </c>
      <c r="H41" s="199"/>
    </row>
    <row r="42" spans="1:12" ht="30" customHeight="1">
      <c r="A42" s="1" t="s">
        <v>60</v>
      </c>
      <c r="B42" s="57" t="s">
        <v>59</v>
      </c>
      <c r="C42" s="180"/>
      <c r="D42" s="180"/>
      <c r="E42" s="180"/>
      <c r="F42" s="180"/>
      <c r="G42" s="178"/>
      <c r="H42" s="179"/>
      <c r="L42" s="7" t="s">
        <v>61</v>
      </c>
    </row>
    <row r="43" spans="1:12" ht="30" customHeight="1">
      <c r="A43" s="1" t="s">
        <v>1</v>
      </c>
      <c r="B43" s="57" t="s">
        <v>59</v>
      </c>
      <c r="C43" s="180"/>
      <c r="D43" s="180"/>
      <c r="E43" s="180"/>
      <c r="F43" s="180"/>
      <c r="G43" s="178"/>
      <c r="H43" s="179"/>
      <c r="L43" s="5" t="s">
        <v>62</v>
      </c>
    </row>
    <row r="44" spans="1:12" ht="30" customHeight="1">
      <c r="A44" s="1" t="s">
        <v>2</v>
      </c>
      <c r="B44" s="57" t="s">
        <v>59</v>
      </c>
      <c r="C44" s="175"/>
      <c r="D44" s="175"/>
      <c r="E44" s="175"/>
      <c r="F44" s="175"/>
      <c r="G44" s="176"/>
      <c r="H44" s="177"/>
      <c r="L44" s="5" t="s">
        <v>63</v>
      </c>
    </row>
    <row r="45" spans="1:12" ht="30" customHeight="1">
      <c r="A45" s="1" t="s">
        <v>3</v>
      </c>
      <c r="B45" s="57" t="s">
        <v>59</v>
      </c>
      <c r="C45" s="175"/>
      <c r="D45" s="175"/>
      <c r="E45" s="175"/>
      <c r="F45" s="175"/>
      <c r="G45" s="176"/>
      <c r="H45" s="177"/>
      <c r="L45" s="5" t="s">
        <v>64</v>
      </c>
    </row>
    <row r="46" spans="1:12" ht="30.95" customHeight="1">
      <c r="A46" s="1" t="s">
        <v>4</v>
      </c>
      <c r="B46" s="57" t="s">
        <v>59</v>
      </c>
      <c r="C46" s="175"/>
      <c r="D46" s="175"/>
      <c r="E46" s="175"/>
      <c r="F46" s="175"/>
      <c r="G46" s="176"/>
      <c r="H46" s="177"/>
    </row>
    <row r="47" spans="1:12" ht="30" customHeight="1">
      <c r="A47" s="1" t="s">
        <v>5</v>
      </c>
      <c r="B47" s="57" t="s">
        <v>59</v>
      </c>
      <c r="C47" s="175"/>
      <c r="D47" s="175"/>
      <c r="E47" s="175"/>
      <c r="F47" s="175"/>
      <c r="G47" s="176"/>
      <c r="H47" s="177"/>
    </row>
    <row r="48" spans="1:12" ht="30" customHeight="1">
      <c r="A48" s="1" t="s">
        <v>6</v>
      </c>
      <c r="B48" s="57" t="s">
        <v>59</v>
      </c>
      <c r="C48" s="175"/>
      <c r="D48" s="175"/>
      <c r="E48" s="175"/>
      <c r="F48" s="175"/>
      <c r="G48" s="176"/>
      <c r="H48" s="177"/>
    </row>
    <row r="49" spans="1:8" ht="30" customHeight="1">
      <c r="A49" s="1"/>
      <c r="B49" s="14"/>
      <c r="C49" s="175"/>
      <c r="D49" s="175"/>
      <c r="E49" s="175"/>
      <c r="F49" s="175"/>
      <c r="G49" s="176"/>
      <c r="H49" s="177"/>
    </row>
    <row r="50" spans="1:8" ht="30" customHeight="1">
      <c r="A50" s="2"/>
      <c r="B50" s="14"/>
      <c r="C50" s="175"/>
      <c r="D50" s="175"/>
      <c r="E50" s="175"/>
      <c r="F50" s="175"/>
      <c r="G50" s="176"/>
      <c r="H50" s="177"/>
    </row>
    <row r="51" spans="1:8">
      <c r="A51" s="30"/>
      <c r="B51" s="18" t="s">
        <v>27</v>
      </c>
      <c r="C51" s="18" t="s">
        <v>28</v>
      </c>
      <c r="D51" s="18" t="s">
        <v>65</v>
      </c>
      <c r="E51" s="18" t="s">
        <v>30</v>
      </c>
      <c r="F51" s="18" t="s">
        <v>66</v>
      </c>
      <c r="G51" s="18" t="s">
        <v>32</v>
      </c>
      <c r="H51" s="18" t="s">
        <v>33</v>
      </c>
    </row>
    <row r="52" spans="1:8">
      <c r="A52" s="38" t="s">
        <v>67</v>
      </c>
      <c r="B52" s="15"/>
      <c r="C52" s="20"/>
      <c r="D52" s="20"/>
      <c r="E52" s="20"/>
      <c r="F52" s="20"/>
      <c r="G52" s="20"/>
      <c r="H52" s="15"/>
    </row>
    <row r="53" spans="1:8" customFormat="1" ht="15.75">
      <c r="A53" s="48" t="s">
        <v>68</v>
      </c>
      <c r="B53" s="22"/>
      <c r="C53" s="21"/>
      <c r="D53" s="21"/>
      <c r="E53" s="21"/>
      <c r="F53" s="21"/>
      <c r="G53" s="23" t="s">
        <v>37</v>
      </c>
      <c r="H53" s="23">
        <f>SUM(B52:H52)</f>
        <v>0</v>
      </c>
    </row>
    <row r="54" spans="1:8">
      <c r="A54" s="30"/>
      <c r="B54" s="18" t="s">
        <v>27</v>
      </c>
      <c r="C54" s="18" t="s">
        <v>28</v>
      </c>
      <c r="D54" s="18" t="s">
        <v>65</v>
      </c>
      <c r="E54" s="18" t="s">
        <v>30</v>
      </c>
      <c r="F54" s="18" t="s">
        <v>66</v>
      </c>
      <c r="G54" s="18" t="s">
        <v>32</v>
      </c>
      <c r="H54" s="18" t="s">
        <v>33</v>
      </c>
    </row>
    <row r="55" spans="1:8">
      <c r="A55" s="38" t="s">
        <v>69</v>
      </c>
      <c r="B55" s="51"/>
      <c r="C55" s="52"/>
      <c r="D55" s="52"/>
      <c r="E55" s="52"/>
      <c r="F55" s="52"/>
      <c r="G55" s="20"/>
      <c r="H55" s="15"/>
    </row>
    <row r="56" spans="1:8" customFormat="1" ht="15.75">
      <c r="A56" s="49" t="s">
        <v>70</v>
      </c>
      <c r="B56" s="53"/>
      <c r="C56" s="53" t="s">
        <v>71</v>
      </c>
      <c r="D56" s="54"/>
      <c r="E56" s="54"/>
      <c r="F56" s="55"/>
      <c r="G56" s="50" t="s">
        <v>37</v>
      </c>
      <c r="H56" s="23"/>
    </row>
    <row r="57" spans="1:8">
      <c r="H57" s="16"/>
    </row>
    <row r="58" spans="1:8">
      <c r="H58" s="16"/>
    </row>
    <row r="59" spans="1:8">
      <c r="H59" s="16"/>
    </row>
    <row r="60" spans="1:8">
      <c r="H60" s="16"/>
    </row>
    <row r="61" spans="1:8">
      <c r="H61" s="16"/>
    </row>
    <row r="62" spans="1:8">
      <c r="H62" s="16"/>
    </row>
    <row r="63" spans="1:8">
      <c r="H63" s="16"/>
    </row>
    <row r="64" spans="1:8">
      <c r="B64" s="5"/>
      <c r="H64" s="16"/>
    </row>
    <row r="65" spans="2:8">
      <c r="B65" s="5"/>
      <c r="H65" s="16"/>
    </row>
    <row r="66" spans="2:8">
      <c r="B66" s="5"/>
      <c r="H66" s="16"/>
    </row>
    <row r="67" spans="2:8">
      <c r="B67" s="5"/>
      <c r="H67" s="16"/>
    </row>
    <row r="68" spans="2:8">
      <c r="B68" s="5"/>
      <c r="H68" s="16"/>
    </row>
    <row r="69" spans="2:8">
      <c r="B69" s="5"/>
      <c r="H69" s="16"/>
    </row>
    <row r="70" spans="2:8">
      <c r="B70" s="5"/>
      <c r="H70" s="16"/>
    </row>
    <row r="71" spans="2:8">
      <c r="B71" s="5"/>
      <c r="H71" s="16"/>
    </row>
    <row r="72" spans="2:8">
      <c r="B72" s="5"/>
      <c r="H72" s="16"/>
    </row>
    <row r="73" spans="2:8">
      <c r="B73" s="5"/>
      <c r="H73" s="16"/>
    </row>
    <row r="74" spans="2:8">
      <c r="B74" s="5"/>
      <c r="H74" s="16"/>
    </row>
    <row r="75" spans="2:8">
      <c r="B75" s="5"/>
      <c r="H75" s="16"/>
    </row>
    <row r="76" spans="2:8">
      <c r="B76" s="5"/>
      <c r="H76" s="16"/>
    </row>
    <row r="77" spans="2:8">
      <c r="B77" s="5"/>
      <c r="H77" s="16"/>
    </row>
    <row r="78" spans="2:8">
      <c r="B78" s="5"/>
      <c r="H78" s="16"/>
    </row>
    <row r="79" spans="2:8">
      <c r="B79" s="5"/>
      <c r="H79" s="16"/>
    </row>
    <row r="80" spans="2:8">
      <c r="B80" s="5"/>
      <c r="H80" s="16"/>
    </row>
    <row r="81" spans="2:8">
      <c r="B81" s="5"/>
      <c r="H81" s="16"/>
    </row>
    <row r="82" spans="2:8">
      <c r="B82" s="5"/>
      <c r="H82" s="16"/>
    </row>
    <row r="83" spans="2:8">
      <c r="B83" s="5"/>
      <c r="H83" s="16"/>
    </row>
    <row r="84" spans="2:8">
      <c r="B84" s="5"/>
      <c r="H84" s="16"/>
    </row>
    <row r="85" spans="2:8">
      <c r="B85" s="5"/>
      <c r="H85" s="16"/>
    </row>
    <row r="86" spans="2:8">
      <c r="B86" s="5"/>
      <c r="H86" s="16"/>
    </row>
    <row r="87" spans="2:8">
      <c r="B87" s="5"/>
      <c r="H87" s="16"/>
    </row>
    <row r="88" spans="2:8">
      <c r="B88" s="5"/>
      <c r="H88" s="16"/>
    </row>
    <row r="89" spans="2:8">
      <c r="B89" s="5"/>
      <c r="H89" s="16"/>
    </row>
    <row r="90" spans="2:8">
      <c r="B90" s="5"/>
      <c r="H90" s="16"/>
    </row>
    <row r="91" spans="2:8">
      <c r="B91" s="5"/>
      <c r="H91" s="16"/>
    </row>
    <row r="92" spans="2:8">
      <c r="B92" s="5"/>
      <c r="H92" s="16"/>
    </row>
    <row r="93" spans="2:8">
      <c r="B93" s="5"/>
      <c r="H93" s="16"/>
    </row>
    <row r="94" spans="2:8">
      <c r="B94" s="5"/>
      <c r="H94" s="16"/>
    </row>
    <row r="95" spans="2:8">
      <c r="B95" s="5"/>
      <c r="H95" s="16"/>
    </row>
    <row r="96" spans="2:8">
      <c r="B96" s="5"/>
      <c r="H96" s="16"/>
    </row>
    <row r="97" spans="2:8">
      <c r="B97" s="5"/>
      <c r="H97" s="16"/>
    </row>
    <row r="98" spans="2:8">
      <c r="B98" s="5"/>
      <c r="H98" s="16"/>
    </row>
    <row r="99" spans="2:8">
      <c r="B99" s="5"/>
      <c r="H99" s="16"/>
    </row>
    <row r="100" spans="2:8">
      <c r="B100" s="5"/>
      <c r="H100" s="16"/>
    </row>
    <row r="101" spans="2:8">
      <c r="B101" s="5"/>
      <c r="H101" s="16"/>
    </row>
    <row r="102" spans="2:8">
      <c r="B102" s="5"/>
      <c r="H102" s="16"/>
    </row>
    <row r="103" spans="2:8">
      <c r="B103" s="5"/>
      <c r="H103" s="16"/>
    </row>
    <row r="104" spans="2:8">
      <c r="B104" s="5"/>
      <c r="H104" s="16"/>
    </row>
    <row r="105" spans="2:8">
      <c r="B105" s="5"/>
      <c r="H105" s="16"/>
    </row>
    <row r="106" spans="2:8">
      <c r="B106" s="5"/>
      <c r="H106" s="16"/>
    </row>
    <row r="107" spans="2:8">
      <c r="B107" s="5"/>
      <c r="H107" s="16"/>
    </row>
    <row r="108" spans="2:8">
      <c r="B108" s="5"/>
      <c r="H108" s="16"/>
    </row>
    <row r="109" spans="2:8">
      <c r="B109" s="5"/>
      <c r="H109" s="16"/>
    </row>
    <row r="110" spans="2:8">
      <c r="B110" s="5"/>
      <c r="H110" s="16"/>
    </row>
    <row r="111" spans="2:8">
      <c r="B111" s="5"/>
      <c r="H111" s="16"/>
    </row>
    <row r="112" spans="2:8">
      <c r="B112" s="5"/>
      <c r="H112" s="16"/>
    </row>
    <row r="113" spans="2:8">
      <c r="B113" s="5"/>
      <c r="H113" s="16"/>
    </row>
    <row r="114" spans="2:8">
      <c r="B114" s="5"/>
      <c r="H114" s="16"/>
    </row>
    <row r="115" spans="2:8">
      <c r="B115" s="5"/>
      <c r="H115" s="16"/>
    </row>
    <row r="116" spans="2:8">
      <c r="B116" s="5"/>
      <c r="H116" s="16"/>
    </row>
    <row r="117" spans="2:8">
      <c r="B117" s="5"/>
      <c r="H117" s="16"/>
    </row>
    <row r="118" spans="2:8">
      <c r="B118" s="5"/>
      <c r="H118" s="16"/>
    </row>
    <row r="119" spans="2:8">
      <c r="B119" s="5"/>
      <c r="H119" s="16"/>
    </row>
    <row r="120" spans="2:8">
      <c r="B120" s="5"/>
      <c r="H120" s="16"/>
    </row>
    <row r="121" spans="2:8">
      <c r="B121" s="5"/>
      <c r="H121" s="16"/>
    </row>
    <row r="122" spans="2:8">
      <c r="B122" s="5"/>
      <c r="H122" s="16"/>
    </row>
    <row r="123" spans="2:8">
      <c r="B123" s="5"/>
      <c r="H123" s="16"/>
    </row>
    <row r="124" spans="2:8">
      <c r="B124" s="5"/>
      <c r="H124" s="16"/>
    </row>
    <row r="125" spans="2:8">
      <c r="B125" s="5"/>
      <c r="H125" s="16"/>
    </row>
    <row r="126" spans="2:8">
      <c r="B126" s="5"/>
      <c r="H126" s="16"/>
    </row>
    <row r="127" spans="2:8">
      <c r="B127" s="5"/>
      <c r="H127" s="16"/>
    </row>
    <row r="128" spans="2:8">
      <c r="B128" s="5"/>
      <c r="H128" s="16"/>
    </row>
    <row r="129" spans="2:8">
      <c r="B129" s="5"/>
      <c r="H129" s="16"/>
    </row>
    <row r="130" spans="2:8">
      <c r="B130" s="5"/>
      <c r="H130" s="16"/>
    </row>
    <row r="131" spans="2:8">
      <c r="B131" s="5"/>
      <c r="H131" s="16"/>
    </row>
    <row r="132" spans="2:8">
      <c r="B132" s="5"/>
      <c r="H132" s="16"/>
    </row>
    <row r="133" spans="2:8">
      <c r="B133" s="5"/>
      <c r="H133" s="16"/>
    </row>
    <row r="134" spans="2:8">
      <c r="B134" s="5"/>
      <c r="H134" s="16"/>
    </row>
    <row r="135" spans="2:8">
      <c r="B135" s="5"/>
      <c r="H135" s="16"/>
    </row>
    <row r="136" spans="2:8">
      <c r="B136" s="5"/>
      <c r="H136" s="16"/>
    </row>
    <row r="137" spans="2:8">
      <c r="B137" s="5"/>
      <c r="H137" s="16"/>
    </row>
    <row r="138" spans="2:8">
      <c r="B138" s="5"/>
      <c r="H138" s="16"/>
    </row>
    <row r="139" spans="2:8">
      <c r="B139" s="5"/>
      <c r="H139" s="16"/>
    </row>
    <row r="140" spans="2:8">
      <c r="B140" s="5"/>
      <c r="H140" s="16"/>
    </row>
    <row r="141" spans="2:8">
      <c r="B141" s="5"/>
      <c r="H141" s="16"/>
    </row>
    <row r="142" spans="2:8">
      <c r="B142" s="5"/>
      <c r="H142" s="16"/>
    </row>
    <row r="143" spans="2:8">
      <c r="B143" s="5"/>
      <c r="H143" s="16"/>
    </row>
    <row r="144" spans="2:8">
      <c r="B144" s="5"/>
      <c r="H144" s="16"/>
    </row>
    <row r="145" spans="2:8">
      <c r="B145" s="5"/>
      <c r="H145" s="16"/>
    </row>
    <row r="146" spans="2:8">
      <c r="B146" s="5"/>
      <c r="H146" s="16"/>
    </row>
    <row r="147" spans="2:8">
      <c r="B147" s="5"/>
      <c r="H147" s="16"/>
    </row>
    <row r="148" spans="2:8">
      <c r="B148" s="5"/>
      <c r="H148" s="16"/>
    </row>
    <row r="149" spans="2:8">
      <c r="B149" s="5"/>
      <c r="H149" s="16"/>
    </row>
    <row r="150" spans="2:8">
      <c r="B150" s="5"/>
      <c r="H150" s="16"/>
    </row>
    <row r="151" spans="2:8">
      <c r="B151" s="5"/>
      <c r="H151" s="16"/>
    </row>
    <row r="152" spans="2:8">
      <c r="B152" s="5"/>
      <c r="H152" s="16"/>
    </row>
    <row r="153" spans="2:8">
      <c r="B153" s="5"/>
      <c r="H153" s="16"/>
    </row>
    <row r="154" spans="2:8">
      <c r="B154" s="5"/>
      <c r="H154" s="16"/>
    </row>
    <row r="155" spans="2:8">
      <c r="B155" s="5"/>
      <c r="H155" s="16"/>
    </row>
    <row r="156" spans="2:8">
      <c r="B156" s="5"/>
      <c r="H156" s="16"/>
    </row>
    <row r="157" spans="2:8">
      <c r="B157" s="5"/>
      <c r="H157" s="16"/>
    </row>
    <row r="158" spans="2:8">
      <c r="B158" s="5"/>
      <c r="H158" s="16"/>
    </row>
    <row r="159" spans="2:8">
      <c r="B159" s="5"/>
      <c r="H159" s="16"/>
    </row>
    <row r="160" spans="2:8">
      <c r="B160" s="5"/>
      <c r="H160" s="16"/>
    </row>
    <row r="161" spans="2:8">
      <c r="B161" s="5"/>
      <c r="H161" s="16"/>
    </row>
    <row r="162" spans="2:8">
      <c r="B162" s="5"/>
      <c r="H162" s="16"/>
    </row>
    <row r="163" spans="2:8">
      <c r="B163" s="5"/>
      <c r="H163" s="16"/>
    </row>
    <row r="164" spans="2:8">
      <c r="B164" s="5"/>
      <c r="H164" s="16"/>
    </row>
    <row r="165" spans="2:8">
      <c r="B165" s="5"/>
      <c r="H165" s="16"/>
    </row>
    <row r="166" spans="2:8">
      <c r="B166" s="5"/>
      <c r="H166" s="16"/>
    </row>
    <row r="167" spans="2:8">
      <c r="B167" s="5"/>
      <c r="H167" s="16"/>
    </row>
    <row r="168" spans="2:8">
      <c r="B168" s="5"/>
      <c r="H168" s="16"/>
    </row>
    <row r="169" spans="2:8">
      <c r="B169" s="5"/>
      <c r="H169" s="16"/>
    </row>
    <row r="170" spans="2:8">
      <c r="B170" s="5"/>
      <c r="H170" s="16"/>
    </row>
    <row r="171" spans="2:8">
      <c r="B171" s="5"/>
      <c r="H171" s="16"/>
    </row>
    <row r="172" spans="2:8">
      <c r="B172" s="5"/>
      <c r="H172" s="16"/>
    </row>
    <row r="173" spans="2:8">
      <c r="B173" s="5"/>
      <c r="H173" s="16"/>
    </row>
    <row r="174" spans="2:8">
      <c r="B174" s="5"/>
      <c r="H174" s="16"/>
    </row>
    <row r="175" spans="2:8">
      <c r="B175" s="5"/>
      <c r="H175" s="16"/>
    </row>
    <row r="176" spans="2:8">
      <c r="B176" s="5"/>
      <c r="H176" s="16"/>
    </row>
    <row r="177" spans="2:8">
      <c r="B177" s="5"/>
      <c r="H177" s="16"/>
    </row>
    <row r="178" spans="2:8">
      <c r="B178" s="5"/>
      <c r="H178" s="16"/>
    </row>
    <row r="179" spans="2:8">
      <c r="B179" s="5"/>
      <c r="H179" s="16"/>
    </row>
    <row r="180" spans="2:8">
      <c r="B180" s="5"/>
      <c r="H180" s="16"/>
    </row>
    <row r="181" spans="2:8">
      <c r="B181" s="5"/>
      <c r="H181" s="16"/>
    </row>
    <row r="182" spans="2:8">
      <c r="B182" s="5"/>
      <c r="H182" s="16"/>
    </row>
    <row r="183" spans="2:8">
      <c r="B183" s="5"/>
      <c r="H183" s="16"/>
    </row>
    <row r="184" spans="2:8">
      <c r="B184" s="5"/>
      <c r="H184" s="16"/>
    </row>
    <row r="185" spans="2:8">
      <c r="B185" s="5"/>
      <c r="H185" s="16"/>
    </row>
    <row r="186" spans="2:8">
      <c r="B186" s="5"/>
      <c r="H186" s="16"/>
    </row>
    <row r="187" spans="2:8">
      <c r="B187" s="5"/>
      <c r="H187" s="16"/>
    </row>
    <row r="188" spans="2:8">
      <c r="B188" s="5"/>
      <c r="H188" s="16"/>
    </row>
    <row r="189" spans="2:8">
      <c r="B189" s="5"/>
      <c r="H189" s="16"/>
    </row>
    <row r="190" spans="2:8">
      <c r="B190" s="5"/>
      <c r="H190" s="16"/>
    </row>
    <row r="191" spans="2:8">
      <c r="B191" s="5"/>
      <c r="H191" s="16"/>
    </row>
    <row r="192" spans="2:8">
      <c r="B192" s="5"/>
      <c r="H192" s="16"/>
    </row>
    <row r="193" spans="2:8">
      <c r="B193" s="5"/>
      <c r="H193" s="16"/>
    </row>
    <row r="194" spans="2:8">
      <c r="B194" s="5"/>
      <c r="H194" s="16"/>
    </row>
    <row r="195" spans="2:8">
      <c r="B195" s="5"/>
      <c r="H195" s="16"/>
    </row>
    <row r="196" spans="2:8">
      <c r="B196" s="5"/>
      <c r="H196" s="16"/>
    </row>
    <row r="197" spans="2:8">
      <c r="B197" s="5"/>
      <c r="H197" s="16"/>
    </row>
    <row r="198" spans="2:8">
      <c r="B198" s="5"/>
      <c r="H198" s="16"/>
    </row>
    <row r="199" spans="2:8">
      <c r="B199" s="5"/>
      <c r="H199" s="16"/>
    </row>
    <row r="200" spans="2:8">
      <c r="B200" s="5"/>
      <c r="H200" s="16"/>
    </row>
    <row r="201" spans="2:8">
      <c r="B201" s="5"/>
      <c r="H201" s="16"/>
    </row>
    <row r="202" spans="2:8">
      <c r="B202" s="5"/>
      <c r="H202" s="16"/>
    </row>
    <row r="203" spans="2:8">
      <c r="B203" s="5"/>
      <c r="H203" s="16"/>
    </row>
    <row r="204" spans="2:8">
      <c r="B204" s="5"/>
      <c r="H204" s="16"/>
    </row>
    <row r="205" spans="2:8">
      <c r="B205" s="5"/>
      <c r="H205" s="16"/>
    </row>
    <row r="206" spans="2:8">
      <c r="B206" s="5"/>
      <c r="H206" s="16"/>
    </row>
    <row r="207" spans="2:8">
      <c r="B207" s="5"/>
      <c r="H207" s="16"/>
    </row>
    <row r="208" spans="2:8">
      <c r="B208" s="5"/>
      <c r="H208" s="16"/>
    </row>
    <row r="209" spans="2:8">
      <c r="B209" s="5"/>
      <c r="H209" s="16"/>
    </row>
    <row r="210" spans="2:8">
      <c r="B210" s="5"/>
      <c r="H210" s="16"/>
    </row>
    <row r="211" spans="2:8">
      <c r="B211" s="5"/>
      <c r="H211" s="16"/>
    </row>
    <row r="212" spans="2:8">
      <c r="B212" s="5"/>
      <c r="H212" s="16"/>
    </row>
    <row r="213" spans="2:8">
      <c r="B213" s="5"/>
      <c r="H213" s="16"/>
    </row>
    <row r="214" spans="2:8">
      <c r="B214" s="5"/>
      <c r="H214" s="16"/>
    </row>
    <row r="215" spans="2:8">
      <c r="B215" s="5"/>
      <c r="H215" s="16"/>
    </row>
    <row r="216" spans="2:8">
      <c r="B216" s="5"/>
      <c r="H216" s="16"/>
    </row>
    <row r="217" spans="2:8">
      <c r="B217" s="5"/>
      <c r="H217" s="16"/>
    </row>
    <row r="218" spans="2:8">
      <c r="B218" s="5"/>
      <c r="H218" s="16"/>
    </row>
    <row r="219" spans="2:8">
      <c r="B219" s="5"/>
      <c r="H219" s="16"/>
    </row>
    <row r="220" spans="2:8">
      <c r="B220" s="5"/>
      <c r="H220" s="16"/>
    </row>
    <row r="221" spans="2:8">
      <c r="B221" s="5"/>
      <c r="H221" s="16"/>
    </row>
    <row r="222" spans="2:8">
      <c r="B222" s="5"/>
      <c r="H222" s="16"/>
    </row>
    <row r="223" spans="2:8">
      <c r="B223" s="5"/>
      <c r="H223" s="16"/>
    </row>
    <row r="224" spans="2:8">
      <c r="B224" s="5"/>
      <c r="H224" s="16"/>
    </row>
    <row r="225" spans="2:8">
      <c r="B225" s="5"/>
      <c r="H225" s="16"/>
    </row>
    <row r="226" spans="2:8">
      <c r="B226" s="5"/>
      <c r="H226" s="16"/>
    </row>
    <row r="227" spans="2:8">
      <c r="B227" s="5"/>
      <c r="H227" s="16"/>
    </row>
    <row r="228" spans="2:8">
      <c r="B228" s="5"/>
      <c r="H228" s="16"/>
    </row>
    <row r="229" spans="2:8">
      <c r="B229" s="5"/>
      <c r="H229" s="16"/>
    </row>
    <row r="230" spans="2:8">
      <c r="B230" s="5"/>
      <c r="H230" s="16"/>
    </row>
    <row r="231" spans="2:8">
      <c r="B231" s="5"/>
      <c r="H231" s="16"/>
    </row>
    <row r="232" spans="2:8">
      <c r="B232" s="5"/>
      <c r="H232" s="16"/>
    </row>
    <row r="233" spans="2:8">
      <c r="B233" s="5"/>
      <c r="H233" s="16"/>
    </row>
    <row r="234" spans="2:8">
      <c r="B234" s="5"/>
      <c r="H234" s="16"/>
    </row>
    <row r="235" spans="2:8">
      <c r="B235" s="5"/>
      <c r="H235" s="16"/>
    </row>
    <row r="236" spans="2:8">
      <c r="B236" s="5"/>
      <c r="H236" s="16"/>
    </row>
    <row r="237" spans="2:8">
      <c r="B237" s="5"/>
      <c r="H237" s="16"/>
    </row>
    <row r="238" spans="2:8">
      <c r="B238" s="5"/>
      <c r="H238" s="16"/>
    </row>
    <row r="239" spans="2:8">
      <c r="B239" s="5"/>
      <c r="H239" s="16"/>
    </row>
    <row r="240" spans="2:8">
      <c r="B240" s="5"/>
      <c r="H240" s="16"/>
    </row>
    <row r="241" spans="2:8">
      <c r="B241" s="5"/>
      <c r="H241" s="16"/>
    </row>
    <row r="242" spans="2:8">
      <c r="B242" s="5"/>
      <c r="H242" s="16"/>
    </row>
    <row r="243" spans="2:8">
      <c r="B243" s="5"/>
      <c r="H243" s="16"/>
    </row>
    <row r="244" spans="2:8">
      <c r="B244" s="5"/>
      <c r="H244" s="16"/>
    </row>
    <row r="245" spans="2:8">
      <c r="B245" s="5"/>
      <c r="H245" s="16"/>
    </row>
    <row r="246" spans="2:8">
      <c r="B246" s="5"/>
      <c r="H246" s="16"/>
    </row>
    <row r="247" spans="2:8">
      <c r="B247" s="5"/>
      <c r="H247" s="16"/>
    </row>
    <row r="248" spans="2:8">
      <c r="B248" s="5"/>
      <c r="H248" s="16"/>
    </row>
    <row r="249" spans="2:8">
      <c r="B249" s="5"/>
      <c r="H249" s="16"/>
    </row>
    <row r="250" spans="2:8">
      <c r="B250" s="5"/>
      <c r="H250" s="16"/>
    </row>
    <row r="251" spans="2:8">
      <c r="B251" s="5"/>
      <c r="H251" s="16"/>
    </row>
    <row r="252" spans="2:8">
      <c r="B252" s="5"/>
      <c r="H252" s="16"/>
    </row>
    <row r="253" spans="2:8">
      <c r="B253" s="5"/>
      <c r="H253" s="16"/>
    </row>
    <row r="254" spans="2:8">
      <c r="B254" s="5"/>
      <c r="H254" s="16"/>
    </row>
    <row r="255" spans="2:8">
      <c r="B255" s="5"/>
      <c r="H255" s="16"/>
    </row>
    <row r="256" spans="2:8">
      <c r="B256" s="5"/>
      <c r="H256" s="16"/>
    </row>
    <row r="257" spans="2:8">
      <c r="B257" s="5"/>
      <c r="H257" s="16"/>
    </row>
    <row r="258" spans="2:8">
      <c r="B258" s="5"/>
      <c r="H258" s="16"/>
    </row>
    <row r="259" spans="2:8">
      <c r="B259" s="5"/>
      <c r="H259" s="16"/>
    </row>
    <row r="260" spans="2:8">
      <c r="B260" s="5"/>
      <c r="H260" s="16"/>
    </row>
    <row r="261" spans="2:8">
      <c r="B261" s="5"/>
      <c r="H261" s="16"/>
    </row>
    <row r="262" spans="2:8">
      <c r="B262" s="5"/>
      <c r="H262" s="16"/>
    </row>
    <row r="263" spans="2:8">
      <c r="B263" s="5"/>
      <c r="H263" s="16"/>
    </row>
    <row r="264" spans="2:8">
      <c r="B264" s="5"/>
      <c r="H264" s="16"/>
    </row>
    <row r="265" spans="2:8">
      <c r="B265" s="5"/>
      <c r="H265" s="16"/>
    </row>
    <row r="266" spans="2:8">
      <c r="B266" s="5"/>
      <c r="H266" s="16"/>
    </row>
    <row r="267" spans="2:8">
      <c r="B267" s="5"/>
      <c r="H267" s="16"/>
    </row>
    <row r="268" spans="2:8">
      <c r="B268" s="5"/>
      <c r="H268" s="16"/>
    </row>
    <row r="269" spans="2:8">
      <c r="B269" s="5"/>
      <c r="H269" s="16"/>
    </row>
    <row r="270" spans="2:8">
      <c r="B270" s="5"/>
      <c r="H270" s="16"/>
    </row>
    <row r="271" spans="2:8">
      <c r="B271" s="5"/>
      <c r="H271" s="16"/>
    </row>
    <row r="272" spans="2:8">
      <c r="B272" s="5"/>
      <c r="H272" s="16"/>
    </row>
    <row r="273" spans="2:8">
      <c r="B273" s="5"/>
      <c r="H273" s="16"/>
    </row>
    <row r="274" spans="2:8">
      <c r="B274" s="5"/>
      <c r="H274" s="16"/>
    </row>
    <row r="275" spans="2:8">
      <c r="B275" s="5"/>
      <c r="H275" s="16"/>
    </row>
    <row r="276" spans="2:8">
      <c r="B276" s="5"/>
      <c r="H276" s="16"/>
    </row>
    <row r="277" spans="2:8">
      <c r="B277" s="5"/>
      <c r="H277" s="16"/>
    </row>
    <row r="278" spans="2:8">
      <c r="B278" s="5"/>
      <c r="H278" s="16"/>
    </row>
    <row r="279" spans="2:8">
      <c r="B279" s="5"/>
      <c r="H279" s="16"/>
    </row>
    <row r="280" spans="2:8">
      <c r="B280" s="5"/>
      <c r="H280" s="16"/>
    </row>
    <row r="281" spans="2:8">
      <c r="B281" s="5"/>
      <c r="H281" s="16"/>
    </row>
    <row r="282" spans="2:8">
      <c r="B282" s="5"/>
      <c r="H282" s="16"/>
    </row>
    <row r="283" spans="2:8">
      <c r="B283" s="5"/>
      <c r="H283" s="16"/>
    </row>
    <row r="284" spans="2:8">
      <c r="B284" s="5"/>
      <c r="H284" s="16"/>
    </row>
    <row r="285" spans="2:8">
      <c r="B285" s="5"/>
      <c r="H285" s="16"/>
    </row>
    <row r="286" spans="2:8">
      <c r="B286" s="5"/>
      <c r="H286" s="16"/>
    </row>
    <row r="287" spans="2:8">
      <c r="B287" s="5"/>
      <c r="H287" s="16"/>
    </row>
    <row r="288" spans="2:8">
      <c r="B288" s="5"/>
      <c r="H288" s="16"/>
    </row>
    <row r="289" spans="2:8">
      <c r="B289" s="5"/>
      <c r="H289" s="16"/>
    </row>
    <row r="290" spans="2:8">
      <c r="B290" s="5"/>
      <c r="H290" s="16"/>
    </row>
    <row r="291" spans="2:8">
      <c r="B291" s="5"/>
      <c r="H291" s="16"/>
    </row>
    <row r="292" spans="2:8">
      <c r="B292" s="5"/>
      <c r="H292" s="16"/>
    </row>
    <row r="293" spans="2:8">
      <c r="B293" s="5"/>
      <c r="H293" s="16"/>
    </row>
    <row r="294" spans="2:8">
      <c r="B294" s="5"/>
      <c r="H294" s="16"/>
    </row>
    <row r="295" spans="2:8">
      <c r="B295" s="5"/>
      <c r="H295" s="16"/>
    </row>
    <row r="296" spans="2:8">
      <c r="B296" s="5"/>
      <c r="H296" s="16"/>
    </row>
    <row r="297" spans="2:8">
      <c r="B297" s="5"/>
      <c r="H297" s="16"/>
    </row>
    <row r="298" spans="2:8">
      <c r="B298" s="5"/>
      <c r="H298" s="16"/>
    </row>
    <row r="299" spans="2:8">
      <c r="B299" s="5"/>
      <c r="H299" s="16"/>
    </row>
    <row r="300" spans="2:8">
      <c r="B300" s="5"/>
      <c r="H300" s="16"/>
    </row>
    <row r="301" spans="2:8">
      <c r="B301" s="5"/>
      <c r="H301" s="16"/>
    </row>
    <row r="302" spans="2:8">
      <c r="B302" s="5"/>
      <c r="H302" s="16"/>
    </row>
    <row r="303" spans="2:8">
      <c r="B303" s="5"/>
      <c r="H303" s="16"/>
    </row>
    <row r="304" spans="2:8">
      <c r="B304" s="5"/>
      <c r="H304" s="16"/>
    </row>
    <row r="305" spans="2:8">
      <c r="B305" s="5"/>
      <c r="H305" s="16"/>
    </row>
    <row r="306" spans="2:8">
      <c r="B306" s="5"/>
      <c r="H306" s="16"/>
    </row>
    <row r="307" spans="2:8">
      <c r="B307" s="5"/>
      <c r="H307" s="16"/>
    </row>
    <row r="308" spans="2:8">
      <c r="B308" s="5"/>
      <c r="H308" s="16"/>
    </row>
    <row r="309" spans="2:8">
      <c r="B309" s="5"/>
      <c r="H309" s="16"/>
    </row>
    <row r="310" spans="2:8">
      <c r="B310" s="5"/>
      <c r="H310" s="16"/>
    </row>
    <row r="311" spans="2:8">
      <c r="B311" s="5"/>
      <c r="H311" s="16"/>
    </row>
    <row r="312" spans="2:8">
      <c r="B312" s="5"/>
      <c r="H312" s="16"/>
    </row>
    <row r="313" spans="2:8">
      <c r="B313" s="5"/>
      <c r="H313" s="16"/>
    </row>
    <row r="314" spans="2:8">
      <c r="B314" s="5"/>
      <c r="H314" s="16"/>
    </row>
    <row r="315" spans="2:8">
      <c r="B315" s="5"/>
      <c r="H315" s="16"/>
    </row>
    <row r="316" spans="2:8">
      <c r="B316" s="5"/>
      <c r="H316" s="16"/>
    </row>
    <row r="317" spans="2:8">
      <c r="B317" s="5"/>
      <c r="H317" s="16"/>
    </row>
    <row r="318" spans="2:8">
      <c r="B318" s="5"/>
      <c r="H318" s="16"/>
    </row>
    <row r="319" spans="2:8">
      <c r="B319" s="5"/>
      <c r="H319" s="16"/>
    </row>
    <row r="320" spans="2:8">
      <c r="B320" s="5"/>
      <c r="H320" s="16"/>
    </row>
    <row r="321" spans="2:8">
      <c r="B321" s="5"/>
      <c r="H321" s="16"/>
    </row>
    <row r="322" spans="2:8">
      <c r="B322" s="5"/>
      <c r="H322" s="16"/>
    </row>
    <row r="323" spans="2:8">
      <c r="B323" s="5"/>
      <c r="H323" s="16"/>
    </row>
    <row r="324" spans="2:8">
      <c r="B324" s="5"/>
      <c r="H324" s="16"/>
    </row>
    <row r="325" spans="2:8">
      <c r="B325" s="5"/>
      <c r="H325" s="16"/>
    </row>
    <row r="326" spans="2:8">
      <c r="B326" s="5"/>
      <c r="H326" s="16"/>
    </row>
    <row r="327" spans="2:8">
      <c r="B327" s="5"/>
      <c r="H327" s="16"/>
    </row>
    <row r="328" spans="2:8">
      <c r="B328" s="5"/>
      <c r="H328" s="16"/>
    </row>
    <row r="329" spans="2:8">
      <c r="B329" s="5"/>
      <c r="H329" s="16"/>
    </row>
    <row r="330" spans="2:8">
      <c r="B330" s="5"/>
      <c r="H330" s="16"/>
    </row>
    <row r="331" spans="2:8">
      <c r="B331" s="5"/>
      <c r="H331" s="16"/>
    </row>
    <row r="332" spans="2:8">
      <c r="B332" s="5"/>
      <c r="H332" s="16"/>
    </row>
    <row r="333" spans="2:8">
      <c r="B333" s="5"/>
      <c r="H333" s="16"/>
    </row>
    <row r="334" spans="2:8">
      <c r="B334" s="5"/>
      <c r="H334" s="16"/>
    </row>
    <row r="335" spans="2:8">
      <c r="B335" s="5"/>
      <c r="H335" s="16"/>
    </row>
    <row r="336" spans="2:8">
      <c r="B336" s="5"/>
      <c r="H336" s="16"/>
    </row>
    <row r="337" spans="2:8">
      <c r="B337" s="5"/>
      <c r="H337" s="16"/>
    </row>
    <row r="338" spans="2:8">
      <c r="B338" s="5"/>
      <c r="H338" s="16"/>
    </row>
    <row r="339" spans="2:8">
      <c r="B339" s="5"/>
      <c r="H339" s="16"/>
    </row>
    <row r="340" spans="2:8">
      <c r="B340" s="5"/>
      <c r="H340" s="16"/>
    </row>
    <row r="341" spans="2:8">
      <c r="B341" s="5"/>
      <c r="H341" s="16"/>
    </row>
    <row r="342" spans="2:8">
      <c r="B342" s="5"/>
      <c r="H342" s="16"/>
    </row>
    <row r="343" spans="2:8">
      <c r="B343" s="5"/>
      <c r="H343" s="16"/>
    </row>
    <row r="344" spans="2:8">
      <c r="B344" s="5"/>
      <c r="H344" s="16"/>
    </row>
    <row r="345" spans="2:8">
      <c r="B345" s="5"/>
      <c r="H345" s="16"/>
    </row>
    <row r="346" spans="2:8">
      <c r="B346" s="5"/>
      <c r="H346" s="16"/>
    </row>
    <row r="347" spans="2:8">
      <c r="B347" s="5"/>
      <c r="H347" s="16"/>
    </row>
    <row r="348" spans="2:8">
      <c r="B348" s="5"/>
      <c r="H348" s="16"/>
    </row>
    <row r="349" spans="2:8">
      <c r="B349" s="5"/>
      <c r="H349" s="16"/>
    </row>
    <row r="350" spans="2:8">
      <c r="B350" s="5"/>
      <c r="H350" s="16"/>
    </row>
    <row r="351" spans="2:8">
      <c r="B351" s="5"/>
      <c r="H351" s="16"/>
    </row>
    <row r="352" spans="2:8">
      <c r="B352" s="5"/>
      <c r="H352" s="16"/>
    </row>
    <row r="353" spans="2:8">
      <c r="B353" s="5"/>
      <c r="H353" s="16"/>
    </row>
    <row r="354" spans="2:8">
      <c r="B354" s="5"/>
      <c r="H354" s="16"/>
    </row>
    <row r="355" spans="2:8">
      <c r="B355" s="5"/>
      <c r="H355" s="16"/>
    </row>
    <row r="356" spans="2:8">
      <c r="B356" s="5"/>
      <c r="H356" s="16"/>
    </row>
    <row r="357" spans="2:8">
      <c r="B357" s="5"/>
      <c r="H357" s="16"/>
    </row>
    <row r="358" spans="2:8">
      <c r="B358" s="5"/>
      <c r="H358" s="16"/>
    </row>
    <row r="359" spans="2:8">
      <c r="B359" s="5"/>
      <c r="H359" s="16"/>
    </row>
    <row r="360" spans="2:8">
      <c r="B360" s="5"/>
      <c r="H360" s="16"/>
    </row>
    <row r="361" spans="2:8">
      <c r="B361" s="5"/>
      <c r="H361" s="16"/>
    </row>
    <row r="362" spans="2:8">
      <c r="B362" s="5"/>
      <c r="H362" s="16"/>
    </row>
    <row r="363" spans="2:8">
      <c r="B363" s="5"/>
      <c r="H363" s="16"/>
    </row>
    <row r="364" spans="2:8">
      <c r="B364" s="5"/>
      <c r="H364" s="16"/>
    </row>
    <row r="365" spans="2:8">
      <c r="B365" s="5"/>
      <c r="H365" s="16"/>
    </row>
    <row r="366" spans="2:8">
      <c r="B366" s="5"/>
      <c r="H366" s="16"/>
    </row>
    <row r="367" spans="2:8">
      <c r="B367" s="5"/>
      <c r="H367" s="16"/>
    </row>
    <row r="368" spans="2:8">
      <c r="B368" s="5"/>
      <c r="H368" s="16"/>
    </row>
    <row r="369" spans="2:8">
      <c r="B369" s="5"/>
      <c r="H369" s="16"/>
    </row>
    <row r="370" spans="2:8">
      <c r="B370" s="5"/>
      <c r="H370" s="16"/>
    </row>
    <row r="371" spans="2:8">
      <c r="B371" s="5"/>
      <c r="H371" s="16"/>
    </row>
    <row r="372" spans="2:8">
      <c r="B372" s="5"/>
      <c r="H372" s="16"/>
    </row>
    <row r="373" spans="2:8">
      <c r="B373" s="5"/>
      <c r="H373" s="16"/>
    </row>
    <row r="374" spans="2:8">
      <c r="B374" s="5"/>
      <c r="H374" s="16"/>
    </row>
    <row r="375" spans="2:8">
      <c r="B375" s="5"/>
      <c r="H375" s="16"/>
    </row>
    <row r="376" spans="2:8">
      <c r="B376" s="5"/>
      <c r="H376" s="16"/>
    </row>
    <row r="377" spans="2:8">
      <c r="B377" s="5"/>
      <c r="H377" s="16"/>
    </row>
    <row r="378" spans="2:8">
      <c r="B378" s="5"/>
      <c r="H378" s="16"/>
    </row>
    <row r="379" spans="2:8">
      <c r="B379" s="5"/>
      <c r="H379" s="16"/>
    </row>
    <row r="380" spans="2:8">
      <c r="B380" s="5"/>
      <c r="H380" s="16"/>
    </row>
    <row r="381" spans="2:8">
      <c r="B381" s="5"/>
      <c r="H381" s="16"/>
    </row>
    <row r="382" spans="2:8">
      <c r="B382" s="5"/>
      <c r="H382" s="16"/>
    </row>
    <row r="383" spans="2:8">
      <c r="B383" s="5"/>
      <c r="H383" s="16"/>
    </row>
    <row r="384" spans="2:8">
      <c r="B384" s="5"/>
      <c r="H384" s="16"/>
    </row>
    <row r="385" spans="2:8">
      <c r="B385" s="5"/>
      <c r="H385" s="16"/>
    </row>
    <row r="386" spans="2:8">
      <c r="B386" s="5"/>
      <c r="H386" s="16"/>
    </row>
    <row r="387" spans="2:8">
      <c r="B387" s="5"/>
      <c r="H387" s="16"/>
    </row>
    <row r="388" spans="2:8">
      <c r="B388" s="5"/>
      <c r="H388" s="16"/>
    </row>
    <row r="389" spans="2:8">
      <c r="B389" s="5"/>
      <c r="H389" s="16"/>
    </row>
    <row r="390" spans="2:8">
      <c r="B390" s="5"/>
      <c r="H390" s="16"/>
    </row>
    <row r="391" spans="2:8">
      <c r="B391" s="5"/>
      <c r="H391" s="16"/>
    </row>
    <row r="392" spans="2:8">
      <c r="B392" s="5"/>
      <c r="H392" s="16"/>
    </row>
    <row r="393" spans="2:8">
      <c r="B393" s="5"/>
      <c r="H393" s="16"/>
    </row>
    <row r="394" spans="2:8">
      <c r="B394" s="5"/>
      <c r="H394" s="16"/>
    </row>
    <row r="395" spans="2:8">
      <c r="B395" s="5"/>
      <c r="H395" s="16"/>
    </row>
    <row r="396" spans="2:8">
      <c r="B396" s="5"/>
      <c r="H396" s="16"/>
    </row>
    <row r="397" spans="2:8">
      <c r="B397" s="5"/>
      <c r="H397" s="16"/>
    </row>
    <row r="398" spans="2:8">
      <c r="B398" s="5"/>
      <c r="H398" s="16"/>
    </row>
    <row r="399" spans="2:8">
      <c r="B399" s="5"/>
      <c r="H399" s="16"/>
    </row>
    <row r="400" spans="2:8">
      <c r="B400" s="5"/>
      <c r="H400" s="16"/>
    </row>
    <row r="401" spans="2:8">
      <c r="B401" s="5"/>
      <c r="H401" s="16"/>
    </row>
    <row r="402" spans="2:8">
      <c r="B402" s="5"/>
      <c r="H402" s="16"/>
    </row>
    <row r="403" spans="2:8">
      <c r="B403" s="5"/>
      <c r="H403" s="16"/>
    </row>
    <row r="404" spans="2:8">
      <c r="B404" s="5"/>
      <c r="H404" s="16"/>
    </row>
    <row r="405" spans="2:8">
      <c r="B405" s="5"/>
      <c r="H405" s="16"/>
    </row>
    <row r="406" spans="2:8">
      <c r="B406" s="5"/>
      <c r="H406" s="16"/>
    </row>
    <row r="407" spans="2:8">
      <c r="B407" s="5"/>
      <c r="H407" s="16"/>
    </row>
    <row r="408" spans="2:8">
      <c r="B408" s="5"/>
      <c r="H408" s="16"/>
    </row>
    <row r="409" spans="2:8">
      <c r="B409" s="5"/>
      <c r="H409" s="16"/>
    </row>
    <row r="410" spans="2:8">
      <c r="B410" s="5"/>
      <c r="H410" s="16"/>
    </row>
    <row r="411" spans="2:8">
      <c r="B411" s="5"/>
      <c r="H411" s="16"/>
    </row>
    <row r="412" spans="2:8">
      <c r="B412" s="5"/>
      <c r="H412" s="16"/>
    </row>
    <row r="413" spans="2:8">
      <c r="B413" s="5"/>
      <c r="H413" s="16"/>
    </row>
    <row r="414" spans="2:8">
      <c r="B414" s="5"/>
      <c r="H414" s="16"/>
    </row>
    <row r="415" spans="2:8">
      <c r="B415" s="5"/>
      <c r="H415" s="16"/>
    </row>
    <row r="416" spans="2:8">
      <c r="B416" s="5"/>
      <c r="H416" s="16"/>
    </row>
    <row r="417" spans="2:8">
      <c r="B417" s="5"/>
      <c r="H417" s="16"/>
    </row>
    <row r="418" spans="2:8">
      <c r="B418" s="5"/>
      <c r="H418" s="16"/>
    </row>
    <row r="419" spans="2:8">
      <c r="B419" s="5"/>
      <c r="H419" s="16"/>
    </row>
    <row r="420" spans="2:8">
      <c r="B420" s="5"/>
      <c r="H420" s="16"/>
    </row>
    <row r="421" spans="2:8">
      <c r="B421" s="5"/>
      <c r="H421" s="16"/>
    </row>
    <row r="422" spans="2:8">
      <c r="B422" s="5"/>
      <c r="H422" s="16"/>
    </row>
    <row r="423" spans="2:8">
      <c r="B423" s="5"/>
      <c r="H423" s="16"/>
    </row>
    <row r="424" spans="2:8">
      <c r="B424" s="5"/>
      <c r="H424" s="16"/>
    </row>
    <row r="425" spans="2:8">
      <c r="B425" s="5"/>
      <c r="H425" s="16"/>
    </row>
    <row r="426" spans="2:8">
      <c r="B426" s="5"/>
      <c r="H426" s="16"/>
    </row>
    <row r="427" spans="2:8">
      <c r="B427" s="5"/>
      <c r="H427" s="16"/>
    </row>
    <row r="428" spans="2:8">
      <c r="B428" s="5"/>
      <c r="H428" s="16"/>
    </row>
    <row r="429" spans="2:8">
      <c r="B429" s="5"/>
      <c r="H429" s="16"/>
    </row>
    <row r="430" spans="2:8">
      <c r="B430" s="5"/>
      <c r="H430" s="16"/>
    </row>
    <row r="431" spans="2:8">
      <c r="B431" s="5"/>
      <c r="H431" s="16"/>
    </row>
    <row r="432" spans="2:8">
      <c r="B432" s="5"/>
      <c r="H432" s="16"/>
    </row>
    <row r="433" spans="2:8">
      <c r="B433" s="5"/>
      <c r="H433" s="16"/>
    </row>
    <row r="434" spans="2:8">
      <c r="B434" s="5"/>
      <c r="H434" s="16"/>
    </row>
    <row r="435" spans="2:8">
      <c r="B435" s="5"/>
      <c r="H435" s="16"/>
    </row>
    <row r="436" spans="2:8">
      <c r="B436" s="5"/>
      <c r="H436" s="16"/>
    </row>
    <row r="437" spans="2:8">
      <c r="B437" s="5"/>
      <c r="H437" s="16"/>
    </row>
    <row r="438" spans="2:8">
      <c r="B438" s="5"/>
      <c r="H438" s="16"/>
    </row>
    <row r="439" spans="2:8">
      <c r="B439" s="5"/>
      <c r="H439" s="16"/>
    </row>
    <row r="440" spans="2:8">
      <c r="B440" s="5"/>
      <c r="H440" s="16"/>
    </row>
    <row r="441" spans="2:8">
      <c r="B441" s="5"/>
      <c r="H441" s="16"/>
    </row>
    <row r="442" spans="2:8">
      <c r="B442" s="5"/>
      <c r="H442" s="16"/>
    </row>
    <row r="443" spans="2:8">
      <c r="B443" s="5"/>
      <c r="H443" s="16"/>
    </row>
    <row r="444" spans="2:8">
      <c r="B444" s="5"/>
      <c r="H444" s="16"/>
    </row>
    <row r="445" spans="2:8">
      <c r="B445" s="5"/>
      <c r="H445" s="16"/>
    </row>
    <row r="446" spans="2:8">
      <c r="B446" s="5"/>
      <c r="H446" s="16"/>
    </row>
    <row r="447" spans="2:8">
      <c r="B447" s="5"/>
      <c r="H447" s="16"/>
    </row>
    <row r="448" spans="2:8">
      <c r="B448" s="5"/>
      <c r="H448" s="16"/>
    </row>
    <row r="449" spans="2:8">
      <c r="B449" s="5"/>
      <c r="H449" s="16"/>
    </row>
    <row r="450" spans="2:8">
      <c r="B450" s="5"/>
      <c r="H450" s="16"/>
    </row>
    <row r="451" spans="2:8">
      <c r="B451" s="5"/>
      <c r="H451" s="16"/>
    </row>
    <row r="452" spans="2:8">
      <c r="B452" s="5"/>
      <c r="H452" s="16"/>
    </row>
    <row r="453" spans="2:8">
      <c r="B453" s="5"/>
      <c r="H453" s="16"/>
    </row>
    <row r="454" spans="2:8">
      <c r="B454" s="5"/>
      <c r="H454" s="16"/>
    </row>
    <row r="455" spans="2:8">
      <c r="B455" s="5"/>
      <c r="H455" s="16"/>
    </row>
    <row r="456" spans="2:8">
      <c r="B456" s="5"/>
      <c r="H456" s="16"/>
    </row>
    <row r="457" spans="2:8">
      <c r="B457" s="5"/>
      <c r="H457" s="16"/>
    </row>
    <row r="458" spans="2:8">
      <c r="B458" s="5"/>
      <c r="H458" s="16"/>
    </row>
    <row r="459" spans="2:8">
      <c r="B459" s="5"/>
      <c r="H459" s="16"/>
    </row>
    <row r="460" spans="2:8">
      <c r="B460" s="5"/>
      <c r="H460" s="16"/>
    </row>
    <row r="461" spans="2:8">
      <c r="B461" s="5"/>
      <c r="H461" s="16"/>
    </row>
    <row r="462" spans="2:8">
      <c r="B462" s="5"/>
      <c r="H462" s="16"/>
    </row>
    <row r="463" spans="2:8">
      <c r="B463" s="5"/>
      <c r="H463" s="16"/>
    </row>
    <row r="464" spans="2:8">
      <c r="B464" s="5"/>
      <c r="H464" s="16"/>
    </row>
    <row r="465" spans="2:8">
      <c r="B465" s="5"/>
      <c r="H465" s="16"/>
    </row>
    <row r="466" spans="2:8">
      <c r="B466" s="5"/>
      <c r="H466" s="16"/>
    </row>
    <row r="467" spans="2:8">
      <c r="B467" s="5"/>
      <c r="H467" s="16"/>
    </row>
    <row r="468" spans="2:8">
      <c r="B468" s="5"/>
      <c r="H468" s="16"/>
    </row>
    <row r="469" spans="2:8">
      <c r="B469" s="5"/>
      <c r="H469" s="16"/>
    </row>
    <row r="470" spans="2:8">
      <c r="B470" s="5"/>
      <c r="H470" s="16"/>
    </row>
    <row r="471" spans="2:8">
      <c r="B471" s="5"/>
      <c r="H471" s="16"/>
    </row>
    <row r="472" spans="2:8">
      <c r="B472" s="5"/>
      <c r="H472" s="16"/>
    </row>
    <row r="473" spans="2:8">
      <c r="B473" s="5"/>
      <c r="H473" s="16"/>
    </row>
    <row r="474" spans="2:8">
      <c r="B474" s="5"/>
      <c r="H474" s="16"/>
    </row>
    <row r="475" spans="2:8">
      <c r="B475" s="5"/>
      <c r="H475" s="16"/>
    </row>
    <row r="476" spans="2:8">
      <c r="B476" s="5"/>
      <c r="H476" s="16"/>
    </row>
    <row r="477" spans="2:8">
      <c r="B477" s="5"/>
      <c r="H477" s="16"/>
    </row>
    <row r="478" spans="2:8">
      <c r="B478" s="5"/>
      <c r="H478" s="16"/>
    </row>
    <row r="479" spans="2:8">
      <c r="B479" s="5"/>
      <c r="H479" s="16"/>
    </row>
    <row r="480" spans="2:8">
      <c r="B480" s="5"/>
      <c r="H480" s="16"/>
    </row>
    <row r="481" spans="2:8">
      <c r="B481" s="5"/>
      <c r="H481" s="16"/>
    </row>
    <row r="482" spans="2:8">
      <c r="B482" s="5"/>
      <c r="H482" s="16"/>
    </row>
    <row r="483" spans="2:8">
      <c r="B483" s="5"/>
      <c r="H483" s="16"/>
    </row>
    <row r="484" spans="2:8">
      <c r="B484" s="5"/>
      <c r="H484" s="16"/>
    </row>
    <row r="485" spans="2:8">
      <c r="B485" s="5"/>
      <c r="H485" s="16"/>
    </row>
    <row r="486" spans="2:8">
      <c r="B486" s="5"/>
      <c r="H486" s="16"/>
    </row>
    <row r="487" spans="2:8">
      <c r="B487" s="5"/>
      <c r="H487" s="16"/>
    </row>
    <row r="488" spans="2:8">
      <c r="B488" s="5"/>
      <c r="H488" s="16"/>
    </row>
    <row r="489" spans="2:8">
      <c r="B489" s="5"/>
      <c r="H489" s="16"/>
    </row>
    <row r="490" spans="2:8">
      <c r="B490" s="5"/>
      <c r="H490" s="16"/>
    </row>
    <row r="491" spans="2:8">
      <c r="B491" s="5"/>
      <c r="H491" s="16"/>
    </row>
    <row r="492" spans="2:8">
      <c r="B492" s="5"/>
      <c r="H492" s="16"/>
    </row>
    <row r="493" spans="2:8">
      <c r="B493" s="5"/>
      <c r="H493" s="16"/>
    </row>
    <row r="494" spans="2:8">
      <c r="B494" s="5"/>
      <c r="H494" s="16"/>
    </row>
    <row r="495" spans="2:8">
      <c r="B495" s="5"/>
      <c r="H495" s="16"/>
    </row>
    <row r="496" spans="2:8">
      <c r="B496" s="5"/>
      <c r="H496" s="16"/>
    </row>
    <row r="497" spans="2:8">
      <c r="B497" s="5"/>
      <c r="H497" s="16"/>
    </row>
    <row r="498" spans="2:8">
      <c r="B498" s="5"/>
      <c r="H498" s="16"/>
    </row>
    <row r="499" spans="2:8">
      <c r="B499" s="5"/>
      <c r="H499" s="16"/>
    </row>
    <row r="500" spans="2:8">
      <c r="B500" s="5"/>
      <c r="H500" s="16"/>
    </row>
    <row r="501" spans="2:8">
      <c r="B501" s="5"/>
      <c r="H501" s="16"/>
    </row>
    <row r="502" spans="2:8">
      <c r="B502" s="5"/>
      <c r="H502" s="16"/>
    </row>
    <row r="503" spans="2:8">
      <c r="B503" s="5"/>
      <c r="H503" s="16"/>
    </row>
    <row r="504" spans="2:8">
      <c r="B504" s="5"/>
      <c r="H504" s="16"/>
    </row>
    <row r="505" spans="2:8">
      <c r="B505" s="5"/>
      <c r="H505" s="16"/>
    </row>
    <row r="506" spans="2:8">
      <c r="B506" s="5"/>
      <c r="H506" s="16"/>
    </row>
    <row r="507" spans="2:8">
      <c r="B507" s="5"/>
      <c r="H507" s="16"/>
    </row>
    <row r="508" spans="2:8">
      <c r="B508" s="5"/>
      <c r="H508" s="16"/>
    </row>
    <row r="509" spans="2:8">
      <c r="B509" s="5"/>
      <c r="H509" s="16"/>
    </row>
    <row r="510" spans="2:8">
      <c r="B510" s="5"/>
      <c r="H510" s="16"/>
    </row>
    <row r="511" spans="2:8">
      <c r="B511" s="5"/>
      <c r="H511" s="16"/>
    </row>
    <row r="512" spans="2:8">
      <c r="B512" s="5"/>
      <c r="H512" s="16"/>
    </row>
    <row r="513" spans="2:8">
      <c r="B513" s="5"/>
      <c r="H513" s="16"/>
    </row>
    <row r="514" spans="2:8">
      <c r="B514" s="5"/>
      <c r="H514" s="16"/>
    </row>
    <row r="515" spans="2:8">
      <c r="B515" s="5"/>
      <c r="H515" s="16"/>
    </row>
    <row r="516" spans="2:8">
      <c r="B516" s="5"/>
      <c r="H516" s="16"/>
    </row>
    <row r="517" spans="2:8">
      <c r="B517" s="5"/>
      <c r="H517" s="16"/>
    </row>
    <row r="518" spans="2:8">
      <c r="B518" s="5"/>
      <c r="H518" s="16"/>
    </row>
    <row r="519" spans="2:8">
      <c r="B519" s="5"/>
      <c r="H519" s="16"/>
    </row>
    <row r="520" spans="2:8">
      <c r="B520" s="5"/>
      <c r="H520" s="16"/>
    </row>
    <row r="521" spans="2:8">
      <c r="B521" s="5"/>
      <c r="H521" s="16"/>
    </row>
    <row r="522" spans="2:8">
      <c r="B522" s="5"/>
      <c r="H522" s="16"/>
    </row>
    <row r="523" spans="2:8">
      <c r="B523" s="5"/>
      <c r="H523" s="16"/>
    </row>
    <row r="524" spans="2:8">
      <c r="B524" s="5"/>
      <c r="H524" s="16"/>
    </row>
    <row r="525" spans="2:8">
      <c r="B525" s="5"/>
      <c r="H525" s="16"/>
    </row>
    <row r="526" spans="2:8">
      <c r="B526" s="5"/>
      <c r="H526" s="16"/>
    </row>
    <row r="527" spans="2:8">
      <c r="B527" s="5"/>
      <c r="H527" s="16"/>
    </row>
    <row r="528" spans="2:8">
      <c r="B528" s="5"/>
      <c r="H528" s="16"/>
    </row>
    <row r="529" spans="2:8">
      <c r="B529" s="5"/>
      <c r="H529" s="16"/>
    </row>
    <row r="530" spans="2:8">
      <c r="B530" s="5"/>
      <c r="H530" s="16"/>
    </row>
    <row r="531" spans="2:8">
      <c r="B531" s="5"/>
      <c r="H531" s="16"/>
    </row>
    <row r="532" spans="2:8">
      <c r="B532" s="5"/>
      <c r="H532" s="16"/>
    </row>
    <row r="533" spans="2:8">
      <c r="B533" s="5"/>
      <c r="H533" s="16"/>
    </row>
    <row r="534" spans="2:8">
      <c r="B534" s="5"/>
      <c r="H534" s="16"/>
    </row>
    <row r="535" spans="2:8">
      <c r="B535" s="5"/>
      <c r="H535" s="16"/>
    </row>
    <row r="536" spans="2:8">
      <c r="B536" s="5"/>
      <c r="H536" s="16"/>
    </row>
    <row r="537" spans="2:8">
      <c r="B537" s="5"/>
      <c r="H537" s="16"/>
    </row>
    <row r="538" spans="2:8">
      <c r="B538" s="5"/>
      <c r="H538" s="16"/>
    </row>
    <row r="539" spans="2:8">
      <c r="B539" s="5"/>
      <c r="H539" s="16"/>
    </row>
    <row r="540" spans="2:8">
      <c r="B540" s="5"/>
      <c r="H540" s="16"/>
    </row>
    <row r="541" spans="2:8">
      <c r="B541" s="5"/>
      <c r="H541" s="16"/>
    </row>
    <row r="542" spans="2:8">
      <c r="B542" s="5"/>
      <c r="H542" s="16"/>
    </row>
    <row r="543" spans="2:8">
      <c r="B543" s="5"/>
      <c r="H543" s="16"/>
    </row>
    <row r="544" spans="2:8">
      <c r="B544" s="5"/>
      <c r="H544" s="16"/>
    </row>
    <row r="545" spans="2:8">
      <c r="B545" s="5"/>
      <c r="H545" s="16"/>
    </row>
    <row r="546" spans="2:8">
      <c r="B546" s="5"/>
      <c r="H546" s="16"/>
    </row>
    <row r="547" spans="2:8">
      <c r="B547" s="5"/>
      <c r="H547" s="16"/>
    </row>
    <row r="548" spans="2:8">
      <c r="B548" s="5"/>
      <c r="H548" s="16"/>
    </row>
    <row r="549" spans="2:8">
      <c r="B549" s="5"/>
      <c r="H549" s="16"/>
    </row>
    <row r="550" spans="2:8">
      <c r="B550" s="5"/>
      <c r="H550" s="16"/>
    </row>
    <row r="551" spans="2:8">
      <c r="B551" s="5"/>
      <c r="H551" s="16"/>
    </row>
    <row r="552" spans="2:8">
      <c r="B552" s="5"/>
      <c r="H552" s="16"/>
    </row>
    <row r="553" spans="2:8">
      <c r="B553" s="5"/>
      <c r="H553" s="16"/>
    </row>
    <row r="554" spans="2:8">
      <c r="B554" s="5"/>
      <c r="H554" s="16"/>
    </row>
    <row r="555" spans="2:8">
      <c r="B555" s="5"/>
      <c r="H555" s="16"/>
    </row>
    <row r="556" spans="2:8">
      <c r="B556" s="5"/>
      <c r="H556" s="16"/>
    </row>
    <row r="557" spans="2:8">
      <c r="B557" s="5"/>
      <c r="H557" s="16"/>
    </row>
    <row r="558" spans="2:8">
      <c r="B558" s="5"/>
      <c r="H558" s="16"/>
    </row>
    <row r="559" spans="2:8">
      <c r="B559" s="5"/>
      <c r="H559" s="16"/>
    </row>
    <row r="560" spans="2:8">
      <c r="B560" s="5"/>
      <c r="H560" s="16"/>
    </row>
    <row r="561" spans="2:8">
      <c r="B561" s="5"/>
      <c r="H561" s="16"/>
    </row>
    <row r="562" spans="2:8">
      <c r="B562" s="5"/>
      <c r="H562" s="16"/>
    </row>
    <row r="563" spans="2:8">
      <c r="B563" s="5"/>
      <c r="H563" s="16"/>
    </row>
    <row r="564" spans="2:8">
      <c r="B564" s="5"/>
      <c r="H564" s="16"/>
    </row>
    <row r="565" spans="2:8">
      <c r="B565" s="5"/>
      <c r="H565" s="16"/>
    </row>
    <row r="566" spans="2:8">
      <c r="B566" s="5"/>
      <c r="H566" s="16"/>
    </row>
    <row r="567" spans="2:8">
      <c r="B567" s="5"/>
      <c r="H567" s="16"/>
    </row>
    <row r="568" spans="2:8">
      <c r="B568" s="5"/>
      <c r="H568" s="16"/>
    </row>
    <row r="569" spans="2:8">
      <c r="B569" s="5"/>
      <c r="H569" s="16"/>
    </row>
    <row r="570" spans="2:8">
      <c r="B570" s="5"/>
      <c r="H570" s="16"/>
    </row>
    <row r="571" spans="2:8">
      <c r="B571" s="5"/>
      <c r="H571" s="16"/>
    </row>
    <row r="572" spans="2:8">
      <c r="B572" s="5"/>
      <c r="H572" s="16"/>
    </row>
    <row r="573" spans="2:8">
      <c r="B573" s="5"/>
      <c r="H573" s="16"/>
    </row>
    <row r="574" spans="2:8">
      <c r="B574" s="5"/>
      <c r="H574" s="16"/>
    </row>
    <row r="575" spans="2:8">
      <c r="B575" s="5"/>
      <c r="H575" s="16"/>
    </row>
    <row r="576" spans="2:8">
      <c r="B576" s="5"/>
      <c r="H576" s="16"/>
    </row>
    <row r="577" spans="2:8">
      <c r="B577" s="5"/>
      <c r="H577" s="16"/>
    </row>
    <row r="578" spans="2:8">
      <c r="B578" s="5"/>
      <c r="H578" s="16"/>
    </row>
    <row r="579" spans="2:8">
      <c r="B579" s="5"/>
      <c r="H579" s="16"/>
    </row>
    <row r="580" spans="2:8">
      <c r="B580" s="5"/>
      <c r="H580" s="16"/>
    </row>
    <row r="581" spans="2:8">
      <c r="B581" s="5"/>
      <c r="H581" s="16"/>
    </row>
    <row r="582" spans="2:8">
      <c r="B582" s="5"/>
      <c r="H582" s="16"/>
    </row>
    <row r="583" spans="2:8">
      <c r="B583" s="5"/>
      <c r="H583" s="16"/>
    </row>
    <row r="584" spans="2:8">
      <c r="B584" s="5"/>
      <c r="H584" s="16"/>
    </row>
    <row r="585" spans="2:8">
      <c r="B585" s="5"/>
      <c r="H585" s="16"/>
    </row>
    <row r="586" spans="2:8">
      <c r="B586" s="5"/>
      <c r="H586" s="16"/>
    </row>
    <row r="587" spans="2:8">
      <c r="B587" s="5"/>
      <c r="H587" s="16"/>
    </row>
    <row r="588" spans="2:8">
      <c r="B588" s="5"/>
      <c r="H588" s="16"/>
    </row>
    <row r="589" spans="2:8">
      <c r="B589" s="5"/>
      <c r="H589" s="16"/>
    </row>
    <row r="590" spans="2:8">
      <c r="B590" s="5"/>
      <c r="H590" s="16"/>
    </row>
    <row r="591" spans="2:8">
      <c r="B591" s="5"/>
      <c r="H591" s="16"/>
    </row>
    <row r="592" spans="2:8">
      <c r="B592" s="5"/>
      <c r="H592" s="16"/>
    </row>
    <row r="593" spans="2:8">
      <c r="B593" s="5"/>
      <c r="H593" s="16"/>
    </row>
    <row r="594" spans="2:8">
      <c r="B594" s="5"/>
      <c r="H594" s="16"/>
    </row>
    <row r="595" spans="2:8">
      <c r="B595" s="5"/>
      <c r="H595" s="16"/>
    </row>
    <row r="596" spans="2:8">
      <c r="B596" s="5"/>
      <c r="H596" s="16"/>
    </row>
    <row r="597" spans="2:8">
      <c r="B597" s="5"/>
      <c r="H597" s="16"/>
    </row>
    <row r="598" spans="2:8">
      <c r="B598" s="5"/>
      <c r="H598" s="16"/>
    </row>
    <row r="599" spans="2:8">
      <c r="B599" s="5"/>
      <c r="H599" s="16"/>
    </row>
    <row r="600" spans="2:8">
      <c r="B600" s="5"/>
      <c r="H600" s="16"/>
    </row>
    <row r="601" spans="2:8">
      <c r="B601" s="5"/>
      <c r="H601" s="16"/>
    </row>
    <row r="602" spans="2:8">
      <c r="B602" s="5"/>
      <c r="H602" s="16"/>
    </row>
    <row r="603" spans="2:8">
      <c r="B603" s="5"/>
      <c r="H603" s="16"/>
    </row>
    <row r="604" spans="2:8">
      <c r="B604" s="5"/>
      <c r="H604" s="16"/>
    </row>
    <row r="605" spans="2:8">
      <c r="B605" s="5"/>
      <c r="H605" s="16"/>
    </row>
    <row r="606" spans="2:8">
      <c r="B606" s="5"/>
      <c r="H606" s="16"/>
    </row>
    <row r="607" spans="2:8">
      <c r="B607" s="5"/>
      <c r="H607" s="16"/>
    </row>
    <row r="608" spans="2:8">
      <c r="B608" s="5"/>
      <c r="H608" s="16"/>
    </row>
    <row r="609" spans="2:8">
      <c r="B609" s="5"/>
      <c r="H609" s="16"/>
    </row>
    <row r="610" spans="2:8">
      <c r="B610" s="5"/>
      <c r="H610" s="16"/>
    </row>
    <row r="611" spans="2:8">
      <c r="B611" s="5"/>
      <c r="H611" s="16"/>
    </row>
    <row r="612" spans="2:8">
      <c r="B612" s="5"/>
      <c r="H612" s="16"/>
    </row>
    <row r="613" spans="2:8">
      <c r="B613" s="5"/>
      <c r="H613" s="16"/>
    </row>
    <row r="614" spans="2:8">
      <c r="B614" s="5"/>
      <c r="H614" s="16"/>
    </row>
    <row r="615" spans="2:8">
      <c r="B615" s="5"/>
      <c r="H615" s="16"/>
    </row>
    <row r="616" spans="2:8">
      <c r="B616" s="5"/>
      <c r="H616" s="16"/>
    </row>
    <row r="617" spans="2:8">
      <c r="B617" s="5"/>
      <c r="H617" s="16"/>
    </row>
    <row r="618" spans="2:8">
      <c r="B618" s="5"/>
      <c r="H618" s="16"/>
    </row>
    <row r="619" spans="2:8">
      <c r="B619" s="5"/>
      <c r="H619" s="16"/>
    </row>
    <row r="620" spans="2:8">
      <c r="B620" s="5"/>
      <c r="H620" s="16"/>
    </row>
    <row r="621" spans="2:8">
      <c r="B621" s="5"/>
      <c r="H621" s="16"/>
    </row>
    <row r="622" spans="2:8">
      <c r="B622" s="5"/>
      <c r="H622" s="16"/>
    </row>
    <row r="623" spans="2:8">
      <c r="B623" s="5"/>
      <c r="H623" s="16"/>
    </row>
    <row r="624" spans="2:8">
      <c r="B624" s="5"/>
      <c r="H624" s="16"/>
    </row>
    <row r="625" spans="2:8">
      <c r="B625" s="5"/>
      <c r="H625" s="16"/>
    </row>
    <row r="626" spans="2:8">
      <c r="B626" s="5"/>
      <c r="H626" s="16"/>
    </row>
    <row r="627" spans="2:8">
      <c r="B627" s="5"/>
      <c r="H627" s="16"/>
    </row>
    <row r="628" spans="2:8">
      <c r="B628" s="5"/>
      <c r="H628" s="16"/>
    </row>
    <row r="629" spans="2:8">
      <c r="B629" s="5"/>
      <c r="H629" s="16"/>
    </row>
    <row r="630" spans="2:8">
      <c r="B630" s="5"/>
      <c r="H630" s="16"/>
    </row>
    <row r="631" spans="2:8">
      <c r="B631" s="5"/>
      <c r="H631" s="16"/>
    </row>
    <row r="632" spans="2:8">
      <c r="B632" s="5"/>
      <c r="H632" s="16"/>
    </row>
    <row r="633" spans="2:8">
      <c r="B633" s="5"/>
      <c r="H633" s="16"/>
    </row>
    <row r="634" spans="2:8">
      <c r="B634" s="5"/>
      <c r="H634" s="16"/>
    </row>
    <row r="635" spans="2:8">
      <c r="B635" s="5"/>
      <c r="H635" s="16"/>
    </row>
    <row r="636" spans="2:8">
      <c r="B636" s="5"/>
      <c r="H636" s="16"/>
    </row>
    <row r="637" spans="2:8">
      <c r="B637" s="5"/>
      <c r="H637" s="16"/>
    </row>
    <row r="638" spans="2:8">
      <c r="B638" s="5"/>
      <c r="H638" s="16"/>
    </row>
    <row r="639" spans="2:8">
      <c r="B639" s="5"/>
      <c r="H639" s="16"/>
    </row>
    <row r="640" spans="2:8">
      <c r="B640" s="5"/>
      <c r="H640" s="16"/>
    </row>
    <row r="641" spans="2:8">
      <c r="B641" s="5"/>
      <c r="H641" s="16"/>
    </row>
    <row r="642" spans="2:8">
      <c r="B642" s="5"/>
      <c r="H642" s="16"/>
    </row>
    <row r="643" spans="2:8">
      <c r="B643" s="5"/>
      <c r="H643" s="16"/>
    </row>
    <row r="644" spans="2:8">
      <c r="B644" s="5"/>
      <c r="H644" s="16"/>
    </row>
    <row r="645" spans="2:8">
      <c r="B645" s="5"/>
      <c r="H645" s="16"/>
    </row>
    <row r="646" spans="2:8">
      <c r="B646" s="5"/>
      <c r="H646" s="16"/>
    </row>
    <row r="647" spans="2:8">
      <c r="B647" s="5"/>
      <c r="H647" s="16"/>
    </row>
    <row r="648" spans="2:8">
      <c r="B648" s="5"/>
      <c r="H648" s="16"/>
    </row>
    <row r="649" spans="2:8">
      <c r="B649" s="5"/>
      <c r="H649" s="16"/>
    </row>
    <row r="650" spans="2:8">
      <c r="B650" s="5"/>
      <c r="H650" s="16"/>
    </row>
    <row r="651" spans="2:8">
      <c r="B651" s="5"/>
      <c r="H651" s="16"/>
    </row>
    <row r="652" spans="2:8">
      <c r="B652" s="5"/>
      <c r="H652" s="16"/>
    </row>
    <row r="653" spans="2:8">
      <c r="B653" s="5"/>
      <c r="H653" s="16"/>
    </row>
    <row r="654" spans="2:8">
      <c r="B654" s="5"/>
      <c r="H654" s="16"/>
    </row>
    <row r="655" spans="2:8">
      <c r="B655" s="5"/>
      <c r="H655" s="16"/>
    </row>
    <row r="656" spans="2:8">
      <c r="B656" s="5"/>
      <c r="H656" s="16"/>
    </row>
    <row r="657" spans="2:8">
      <c r="B657" s="5"/>
      <c r="H657" s="16"/>
    </row>
    <row r="658" spans="2:8">
      <c r="B658" s="5"/>
      <c r="H658" s="16"/>
    </row>
    <row r="659" spans="2:8">
      <c r="B659" s="5"/>
      <c r="H659" s="16"/>
    </row>
    <row r="660" spans="2:8">
      <c r="B660" s="5"/>
      <c r="H660" s="16"/>
    </row>
    <row r="661" spans="2:8">
      <c r="B661" s="5"/>
      <c r="H661" s="16"/>
    </row>
    <row r="662" spans="2:8">
      <c r="B662" s="5"/>
      <c r="H662" s="16"/>
    </row>
    <row r="663" spans="2:8">
      <c r="B663" s="5"/>
      <c r="H663" s="16"/>
    </row>
    <row r="664" spans="2:8">
      <c r="B664" s="5"/>
      <c r="H664" s="16"/>
    </row>
    <row r="665" spans="2:8">
      <c r="B665" s="5"/>
      <c r="H665" s="16"/>
    </row>
    <row r="666" spans="2:8">
      <c r="B666" s="5"/>
      <c r="H666" s="16"/>
    </row>
    <row r="667" spans="2:8">
      <c r="B667" s="5"/>
      <c r="H667" s="16"/>
    </row>
    <row r="668" spans="2:8">
      <c r="B668" s="5"/>
      <c r="H668" s="16"/>
    </row>
    <row r="669" spans="2:8">
      <c r="B669" s="5"/>
      <c r="H669" s="16"/>
    </row>
    <row r="670" spans="2:8">
      <c r="B670" s="5"/>
      <c r="H670" s="16"/>
    </row>
    <row r="671" spans="2:8">
      <c r="B671" s="5"/>
      <c r="H671" s="16"/>
    </row>
    <row r="672" spans="2:8">
      <c r="B672" s="5"/>
      <c r="H672" s="16"/>
    </row>
    <row r="673" spans="2:8">
      <c r="B673" s="5"/>
      <c r="H673" s="16"/>
    </row>
    <row r="674" spans="2:8">
      <c r="B674" s="5"/>
      <c r="H674" s="16"/>
    </row>
    <row r="675" spans="2:8">
      <c r="B675" s="5"/>
      <c r="H675" s="16"/>
    </row>
    <row r="676" spans="2:8">
      <c r="B676" s="5"/>
      <c r="H676" s="16"/>
    </row>
    <row r="677" spans="2:8">
      <c r="B677" s="5"/>
      <c r="H677" s="16"/>
    </row>
    <row r="678" spans="2:8">
      <c r="B678" s="5"/>
      <c r="H678" s="16"/>
    </row>
    <row r="679" spans="2:8">
      <c r="B679" s="5"/>
      <c r="H679" s="16"/>
    </row>
    <row r="680" spans="2:8">
      <c r="B680" s="5"/>
      <c r="H680" s="16"/>
    </row>
    <row r="681" spans="2:8">
      <c r="B681" s="5"/>
      <c r="H681" s="16"/>
    </row>
    <row r="682" spans="2:8">
      <c r="B682" s="5"/>
      <c r="H682" s="16"/>
    </row>
    <row r="683" spans="2:8">
      <c r="B683" s="5"/>
      <c r="H683" s="16"/>
    </row>
    <row r="684" spans="2:8">
      <c r="B684" s="5"/>
      <c r="H684" s="16"/>
    </row>
    <row r="685" spans="2:8">
      <c r="B685" s="5"/>
      <c r="H685" s="16"/>
    </row>
    <row r="686" spans="2:8">
      <c r="B686" s="5"/>
      <c r="H686" s="16"/>
    </row>
    <row r="687" spans="2:8">
      <c r="B687" s="5"/>
      <c r="H687" s="16"/>
    </row>
    <row r="688" spans="2:8">
      <c r="B688" s="5"/>
      <c r="H688" s="16"/>
    </row>
    <row r="689" spans="2:8">
      <c r="B689" s="5"/>
      <c r="H689" s="16"/>
    </row>
    <row r="690" spans="2:8">
      <c r="B690" s="5"/>
      <c r="H690" s="16"/>
    </row>
    <row r="691" spans="2:8">
      <c r="B691" s="5"/>
      <c r="H691" s="16"/>
    </row>
    <row r="692" spans="2:8">
      <c r="B692" s="5"/>
      <c r="H692" s="16"/>
    </row>
    <row r="693" spans="2:8">
      <c r="B693" s="5"/>
      <c r="H693" s="16"/>
    </row>
    <row r="694" spans="2:8">
      <c r="B694" s="5"/>
      <c r="H694" s="16"/>
    </row>
    <row r="695" spans="2:8">
      <c r="B695" s="5"/>
      <c r="H695" s="16"/>
    </row>
    <row r="696" spans="2:8">
      <c r="B696" s="5"/>
      <c r="H696" s="16"/>
    </row>
    <row r="697" spans="2:8">
      <c r="B697" s="5"/>
      <c r="H697" s="16"/>
    </row>
    <row r="698" spans="2:8">
      <c r="B698" s="5"/>
      <c r="H698" s="16"/>
    </row>
    <row r="699" spans="2:8">
      <c r="B699" s="5"/>
      <c r="H699" s="16"/>
    </row>
    <row r="700" spans="2:8">
      <c r="B700" s="5"/>
      <c r="H700" s="16"/>
    </row>
    <row r="701" spans="2:8">
      <c r="B701" s="5"/>
      <c r="H701" s="16"/>
    </row>
    <row r="702" spans="2:8">
      <c r="B702" s="5"/>
      <c r="H702" s="16"/>
    </row>
    <row r="703" spans="2:8">
      <c r="B703" s="5"/>
      <c r="H703" s="16"/>
    </row>
    <row r="704" spans="2:8">
      <c r="B704" s="5"/>
      <c r="H704" s="16"/>
    </row>
    <row r="705" spans="2:8">
      <c r="B705" s="5"/>
      <c r="H705" s="16"/>
    </row>
    <row r="706" spans="2:8">
      <c r="B706" s="5"/>
      <c r="H706" s="16"/>
    </row>
    <row r="707" spans="2:8">
      <c r="B707" s="5"/>
      <c r="H707" s="16"/>
    </row>
    <row r="708" spans="2:8">
      <c r="B708" s="5"/>
      <c r="H708" s="16"/>
    </row>
    <row r="709" spans="2:8">
      <c r="B709" s="5"/>
      <c r="H709" s="16"/>
    </row>
    <row r="710" spans="2:8">
      <c r="B710" s="5"/>
      <c r="H710" s="16"/>
    </row>
    <row r="711" spans="2:8">
      <c r="B711" s="5"/>
      <c r="H711" s="16"/>
    </row>
    <row r="712" spans="2:8">
      <c r="B712" s="5"/>
      <c r="H712" s="16"/>
    </row>
    <row r="713" spans="2:8">
      <c r="B713" s="5"/>
      <c r="H713" s="16"/>
    </row>
    <row r="714" spans="2:8">
      <c r="B714" s="5"/>
      <c r="H714" s="16"/>
    </row>
    <row r="715" spans="2:8">
      <c r="B715" s="5"/>
      <c r="H715" s="16"/>
    </row>
    <row r="716" spans="2:8">
      <c r="B716" s="5"/>
      <c r="H716" s="16"/>
    </row>
    <row r="717" spans="2:8">
      <c r="B717" s="5"/>
      <c r="H717" s="16"/>
    </row>
    <row r="718" spans="2:8">
      <c r="B718" s="5"/>
      <c r="H718" s="16"/>
    </row>
    <row r="719" spans="2:8">
      <c r="B719" s="5"/>
      <c r="H719" s="16"/>
    </row>
    <row r="720" spans="2:8">
      <c r="B720" s="5"/>
      <c r="H720" s="16"/>
    </row>
    <row r="721" spans="2:8">
      <c r="B721" s="5"/>
      <c r="H721" s="16"/>
    </row>
    <row r="722" spans="2:8">
      <c r="B722" s="5"/>
      <c r="H722" s="16"/>
    </row>
    <row r="723" spans="2:8">
      <c r="B723" s="5"/>
      <c r="H723" s="16"/>
    </row>
    <row r="724" spans="2:8">
      <c r="B724" s="5"/>
      <c r="H724" s="16"/>
    </row>
    <row r="725" spans="2:8">
      <c r="B725" s="5"/>
      <c r="H725" s="16"/>
    </row>
    <row r="726" spans="2:8">
      <c r="B726" s="5"/>
      <c r="H726" s="16"/>
    </row>
    <row r="727" spans="2:8">
      <c r="B727" s="5"/>
      <c r="H727" s="16"/>
    </row>
    <row r="728" spans="2:8">
      <c r="B728" s="5"/>
      <c r="H728" s="16"/>
    </row>
    <row r="729" spans="2:8">
      <c r="B729" s="5"/>
      <c r="H729" s="16"/>
    </row>
    <row r="730" spans="2:8">
      <c r="B730" s="5"/>
      <c r="H730" s="16"/>
    </row>
    <row r="731" spans="2:8">
      <c r="B731" s="5"/>
      <c r="H731" s="16"/>
    </row>
    <row r="732" spans="2:8">
      <c r="B732" s="5"/>
      <c r="H732" s="16"/>
    </row>
    <row r="733" spans="2:8">
      <c r="B733" s="5"/>
      <c r="H733" s="16"/>
    </row>
    <row r="734" spans="2:8">
      <c r="B734" s="5"/>
      <c r="H734" s="16"/>
    </row>
    <row r="735" spans="2:8">
      <c r="B735" s="5"/>
      <c r="H735" s="16"/>
    </row>
    <row r="736" spans="2:8">
      <c r="B736" s="5"/>
      <c r="H736" s="16"/>
    </row>
    <row r="737" spans="2:8">
      <c r="B737" s="5"/>
      <c r="H737" s="16"/>
    </row>
    <row r="738" spans="2:8">
      <c r="B738" s="5"/>
      <c r="H738" s="16"/>
    </row>
    <row r="739" spans="2:8">
      <c r="B739" s="5"/>
      <c r="H739" s="16"/>
    </row>
    <row r="740" spans="2:8">
      <c r="B740" s="5"/>
      <c r="H740" s="16"/>
    </row>
    <row r="741" spans="2:8">
      <c r="B741" s="5"/>
      <c r="H741" s="16"/>
    </row>
    <row r="742" spans="2:8">
      <c r="B742" s="5"/>
      <c r="H742" s="16"/>
    </row>
    <row r="743" spans="2:8">
      <c r="B743" s="5"/>
      <c r="H743" s="16"/>
    </row>
    <row r="744" spans="2:8">
      <c r="B744" s="5"/>
      <c r="H744" s="16"/>
    </row>
    <row r="745" spans="2:8">
      <c r="B745" s="5"/>
      <c r="H745" s="16"/>
    </row>
    <row r="746" spans="2:8">
      <c r="B746" s="5"/>
      <c r="H746" s="16"/>
    </row>
    <row r="747" spans="2:8">
      <c r="B747" s="5"/>
      <c r="H747" s="16"/>
    </row>
    <row r="748" spans="2:8">
      <c r="B748" s="5"/>
      <c r="H748" s="16"/>
    </row>
    <row r="749" spans="2:8">
      <c r="B749" s="5"/>
      <c r="H749" s="16"/>
    </row>
    <row r="750" spans="2:8">
      <c r="B750" s="5"/>
      <c r="H750" s="16"/>
    </row>
    <row r="751" spans="2:8">
      <c r="B751" s="5"/>
      <c r="H751" s="16"/>
    </row>
    <row r="752" spans="2:8">
      <c r="B752" s="5"/>
      <c r="H752" s="16"/>
    </row>
    <row r="753" spans="2:8">
      <c r="B753" s="5"/>
      <c r="H753" s="16"/>
    </row>
    <row r="754" spans="2:8">
      <c r="B754" s="5"/>
      <c r="H754" s="16"/>
    </row>
    <row r="755" spans="2:8">
      <c r="B755" s="5"/>
      <c r="H755" s="16"/>
    </row>
    <row r="756" spans="2:8">
      <c r="B756" s="5"/>
      <c r="H756" s="16"/>
    </row>
    <row r="757" spans="2:8">
      <c r="B757" s="5"/>
      <c r="H757" s="16"/>
    </row>
    <row r="758" spans="2:8">
      <c r="B758" s="5"/>
      <c r="H758" s="16"/>
    </row>
    <row r="759" spans="2:8">
      <c r="B759" s="5"/>
      <c r="H759" s="16"/>
    </row>
    <row r="760" spans="2:8">
      <c r="B760" s="5"/>
      <c r="H760" s="16"/>
    </row>
    <row r="761" spans="2:8">
      <c r="B761" s="5"/>
      <c r="H761" s="16"/>
    </row>
    <row r="762" spans="2:8">
      <c r="B762" s="5"/>
      <c r="H762" s="16"/>
    </row>
    <row r="763" spans="2:8">
      <c r="B763" s="5"/>
      <c r="H763" s="16"/>
    </row>
    <row r="764" spans="2:8">
      <c r="B764" s="5"/>
      <c r="H764" s="16"/>
    </row>
    <row r="765" spans="2:8">
      <c r="B765" s="5"/>
      <c r="H765" s="16"/>
    </row>
    <row r="766" spans="2:8">
      <c r="B766" s="5"/>
      <c r="H766" s="16"/>
    </row>
    <row r="767" spans="2:8">
      <c r="B767" s="5"/>
      <c r="H767" s="16"/>
    </row>
    <row r="768" spans="2:8">
      <c r="B768" s="5"/>
      <c r="H768" s="16"/>
    </row>
    <row r="769" spans="2:8">
      <c r="B769" s="5"/>
      <c r="H769" s="16"/>
    </row>
    <row r="770" spans="2:8">
      <c r="B770" s="5"/>
      <c r="H770" s="16"/>
    </row>
    <row r="771" spans="2:8">
      <c r="B771" s="5"/>
      <c r="H771" s="16"/>
    </row>
    <row r="772" spans="2:8">
      <c r="B772" s="5"/>
      <c r="H772" s="16"/>
    </row>
    <row r="773" spans="2:8">
      <c r="B773" s="5"/>
      <c r="H773" s="16"/>
    </row>
    <row r="774" spans="2:8">
      <c r="B774" s="5"/>
      <c r="H774" s="16"/>
    </row>
    <row r="775" spans="2:8">
      <c r="B775" s="5"/>
      <c r="H775" s="16"/>
    </row>
    <row r="776" spans="2:8">
      <c r="B776" s="5"/>
      <c r="H776" s="16"/>
    </row>
    <row r="777" spans="2:8">
      <c r="B777" s="5"/>
      <c r="H777" s="16"/>
    </row>
    <row r="778" spans="2:8">
      <c r="B778" s="5"/>
      <c r="H778" s="16"/>
    </row>
    <row r="779" spans="2:8">
      <c r="B779" s="5"/>
      <c r="H779" s="16"/>
    </row>
    <row r="780" spans="2:8">
      <c r="B780" s="5"/>
      <c r="H780" s="16"/>
    </row>
    <row r="781" spans="2:8">
      <c r="B781" s="5"/>
      <c r="H781" s="16"/>
    </row>
    <row r="782" spans="2:8">
      <c r="B782" s="5"/>
      <c r="H782" s="16"/>
    </row>
    <row r="783" spans="2:8">
      <c r="B783" s="5"/>
      <c r="H783" s="16"/>
    </row>
    <row r="784" spans="2:8">
      <c r="B784" s="5"/>
      <c r="H784" s="16"/>
    </row>
    <row r="785" spans="2:8">
      <c r="B785" s="5"/>
      <c r="H785" s="16"/>
    </row>
    <row r="786" spans="2:8">
      <c r="B786" s="5"/>
      <c r="H786" s="16"/>
    </row>
    <row r="787" spans="2:8">
      <c r="B787" s="5"/>
      <c r="H787" s="16"/>
    </row>
    <row r="788" spans="2:8">
      <c r="B788" s="5"/>
      <c r="H788" s="16"/>
    </row>
    <row r="789" spans="2:8">
      <c r="B789" s="5"/>
      <c r="H789" s="16"/>
    </row>
    <row r="790" spans="2:8">
      <c r="B790" s="5"/>
      <c r="H790" s="16"/>
    </row>
    <row r="791" spans="2:8">
      <c r="B791" s="5"/>
      <c r="H791" s="16"/>
    </row>
    <row r="792" spans="2:8">
      <c r="B792" s="5"/>
      <c r="H792" s="16"/>
    </row>
    <row r="793" spans="2:8">
      <c r="B793" s="5"/>
      <c r="H793" s="16"/>
    </row>
    <row r="794" spans="2:8">
      <c r="B794" s="5"/>
      <c r="H794" s="16"/>
    </row>
    <row r="795" spans="2:8">
      <c r="B795" s="5"/>
      <c r="H795" s="16"/>
    </row>
    <row r="796" spans="2:8">
      <c r="B796" s="5"/>
      <c r="H796" s="16"/>
    </row>
    <row r="797" spans="2:8">
      <c r="B797" s="5"/>
      <c r="H797" s="16"/>
    </row>
    <row r="798" spans="2:8">
      <c r="B798" s="5"/>
      <c r="H798" s="16"/>
    </row>
    <row r="799" spans="2:8">
      <c r="B799" s="5"/>
      <c r="H799" s="16"/>
    </row>
    <row r="800" spans="2:8">
      <c r="B800" s="5"/>
      <c r="H800" s="16"/>
    </row>
    <row r="801" spans="2:8">
      <c r="B801" s="5"/>
      <c r="H801" s="16"/>
    </row>
    <row r="802" spans="2:8">
      <c r="B802" s="5"/>
      <c r="H802" s="16"/>
    </row>
    <row r="803" spans="2:8">
      <c r="B803" s="5"/>
      <c r="H803" s="16"/>
    </row>
    <row r="804" spans="2:8">
      <c r="B804" s="5"/>
      <c r="H804" s="16"/>
    </row>
    <row r="805" spans="2:8">
      <c r="B805" s="5"/>
      <c r="H805" s="16"/>
    </row>
    <row r="806" spans="2:8">
      <c r="B806" s="5"/>
      <c r="H806" s="16"/>
    </row>
    <row r="807" spans="2:8">
      <c r="B807" s="5"/>
      <c r="H807" s="16"/>
    </row>
    <row r="808" spans="2:8">
      <c r="B808" s="5"/>
      <c r="H808" s="16"/>
    </row>
    <row r="809" spans="2:8">
      <c r="B809" s="5"/>
      <c r="H809" s="16"/>
    </row>
    <row r="810" spans="2:8">
      <c r="B810" s="5"/>
      <c r="H810" s="16"/>
    </row>
    <row r="811" spans="2:8">
      <c r="B811" s="5"/>
      <c r="H811" s="16"/>
    </row>
    <row r="812" spans="2:8">
      <c r="B812" s="5"/>
      <c r="H812" s="16"/>
    </row>
    <row r="813" spans="2:8">
      <c r="B813" s="5"/>
      <c r="H813" s="16"/>
    </row>
    <row r="814" spans="2:8">
      <c r="B814" s="5"/>
      <c r="H814" s="16"/>
    </row>
    <row r="815" spans="2:8">
      <c r="B815" s="5"/>
      <c r="H815" s="16"/>
    </row>
    <row r="816" spans="2:8">
      <c r="B816" s="5"/>
      <c r="H816" s="16"/>
    </row>
    <row r="817" spans="2:8">
      <c r="B817" s="5"/>
      <c r="H817" s="16"/>
    </row>
    <row r="818" spans="2:8">
      <c r="B818" s="5"/>
      <c r="H818" s="16"/>
    </row>
    <row r="819" spans="2:8">
      <c r="B819" s="5"/>
      <c r="H819" s="16"/>
    </row>
    <row r="820" spans="2:8">
      <c r="B820" s="5"/>
      <c r="H820" s="16"/>
    </row>
    <row r="821" spans="2:8">
      <c r="B821" s="5"/>
      <c r="H821" s="16"/>
    </row>
    <row r="822" spans="2:8">
      <c r="B822" s="5"/>
      <c r="H822" s="16"/>
    </row>
    <row r="823" spans="2:8">
      <c r="B823" s="5"/>
      <c r="H823" s="16"/>
    </row>
    <row r="824" spans="2:8">
      <c r="B824" s="5"/>
      <c r="H824" s="16"/>
    </row>
    <row r="825" spans="2:8">
      <c r="B825" s="5"/>
      <c r="H825" s="16"/>
    </row>
    <row r="826" spans="2:8">
      <c r="B826" s="5"/>
      <c r="H826" s="16"/>
    </row>
    <row r="827" spans="2:8">
      <c r="B827" s="5"/>
      <c r="H827" s="16"/>
    </row>
    <row r="828" spans="2:8">
      <c r="B828" s="5"/>
      <c r="H828" s="16"/>
    </row>
    <row r="829" spans="2:8">
      <c r="B829" s="5"/>
      <c r="H829" s="16"/>
    </row>
    <row r="830" spans="2:8">
      <c r="B830" s="5"/>
      <c r="H830" s="16"/>
    </row>
    <row r="831" spans="2:8">
      <c r="B831" s="5"/>
      <c r="H831" s="16"/>
    </row>
    <row r="832" spans="2:8">
      <c r="B832" s="5"/>
      <c r="H832" s="16"/>
    </row>
    <row r="833" spans="2:8">
      <c r="B833" s="5"/>
      <c r="H833" s="16"/>
    </row>
    <row r="834" spans="2:8">
      <c r="B834" s="5"/>
      <c r="H834" s="16"/>
    </row>
    <row r="835" spans="2:8">
      <c r="B835" s="5"/>
      <c r="H835" s="16"/>
    </row>
    <row r="836" spans="2:8">
      <c r="B836" s="5"/>
      <c r="H836" s="16"/>
    </row>
    <row r="837" spans="2:8">
      <c r="B837" s="5"/>
      <c r="H837" s="16"/>
    </row>
    <row r="838" spans="2:8">
      <c r="B838" s="5"/>
      <c r="H838" s="16"/>
    </row>
    <row r="839" spans="2:8">
      <c r="B839" s="5"/>
      <c r="H839" s="16"/>
    </row>
    <row r="840" spans="2:8">
      <c r="B840" s="5"/>
      <c r="H840" s="16"/>
    </row>
    <row r="841" spans="2:8">
      <c r="B841" s="5"/>
      <c r="H841" s="16"/>
    </row>
    <row r="842" spans="2:8">
      <c r="B842" s="5"/>
      <c r="H842" s="16"/>
    </row>
    <row r="843" spans="2:8">
      <c r="B843" s="5"/>
      <c r="H843" s="16"/>
    </row>
    <row r="844" spans="2:8">
      <c r="B844" s="5"/>
      <c r="H844" s="16"/>
    </row>
    <row r="845" spans="2:8">
      <c r="B845" s="5"/>
      <c r="H845" s="16"/>
    </row>
    <row r="846" spans="2:8">
      <c r="B846" s="5"/>
      <c r="H846" s="16"/>
    </row>
    <row r="847" spans="2:8">
      <c r="B847" s="5"/>
      <c r="H847" s="16"/>
    </row>
    <row r="848" spans="2:8">
      <c r="B848" s="5"/>
      <c r="H848" s="16"/>
    </row>
    <row r="849" spans="2:8">
      <c r="B849" s="5"/>
      <c r="H849" s="16"/>
    </row>
    <row r="850" spans="2:8">
      <c r="B850" s="5"/>
      <c r="H850" s="16"/>
    </row>
    <row r="851" spans="2:8">
      <c r="B851" s="5"/>
      <c r="H851" s="16"/>
    </row>
    <row r="852" spans="2:8">
      <c r="B852" s="5"/>
      <c r="H852" s="16"/>
    </row>
    <row r="853" spans="2:8">
      <c r="B853" s="5"/>
      <c r="H853" s="16"/>
    </row>
    <row r="854" spans="2:8">
      <c r="B854" s="5"/>
      <c r="H854" s="16"/>
    </row>
    <row r="855" spans="2:8">
      <c r="B855" s="5"/>
      <c r="H855" s="16"/>
    </row>
    <row r="856" spans="2:8">
      <c r="B856" s="5"/>
      <c r="H856" s="16"/>
    </row>
    <row r="857" spans="2:8">
      <c r="B857" s="5"/>
      <c r="H857" s="16"/>
    </row>
    <row r="858" spans="2:8">
      <c r="B858" s="5"/>
      <c r="H858" s="16"/>
    </row>
    <row r="859" spans="2:8">
      <c r="B859" s="5"/>
      <c r="H859" s="16"/>
    </row>
    <row r="860" spans="2:8">
      <c r="B860" s="5"/>
      <c r="H860" s="16"/>
    </row>
    <row r="861" spans="2:8">
      <c r="B861" s="5"/>
      <c r="H861" s="16"/>
    </row>
    <row r="862" spans="2:8">
      <c r="B862" s="5"/>
      <c r="H862" s="16"/>
    </row>
    <row r="863" spans="2:8">
      <c r="B863" s="5"/>
      <c r="H863" s="16"/>
    </row>
    <row r="864" spans="2:8">
      <c r="B864" s="5"/>
      <c r="H864" s="16"/>
    </row>
    <row r="865" spans="2:8">
      <c r="B865" s="5"/>
      <c r="H865" s="16"/>
    </row>
    <row r="866" spans="2:8">
      <c r="B866" s="5"/>
      <c r="H866" s="16"/>
    </row>
    <row r="867" spans="2:8">
      <c r="B867" s="5"/>
      <c r="H867" s="16"/>
    </row>
    <row r="868" spans="2:8">
      <c r="B868" s="5"/>
      <c r="H868" s="16"/>
    </row>
    <row r="869" spans="2:8">
      <c r="B869" s="5"/>
      <c r="H869" s="16"/>
    </row>
    <row r="870" spans="2:8">
      <c r="B870" s="5"/>
      <c r="H870" s="16"/>
    </row>
    <row r="871" spans="2:8">
      <c r="B871" s="5"/>
      <c r="H871" s="16"/>
    </row>
    <row r="872" spans="2:8">
      <c r="B872" s="5"/>
      <c r="H872" s="16"/>
    </row>
    <row r="873" spans="2:8">
      <c r="B873" s="5"/>
      <c r="H873" s="16"/>
    </row>
    <row r="874" spans="2:8">
      <c r="B874" s="5"/>
      <c r="H874" s="16"/>
    </row>
    <row r="875" spans="2:8">
      <c r="B875" s="5"/>
      <c r="H875" s="16"/>
    </row>
    <row r="876" spans="2:8">
      <c r="B876" s="5"/>
      <c r="H876" s="16"/>
    </row>
    <row r="877" spans="2:8">
      <c r="B877" s="5"/>
      <c r="H877" s="16"/>
    </row>
    <row r="878" spans="2:8">
      <c r="B878" s="5"/>
      <c r="H878" s="16"/>
    </row>
    <row r="879" spans="2:8">
      <c r="B879" s="5"/>
      <c r="H879" s="16"/>
    </row>
    <row r="880" spans="2:8">
      <c r="B880" s="5"/>
      <c r="H880" s="16"/>
    </row>
    <row r="881" spans="2:8">
      <c r="B881" s="5"/>
      <c r="H881" s="16"/>
    </row>
    <row r="882" spans="2:8">
      <c r="B882" s="5"/>
      <c r="H882" s="16"/>
    </row>
    <row r="883" spans="2:8">
      <c r="B883" s="5"/>
      <c r="H883" s="16"/>
    </row>
    <row r="884" spans="2:8">
      <c r="B884" s="5"/>
      <c r="H884" s="16"/>
    </row>
    <row r="885" spans="2:8">
      <c r="B885" s="5"/>
      <c r="H885" s="16"/>
    </row>
    <row r="886" spans="2:8">
      <c r="B886" s="5"/>
      <c r="H886" s="16"/>
    </row>
    <row r="887" spans="2:8">
      <c r="B887" s="5"/>
      <c r="H887" s="16"/>
    </row>
    <row r="888" spans="2:8">
      <c r="B888" s="5"/>
      <c r="H888" s="16"/>
    </row>
    <row r="889" spans="2:8">
      <c r="B889" s="5"/>
      <c r="H889" s="16"/>
    </row>
    <row r="890" spans="2:8">
      <c r="B890" s="5"/>
      <c r="H890" s="16"/>
    </row>
    <row r="891" spans="2:8">
      <c r="B891" s="5"/>
      <c r="H891" s="16"/>
    </row>
    <row r="892" spans="2:8">
      <c r="B892" s="5"/>
      <c r="H892" s="16"/>
    </row>
  </sheetData>
  <mergeCells count="27">
    <mergeCell ref="C50:F50"/>
    <mergeCell ref="G50:H50"/>
    <mergeCell ref="C47:F47"/>
    <mergeCell ref="G47:H47"/>
    <mergeCell ref="C48:F48"/>
    <mergeCell ref="G48:H48"/>
    <mergeCell ref="C49:F49"/>
    <mergeCell ref="G49:H49"/>
    <mergeCell ref="C44:F44"/>
    <mergeCell ref="G44:H44"/>
    <mergeCell ref="C45:F45"/>
    <mergeCell ref="G45:H45"/>
    <mergeCell ref="C46:F46"/>
    <mergeCell ref="G46:H46"/>
    <mergeCell ref="C43:F43"/>
    <mergeCell ref="G43:H43"/>
    <mergeCell ref="A4:H4"/>
    <mergeCell ref="A10:F10"/>
    <mergeCell ref="A17:F17"/>
    <mergeCell ref="A23:F23"/>
    <mergeCell ref="A29:F29"/>
    <mergeCell ref="A35:F35"/>
    <mergeCell ref="A38:F38"/>
    <mergeCell ref="C41:F41"/>
    <mergeCell ref="G41:H41"/>
    <mergeCell ref="C42:F42"/>
    <mergeCell ref="G42:H42"/>
  </mergeCells>
  <phoneticPr fontId="24" type="noConversion"/>
  <dataValidations count="1">
    <dataValidation type="list" allowBlank="1" showInputMessage="1" showErrorMessage="1" sqref="B42:B48" xr:uid="{8600181A-6562-4191-B772-EB2859706DEA}">
      <formula1>$L$41:$L$45</formula1>
    </dataValidation>
  </dataValidations>
  <pageMargins left="0.7" right="0.7" top="0.75" bottom="0.75" header="0.3" footer="0.3"/>
  <pageSetup scale="52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11EFF-5199-456D-A81B-8358F7CF6CD1}">
  <sheetPr>
    <pageSetUpPr fitToPage="1"/>
  </sheetPr>
  <dimension ref="A1:L892"/>
  <sheetViews>
    <sheetView showZeros="0" view="pageBreakPreview" zoomScale="60" zoomScaleNormal="70" workbookViewId="0">
      <selection activeCell="A11" sqref="A11"/>
    </sheetView>
  </sheetViews>
  <sheetFormatPr defaultColWidth="10.875" defaultRowHeight="18.75"/>
  <cols>
    <col min="1" max="1" width="35.625" customWidth="1"/>
    <col min="2" max="2" width="14.625" style="16" customWidth="1"/>
    <col min="3" max="7" width="15.875" style="5" customWidth="1"/>
    <col min="8" max="8" width="15.875" style="17" customWidth="1"/>
    <col min="9" max="9" width="9" style="5"/>
    <col min="10" max="12" width="0" style="5" hidden="1" customWidth="1"/>
    <col min="13" max="16384" width="10.875" style="5"/>
  </cols>
  <sheetData>
    <row r="1" spans="1:10" customFormat="1" ht="15.75">
      <c r="A1" s="41"/>
      <c r="B1" s="42"/>
      <c r="C1" s="43"/>
      <c r="D1" s="43"/>
      <c r="E1" s="45" t="s">
        <v>25</v>
      </c>
      <c r="F1" s="43"/>
      <c r="G1" s="45" t="s">
        <v>26</v>
      </c>
      <c r="H1" s="44">
        <v>6</v>
      </c>
    </row>
    <row r="2" spans="1:10">
      <c r="A2" s="30"/>
      <c r="B2" s="18" t="s">
        <v>27</v>
      </c>
      <c r="C2" s="19" t="s">
        <v>28</v>
      </c>
      <c r="D2" s="19" t="s">
        <v>29</v>
      </c>
      <c r="E2" s="18" t="s">
        <v>30</v>
      </c>
      <c r="F2" s="18" t="s">
        <v>31</v>
      </c>
      <c r="G2" s="18" t="s">
        <v>32</v>
      </c>
      <c r="H2" s="18" t="s">
        <v>33</v>
      </c>
    </row>
    <row r="3" spans="1:10" ht="21" customHeight="1">
      <c r="A3" s="31" t="s">
        <v>7</v>
      </c>
      <c r="B3" s="6">
        <f>'Week. 5'!H3+1</f>
        <v>46061</v>
      </c>
      <c r="C3" s="6">
        <f>B3+1</f>
        <v>46062</v>
      </c>
      <c r="D3" s="6">
        <f t="shared" ref="D3:H3" si="0">C3+1</f>
        <v>46063</v>
      </c>
      <c r="E3" s="6">
        <f t="shared" si="0"/>
        <v>46064</v>
      </c>
      <c r="F3" s="6">
        <f t="shared" si="0"/>
        <v>46065</v>
      </c>
      <c r="G3" s="6">
        <f t="shared" si="0"/>
        <v>46066</v>
      </c>
      <c r="H3" s="6">
        <f t="shared" si="0"/>
        <v>46067</v>
      </c>
    </row>
    <row r="4" spans="1:10" s="7" customFormat="1">
      <c r="A4" s="181" t="s">
        <v>135</v>
      </c>
      <c r="B4" s="181"/>
      <c r="C4" s="181"/>
      <c r="D4" s="181"/>
      <c r="E4" s="181"/>
      <c r="F4" s="181"/>
      <c r="G4" s="181"/>
      <c r="H4" s="181"/>
    </row>
    <row r="5" spans="1:10" s="7" customFormat="1" ht="26.1" customHeight="1">
      <c r="A5" s="32" t="s">
        <v>8</v>
      </c>
      <c r="B5" s="27"/>
      <c r="C5" s="27"/>
      <c r="D5" s="27"/>
      <c r="E5" s="27"/>
      <c r="F5" s="27"/>
      <c r="G5" s="27"/>
      <c r="H5" s="27"/>
    </row>
    <row r="6" spans="1:10" s="7" customFormat="1" ht="26.1" customHeight="1">
      <c r="A6" s="4" t="s">
        <v>23</v>
      </c>
      <c r="B6" s="62"/>
      <c r="C6" s="62"/>
      <c r="D6" s="62"/>
      <c r="E6" s="62"/>
      <c r="F6" s="62"/>
      <c r="G6" s="62"/>
      <c r="H6" s="62"/>
    </row>
    <row r="7" spans="1:10" s="7" customFormat="1" ht="21.95" customHeight="1">
      <c r="A7" s="32" t="s">
        <v>35</v>
      </c>
      <c r="B7" s="27"/>
      <c r="C7" s="28"/>
      <c r="D7" s="28"/>
      <c r="E7" s="28"/>
      <c r="F7" s="28"/>
      <c r="G7" s="28"/>
      <c r="H7" s="27"/>
    </row>
    <row r="8" spans="1:10" s="7" customFormat="1" ht="24.95" customHeight="1">
      <c r="A8" s="83" t="s">
        <v>36</v>
      </c>
      <c r="B8" s="84">
        <f t="shared" ref="B8:H8" si="1">B5+B6+B7</f>
        <v>0</v>
      </c>
      <c r="C8" s="84">
        <f t="shared" si="1"/>
        <v>0</v>
      </c>
      <c r="D8" s="84">
        <f t="shared" si="1"/>
        <v>0</v>
      </c>
      <c r="E8" s="84">
        <f t="shared" si="1"/>
        <v>0</v>
      </c>
      <c r="F8" s="84">
        <f t="shared" si="1"/>
        <v>0</v>
      </c>
      <c r="G8" s="84">
        <f t="shared" si="1"/>
        <v>0</v>
      </c>
      <c r="H8" s="84">
        <f t="shared" si="1"/>
        <v>0</v>
      </c>
    </row>
    <row r="9" spans="1:10" s="7" customFormat="1" ht="24.95" customHeight="1">
      <c r="A9" s="33"/>
      <c r="B9" s="29"/>
      <c r="C9" s="29"/>
      <c r="D9" s="29"/>
      <c r="E9" s="29"/>
      <c r="F9" s="29"/>
      <c r="G9" s="63" t="s">
        <v>37</v>
      </c>
      <c r="H9" s="64">
        <f>SUM(B8:H8)</f>
        <v>0</v>
      </c>
    </row>
    <row r="10" spans="1:10" s="7" customFormat="1">
      <c r="A10" s="182" t="s">
        <v>136</v>
      </c>
      <c r="B10" s="183"/>
      <c r="C10" s="183"/>
      <c r="D10" s="183"/>
      <c r="E10" s="183"/>
      <c r="F10" s="183"/>
      <c r="G10" s="65" t="s">
        <v>39</v>
      </c>
      <c r="H10" s="66">
        <v>-0.15</v>
      </c>
      <c r="I10" s="5"/>
      <c r="J10" s="26"/>
    </row>
    <row r="11" spans="1:10" s="7" customFormat="1" ht="30" customHeight="1">
      <c r="A11" s="39" t="s">
        <v>8</v>
      </c>
      <c r="B11" s="9">
        <v>150</v>
      </c>
      <c r="C11" s="9">
        <v>105</v>
      </c>
      <c r="D11" s="67"/>
      <c r="E11" s="67"/>
      <c r="F11" s="9">
        <v>150</v>
      </c>
      <c r="G11" s="68">
        <v>150</v>
      </c>
      <c r="H11" s="69">
        <v>150</v>
      </c>
    </row>
    <row r="12" spans="1:10" s="7" customFormat="1" ht="30" customHeight="1">
      <c r="A12" s="70" t="s">
        <v>23</v>
      </c>
      <c r="B12" s="59">
        <v>450</v>
      </c>
      <c r="C12" s="58">
        <v>380</v>
      </c>
      <c r="D12" s="58">
        <v>370</v>
      </c>
      <c r="E12" s="58">
        <v>390</v>
      </c>
      <c r="F12" s="58">
        <v>460</v>
      </c>
      <c r="G12" s="58">
        <v>460</v>
      </c>
      <c r="H12" s="58">
        <v>480</v>
      </c>
    </row>
    <row r="13" spans="1:10" s="7" customFormat="1" ht="30" customHeight="1">
      <c r="A13" s="3" t="s">
        <v>35</v>
      </c>
      <c r="B13" s="8">
        <v>520</v>
      </c>
      <c r="C13" s="8">
        <v>400</v>
      </c>
      <c r="D13" s="8">
        <v>360</v>
      </c>
      <c r="E13" s="8">
        <v>470</v>
      </c>
      <c r="F13" s="8">
        <v>590</v>
      </c>
      <c r="G13" s="8">
        <v>600</v>
      </c>
      <c r="H13" s="8">
        <v>590</v>
      </c>
    </row>
    <row r="14" spans="1:10" s="7" customFormat="1" ht="27" customHeight="1">
      <c r="A14" s="85" t="s">
        <v>36</v>
      </c>
      <c r="B14" s="87">
        <f t="shared" ref="B14:H14" si="2">B11+B12+B13</f>
        <v>1120</v>
      </c>
      <c r="C14" s="87">
        <f t="shared" si="2"/>
        <v>885</v>
      </c>
      <c r="D14" s="87">
        <f t="shared" si="2"/>
        <v>730</v>
      </c>
      <c r="E14" s="87">
        <f t="shared" si="2"/>
        <v>860</v>
      </c>
      <c r="F14" s="87">
        <f t="shared" si="2"/>
        <v>1200</v>
      </c>
      <c r="G14" s="87">
        <f t="shared" si="2"/>
        <v>1210</v>
      </c>
      <c r="H14" s="87">
        <f t="shared" si="2"/>
        <v>1220</v>
      </c>
    </row>
    <row r="15" spans="1:10" s="7" customFormat="1" ht="24.95" customHeight="1">
      <c r="A15" s="86" t="s">
        <v>40</v>
      </c>
      <c r="B15" s="92" t="e">
        <f t="shared" ref="B15:H15" si="3">(B14-B8)/B8</f>
        <v>#DIV/0!</v>
      </c>
      <c r="C15" s="93" t="e">
        <f t="shared" si="3"/>
        <v>#DIV/0!</v>
      </c>
      <c r="D15" s="93" t="e">
        <f t="shared" si="3"/>
        <v>#DIV/0!</v>
      </c>
      <c r="E15" s="93" t="e">
        <f t="shared" si="3"/>
        <v>#DIV/0!</v>
      </c>
      <c r="F15" s="93" t="e">
        <f t="shared" si="3"/>
        <v>#DIV/0!</v>
      </c>
      <c r="G15" s="93" t="e">
        <f t="shared" si="3"/>
        <v>#DIV/0!</v>
      </c>
      <c r="H15" s="94" t="e">
        <f t="shared" si="3"/>
        <v>#DIV/0!</v>
      </c>
      <c r="I15" s="71"/>
    </row>
    <row r="16" spans="1:10" ht="30" customHeight="1">
      <c r="B16" s="88"/>
      <c r="C16" s="88"/>
      <c r="D16" s="88"/>
      <c r="E16" s="88"/>
      <c r="F16" s="89"/>
      <c r="G16" s="90" t="s">
        <v>37</v>
      </c>
      <c r="H16" s="91">
        <f>SUM(B14:H14)</f>
        <v>7225</v>
      </c>
    </row>
    <row r="17" spans="1:8" s="7" customFormat="1">
      <c r="A17" s="184" t="s">
        <v>41</v>
      </c>
      <c r="B17" s="185"/>
      <c r="C17" s="185"/>
      <c r="D17" s="185"/>
      <c r="E17" s="185"/>
      <c r="F17" s="185"/>
      <c r="G17" s="72" t="s">
        <v>42</v>
      </c>
      <c r="H17" s="66" t="e">
        <f>(H16-H9)/H9</f>
        <v>#DIV/0!</v>
      </c>
    </row>
    <row r="18" spans="1:8" s="7" customFormat="1" ht="30" customHeight="1">
      <c r="A18" s="35" t="s">
        <v>43</v>
      </c>
      <c r="B18" s="12"/>
      <c r="C18" s="12"/>
      <c r="D18" s="73"/>
      <c r="E18" s="73"/>
      <c r="F18" s="12"/>
      <c r="G18" s="24"/>
      <c r="H18" s="74"/>
    </row>
    <row r="19" spans="1:8" s="7" customFormat="1" ht="30" customHeight="1">
      <c r="A19" s="35" t="str">
        <f>'Week. 5'!A31</f>
        <v>Non Meal Plan Meals</v>
      </c>
      <c r="B19" s="12"/>
      <c r="C19" s="12"/>
      <c r="D19" s="73"/>
      <c r="E19" s="73"/>
      <c r="F19" s="12"/>
      <c r="G19" s="24"/>
      <c r="H19" s="74"/>
    </row>
    <row r="20" spans="1:8" s="7" customFormat="1" ht="30" customHeight="1">
      <c r="A20" s="35" t="str">
        <f>'Week. 5'!A32</f>
        <v xml:space="preserve">Meal numbers </v>
      </c>
      <c r="B20" s="95"/>
      <c r="C20" s="95"/>
      <c r="D20" s="67"/>
      <c r="E20" s="67"/>
      <c r="F20" s="95"/>
      <c r="G20" s="95"/>
      <c r="H20" s="75"/>
    </row>
    <row r="21" spans="1:8" s="7" customFormat="1" ht="24.95" customHeight="1">
      <c r="A21" s="36" t="s">
        <v>45</v>
      </c>
      <c r="B21" s="77"/>
      <c r="C21" s="77"/>
      <c r="D21" s="96"/>
      <c r="E21" s="96"/>
      <c r="F21" s="77"/>
      <c r="G21" s="77"/>
      <c r="H21" s="77"/>
    </row>
    <row r="22" spans="1:8" s="7" customFormat="1" ht="24.95" customHeight="1">
      <c r="A22" s="34" t="s">
        <v>40</v>
      </c>
      <c r="B22" s="92" t="e">
        <f>(B21-B5)/B5</f>
        <v>#DIV/0!</v>
      </c>
      <c r="C22" s="93" t="e">
        <f>(C21-C5)/C5</f>
        <v>#DIV/0!</v>
      </c>
      <c r="D22" s="99"/>
      <c r="E22" s="99"/>
      <c r="F22" s="93" t="e">
        <f>(F21-F5)/F5</f>
        <v>#DIV/0!</v>
      </c>
      <c r="G22" s="93" t="e">
        <f>(G21-G5)/G5</f>
        <v>#DIV/0!</v>
      </c>
      <c r="H22" s="94" t="e">
        <f>(H21-H5)/H5</f>
        <v>#DIV/0!</v>
      </c>
    </row>
    <row r="23" spans="1:8" s="7" customFormat="1">
      <c r="A23" s="186" t="s">
        <v>46</v>
      </c>
      <c r="B23" s="187"/>
      <c r="C23" s="187"/>
      <c r="D23" s="187"/>
      <c r="E23" s="187"/>
      <c r="F23" s="188" t="s">
        <v>47</v>
      </c>
      <c r="G23" s="97"/>
      <c r="H23" s="98"/>
    </row>
    <row r="24" spans="1:8" s="7" customFormat="1" ht="30" customHeight="1">
      <c r="A24" s="35" t="s">
        <v>43</v>
      </c>
      <c r="B24" s="11"/>
      <c r="C24" s="12"/>
      <c r="D24" s="12"/>
      <c r="E24" s="12"/>
      <c r="F24" s="12"/>
      <c r="G24" s="12"/>
      <c r="H24" s="11"/>
    </row>
    <row r="25" spans="1:8" s="7" customFormat="1" ht="30" customHeight="1">
      <c r="A25" s="35" t="str">
        <f>A19</f>
        <v>Non Meal Plan Meals</v>
      </c>
      <c r="B25" s="117"/>
      <c r="C25" s="117"/>
      <c r="D25" s="117"/>
      <c r="E25" s="117"/>
      <c r="F25" s="117"/>
      <c r="G25" s="117"/>
      <c r="H25" s="117"/>
    </row>
    <row r="26" spans="1:8" s="7" customFormat="1" ht="30" customHeight="1">
      <c r="A26" s="35" t="str">
        <f>A20</f>
        <v xml:space="preserve">Meal numbers </v>
      </c>
      <c r="B26" s="11"/>
      <c r="C26" s="11"/>
      <c r="D26" s="11"/>
      <c r="E26" s="11"/>
      <c r="F26" s="11"/>
      <c r="G26" s="11"/>
      <c r="H26" s="11"/>
    </row>
    <row r="27" spans="1:8" s="7" customFormat="1" ht="27.95" customHeight="1">
      <c r="A27" s="36" t="s">
        <v>50</v>
      </c>
      <c r="B27" s="100">
        <f>B24+B25+B26</f>
        <v>0</v>
      </c>
      <c r="C27" s="100">
        <f t="shared" ref="C27:G27" si="4">C24+C25+C26</f>
        <v>0</v>
      </c>
      <c r="D27" s="100">
        <f t="shared" si="4"/>
        <v>0</v>
      </c>
      <c r="E27" s="100">
        <f t="shared" si="4"/>
        <v>0</v>
      </c>
      <c r="F27" s="100">
        <f t="shared" si="4"/>
        <v>0</v>
      </c>
      <c r="G27" s="100">
        <f t="shared" si="4"/>
        <v>0</v>
      </c>
      <c r="H27" s="100">
        <f>H24+H25+H26</f>
        <v>0</v>
      </c>
    </row>
    <row r="28" spans="1:8" s="7" customFormat="1" ht="24.95" customHeight="1">
      <c r="A28" s="34" t="s">
        <v>40</v>
      </c>
      <c r="B28" s="92" t="e">
        <f t="shared" ref="B28:H28" si="5">(B27-B6)/B6</f>
        <v>#DIV/0!</v>
      </c>
      <c r="C28" s="93" t="e">
        <f t="shared" si="5"/>
        <v>#DIV/0!</v>
      </c>
      <c r="D28" s="93" t="e">
        <f t="shared" si="5"/>
        <v>#DIV/0!</v>
      </c>
      <c r="E28" s="93" t="e">
        <f t="shared" si="5"/>
        <v>#DIV/0!</v>
      </c>
      <c r="F28" s="93" t="e">
        <f t="shared" si="5"/>
        <v>#DIV/0!</v>
      </c>
      <c r="G28" s="93" t="e">
        <f t="shared" si="5"/>
        <v>#DIV/0!</v>
      </c>
      <c r="H28" s="94" t="e">
        <f t="shared" si="5"/>
        <v>#DIV/0!</v>
      </c>
    </row>
    <row r="29" spans="1:8" s="7" customFormat="1">
      <c r="A29" s="189" t="s">
        <v>51</v>
      </c>
      <c r="B29" s="190"/>
      <c r="C29" s="190"/>
      <c r="D29" s="190"/>
      <c r="E29" s="190"/>
      <c r="F29" s="191" t="s">
        <v>35</v>
      </c>
      <c r="G29" s="101"/>
      <c r="H29" s="102"/>
    </row>
    <row r="30" spans="1:8" s="7" customFormat="1" ht="30" customHeight="1">
      <c r="A30" s="35" t="s">
        <v>43</v>
      </c>
      <c r="B30" s="10"/>
      <c r="C30" s="9"/>
      <c r="D30" s="9"/>
      <c r="E30" s="9"/>
      <c r="F30" s="9"/>
      <c r="G30" s="9"/>
      <c r="H30" s="10"/>
    </row>
    <row r="31" spans="1:8" s="7" customFormat="1" ht="30" customHeight="1">
      <c r="A31" s="35" t="str">
        <f>A25</f>
        <v>Non Meal Plan Meals</v>
      </c>
      <c r="B31" s="60"/>
      <c r="C31" s="60"/>
      <c r="D31" s="60"/>
      <c r="E31" s="60"/>
      <c r="F31" s="60"/>
      <c r="G31" s="60"/>
      <c r="H31" s="60"/>
    </row>
    <row r="32" spans="1:8" s="7" customFormat="1" ht="30" customHeight="1">
      <c r="A32" s="35" t="str">
        <f>A26</f>
        <v xml:space="preserve">Meal numbers </v>
      </c>
      <c r="B32" s="10"/>
      <c r="C32" s="10"/>
      <c r="D32" s="10"/>
      <c r="E32" s="10"/>
      <c r="F32" s="10"/>
      <c r="G32" s="10"/>
      <c r="H32" s="10"/>
    </row>
    <row r="33" spans="1:12" s="7" customFormat="1" ht="30.95" customHeight="1">
      <c r="A33" s="36" t="s">
        <v>53</v>
      </c>
      <c r="B33" s="103">
        <f>B30+B31+B32</f>
        <v>0</v>
      </c>
      <c r="C33" s="103">
        <f t="shared" ref="C33:G33" si="6">C30+C31+C32</f>
        <v>0</v>
      </c>
      <c r="D33" s="103">
        <f t="shared" si="6"/>
        <v>0</v>
      </c>
      <c r="E33" s="103">
        <f t="shared" si="6"/>
        <v>0</v>
      </c>
      <c r="F33" s="103">
        <f t="shared" si="6"/>
        <v>0</v>
      </c>
      <c r="G33" s="103">
        <f t="shared" si="6"/>
        <v>0</v>
      </c>
      <c r="H33" s="103">
        <f>H30+H31+H32</f>
        <v>0</v>
      </c>
    </row>
    <row r="34" spans="1:12" s="7" customFormat="1" ht="24.95" customHeight="1">
      <c r="A34" s="34" t="s">
        <v>40</v>
      </c>
      <c r="B34" s="92" t="e">
        <f t="shared" ref="B34:H34" si="7">(B33-B7)/B7</f>
        <v>#DIV/0!</v>
      </c>
      <c r="C34" s="93" t="e">
        <f t="shared" si="7"/>
        <v>#DIV/0!</v>
      </c>
      <c r="D34" s="93" t="e">
        <f t="shared" si="7"/>
        <v>#DIV/0!</v>
      </c>
      <c r="E34" s="93" t="e">
        <f t="shared" si="7"/>
        <v>#DIV/0!</v>
      </c>
      <c r="F34" s="93" t="e">
        <f t="shared" si="7"/>
        <v>#DIV/0!</v>
      </c>
      <c r="G34" s="93" t="e">
        <f t="shared" si="7"/>
        <v>#DIV/0!</v>
      </c>
      <c r="H34" s="94" t="e">
        <f t="shared" si="7"/>
        <v>#DIV/0!</v>
      </c>
    </row>
    <row r="35" spans="1:12" s="7" customFormat="1">
      <c r="A35" s="192" t="s">
        <v>54</v>
      </c>
      <c r="B35" s="193"/>
      <c r="C35" s="193"/>
      <c r="D35" s="193"/>
      <c r="E35" s="193"/>
      <c r="F35" s="194" t="s">
        <v>35</v>
      </c>
      <c r="G35" s="104"/>
      <c r="H35" s="105"/>
    </row>
    <row r="36" spans="1:12" s="7" customFormat="1" ht="30.95" customHeight="1">
      <c r="A36" s="78" t="s">
        <v>55</v>
      </c>
      <c r="B36" s="77">
        <f>B33+B27+B21</f>
        <v>0</v>
      </c>
      <c r="C36" s="77">
        <f t="shared" ref="C36:H36" si="8">C33+C27+C21</f>
        <v>0</v>
      </c>
      <c r="D36" s="77">
        <f t="shared" si="8"/>
        <v>0</v>
      </c>
      <c r="E36" s="77">
        <f t="shared" si="8"/>
        <v>0</v>
      </c>
      <c r="F36" s="77">
        <f t="shared" si="8"/>
        <v>0</v>
      </c>
      <c r="G36" s="77">
        <f t="shared" si="8"/>
        <v>0</v>
      </c>
      <c r="H36" s="77">
        <f t="shared" si="8"/>
        <v>0</v>
      </c>
    </row>
    <row r="37" spans="1:12" s="7" customFormat="1" ht="24.95" customHeight="1">
      <c r="A37" s="34" t="s">
        <v>40</v>
      </c>
      <c r="B37" s="92" t="e">
        <f t="shared" ref="B37:H37" si="9">(B36-B8)/B8</f>
        <v>#DIV/0!</v>
      </c>
      <c r="C37" s="93" t="e">
        <f t="shared" si="9"/>
        <v>#DIV/0!</v>
      </c>
      <c r="D37" s="93" t="e">
        <f t="shared" si="9"/>
        <v>#DIV/0!</v>
      </c>
      <c r="E37" s="93" t="e">
        <f t="shared" si="9"/>
        <v>#DIV/0!</v>
      </c>
      <c r="F37" s="93" t="e">
        <f t="shared" si="9"/>
        <v>#DIV/0!</v>
      </c>
      <c r="G37" s="93" t="e">
        <f t="shared" si="9"/>
        <v>#DIV/0!</v>
      </c>
      <c r="H37" s="94" t="e">
        <f t="shared" si="9"/>
        <v>#DIV/0!</v>
      </c>
    </row>
    <row r="38" spans="1:12" ht="30" customHeight="1">
      <c r="A38" s="195"/>
      <c r="B38" s="196"/>
      <c r="C38" s="196"/>
      <c r="D38" s="196"/>
      <c r="E38" s="196"/>
      <c r="F38" s="196"/>
      <c r="G38" s="106" t="s">
        <v>37</v>
      </c>
      <c r="H38" s="107">
        <f>SUM(B36:H36)</f>
        <v>0</v>
      </c>
    </row>
    <row r="39" spans="1:12" s="7" customFormat="1" ht="24.95" customHeight="1">
      <c r="A39" s="37"/>
      <c r="B39" s="25"/>
      <c r="C39" s="25"/>
      <c r="D39" s="25"/>
      <c r="E39" s="25"/>
      <c r="F39" s="25"/>
      <c r="G39" s="79" t="s">
        <v>40</v>
      </c>
      <c r="H39" s="80" t="e">
        <f>(H38-H9)/H9</f>
        <v>#DIV/0!</v>
      </c>
    </row>
    <row r="40" spans="1:12" s="7" customFormat="1" ht="24.95" customHeight="1">
      <c r="A40" s="37"/>
      <c r="B40" s="25"/>
      <c r="C40" s="25"/>
      <c r="D40" s="25"/>
      <c r="E40" s="25"/>
      <c r="F40" s="25"/>
      <c r="G40" s="81" t="s">
        <v>56</v>
      </c>
      <c r="H40" s="82">
        <f>(H38-H16)/H16</f>
        <v>-1</v>
      </c>
    </row>
    <row r="41" spans="1:12" s="46" customFormat="1" ht="23.1" customHeight="1">
      <c r="A41" s="40"/>
      <c r="B41" s="47" t="s">
        <v>57</v>
      </c>
      <c r="C41" s="197" t="s">
        <v>58</v>
      </c>
      <c r="D41" s="197"/>
      <c r="E41" s="197"/>
      <c r="F41" s="197"/>
      <c r="G41" s="198">
        <v>2022</v>
      </c>
      <c r="H41" s="199"/>
    </row>
    <row r="42" spans="1:12" ht="30" customHeight="1">
      <c r="A42" s="1" t="s">
        <v>60</v>
      </c>
      <c r="B42" s="57" t="s">
        <v>59</v>
      </c>
      <c r="C42" s="180"/>
      <c r="D42" s="180"/>
      <c r="E42" s="180"/>
      <c r="F42" s="180"/>
      <c r="G42" s="178"/>
      <c r="H42" s="179"/>
      <c r="L42" s="7" t="s">
        <v>61</v>
      </c>
    </row>
    <row r="43" spans="1:12" ht="30" customHeight="1">
      <c r="A43" s="1" t="s">
        <v>1</v>
      </c>
      <c r="B43" s="57" t="s">
        <v>59</v>
      </c>
      <c r="C43" s="180"/>
      <c r="D43" s="180"/>
      <c r="E43" s="180"/>
      <c r="F43" s="180"/>
      <c r="G43" s="178"/>
      <c r="H43" s="179"/>
      <c r="L43" s="5" t="s">
        <v>62</v>
      </c>
    </row>
    <row r="44" spans="1:12" ht="30" customHeight="1">
      <c r="A44" s="1" t="s">
        <v>2</v>
      </c>
      <c r="B44" s="57" t="s">
        <v>59</v>
      </c>
      <c r="C44" s="175"/>
      <c r="D44" s="175"/>
      <c r="E44" s="175"/>
      <c r="F44" s="175"/>
      <c r="G44" s="176"/>
      <c r="H44" s="177"/>
      <c r="L44" s="5" t="s">
        <v>63</v>
      </c>
    </row>
    <row r="45" spans="1:12" ht="30" customHeight="1">
      <c r="A45" s="1" t="s">
        <v>3</v>
      </c>
      <c r="B45" s="57" t="s">
        <v>59</v>
      </c>
      <c r="C45" s="175"/>
      <c r="D45" s="175"/>
      <c r="E45" s="175"/>
      <c r="F45" s="175"/>
      <c r="G45" s="176"/>
      <c r="H45" s="177"/>
      <c r="L45" s="5" t="s">
        <v>64</v>
      </c>
    </row>
    <row r="46" spans="1:12" ht="30.95" customHeight="1">
      <c r="A46" s="1" t="s">
        <v>4</v>
      </c>
      <c r="B46" s="57" t="s">
        <v>59</v>
      </c>
      <c r="C46" s="175"/>
      <c r="D46" s="175"/>
      <c r="E46" s="175"/>
      <c r="F46" s="175"/>
      <c r="G46" s="176"/>
      <c r="H46" s="177"/>
    </row>
    <row r="47" spans="1:12" ht="30" customHeight="1">
      <c r="A47" s="1" t="s">
        <v>5</v>
      </c>
      <c r="B47" s="57" t="s">
        <v>59</v>
      </c>
      <c r="C47" s="175"/>
      <c r="D47" s="175"/>
      <c r="E47" s="175"/>
      <c r="F47" s="175"/>
      <c r="G47" s="176"/>
      <c r="H47" s="177"/>
    </row>
    <row r="48" spans="1:12" ht="30" customHeight="1">
      <c r="A48" s="1" t="s">
        <v>6</v>
      </c>
      <c r="B48" s="57" t="s">
        <v>59</v>
      </c>
      <c r="C48" s="175"/>
      <c r="D48" s="175"/>
      <c r="E48" s="175"/>
      <c r="F48" s="175"/>
      <c r="G48" s="176"/>
      <c r="H48" s="177"/>
    </row>
    <row r="49" spans="1:8" ht="30" customHeight="1">
      <c r="A49" s="1"/>
      <c r="B49" s="14"/>
      <c r="C49" s="175"/>
      <c r="D49" s="175"/>
      <c r="E49" s="175"/>
      <c r="F49" s="175"/>
      <c r="G49" s="176"/>
      <c r="H49" s="177"/>
    </row>
    <row r="50" spans="1:8" ht="30" customHeight="1">
      <c r="A50" s="2"/>
      <c r="B50" s="14"/>
      <c r="C50" s="175"/>
      <c r="D50" s="175"/>
      <c r="E50" s="175"/>
      <c r="F50" s="175"/>
      <c r="G50" s="176"/>
      <c r="H50" s="177"/>
    </row>
    <row r="51" spans="1:8">
      <c r="A51" s="30"/>
      <c r="B51" s="18" t="s">
        <v>27</v>
      </c>
      <c r="C51" s="18" t="s">
        <v>28</v>
      </c>
      <c r="D51" s="18" t="s">
        <v>65</v>
      </c>
      <c r="E51" s="18" t="s">
        <v>30</v>
      </c>
      <c r="F51" s="18" t="s">
        <v>66</v>
      </c>
      <c r="G51" s="18" t="s">
        <v>32</v>
      </c>
      <c r="H51" s="18" t="s">
        <v>33</v>
      </c>
    </row>
    <row r="52" spans="1:8">
      <c r="A52" s="38" t="s">
        <v>67</v>
      </c>
      <c r="B52" s="15"/>
      <c r="C52" s="20"/>
      <c r="D52" s="20"/>
      <c r="E52" s="20"/>
      <c r="F52" s="20"/>
      <c r="G52" s="20"/>
      <c r="H52" s="15"/>
    </row>
    <row r="53" spans="1:8" customFormat="1" ht="15.75">
      <c r="A53" s="48" t="s">
        <v>68</v>
      </c>
      <c r="B53" s="22"/>
      <c r="C53" s="21"/>
      <c r="D53" s="21"/>
      <c r="E53" s="21"/>
      <c r="F53" s="21"/>
      <c r="G53" s="23" t="s">
        <v>37</v>
      </c>
      <c r="H53" s="23">
        <f>SUM(B52:H52)</f>
        <v>0</v>
      </c>
    </row>
    <row r="54" spans="1:8">
      <c r="A54" s="30"/>
      <c r="B54" s="18" t="s">
        <v>27</v>
      </c>
      <c r="C54" s="18" t="s">
        <v>28</v>
      </c>
      <c r="D54" s="18" t="s">
        <v>65</v>
      </c>
      <c r="E54" s="18" t="s">
        <v>30</v>
      </c>
      <c r="F54" s="18" t="s">
        <v>66</v>
      </c>
      <c r="G54" s="18" t="s">
        <v>32</v>
      </c>
      <c r="H54" s="18" t="s">
        <v>33</v>
      </c>
    </row>
    <row r="55" spans="1:8">
      <c r="A55" s="38" t="s">
        <v>69</v>
      </c>
      <c r="B55" s="51"/>
      <c r="C55" s="52"/>
      <c r="D55" s="52"/>
      <c r="E55" s="52"/>
      <c r="F55" s="52"/>
      <c r="G55" s="20"/>
      <c r="H55" s="15"/>
    </row>
    <row r="56" spans="1:8" customFormat="1" ht="15.75">
      <c r="A56" s="49" t="s">
        <v>70</v>
      </c>
      <c r="B56" s="53"/>
      <c r="C56" s="53" t="s">
        <v>71</v>
      </c>
      <c r="D56" s="54"/>
      <c r="E56" s="54"/>
      <c r="F56" s="55"/>
      <c r="G56" s="50" t="s">
        <v>37</v>
      </c>
      <c r="H56" s="23"/>
    </row>
    <row r="57" spans="1:8">
      <c r="H57" s="16"/>
    </row>
    <row r="58" spans="1:8">
      <c r="H58" s="16"/>
    </row>
    <row r="59" spans="1:8">
      <c r="H59" s="16"/>
    </row>
    <row r="60" spans="1:8">
      <c r="H60" s="16"/>
    </row>
    <row r="61" spans="1:8">
      <c r="H61" s="16"/>
    </row>
    <row r="62" spans="1:8">
      <c r="H62" s="16"/>
    </row>
    <row r="63" spans="1:8">
      <c r="H63" s="16"/>
    </row>
    <row r="64" spans="1:8">
      <c r="B64" s="5"/>
      <c r="H64" s="16"/>
    </row>
    <row r="65" spans="2:8">
      <c r="B65" s="5"/>
      <c r="H65" s="16"/>
    </row>
    <row r="66" spans="2:8">
      <c r="B66" s="5"/>
      <c r="H66" s="16"/>
    </row>
    <row r="67" spans="2:8">
      <c r="B67" s="5"/>
      <c r="H67" s="16"/>
    </row>
    <row r="68" spans="2:8">
      <c r="B68" s="5"/>
      <c r="H68" s="16"/>
    </row>
    <row r="69" spans="2:8">
      <c r="B69" s="5"/>
      <c r="H69" s="16"/>
    </row>
    <row r="70" spans="2:8">
      <c r="B70" s="5"/>
      <c r="H70" s="16"/>
    </row>
    <row r="71" spans="2:8">
      <c r="B71" s="5"/>
      <c r="H71" s="16"/>
    </row>
    <row r="72" spans="2:8">
      <c r="B72" s="5"/>
      <c r="H72" s="16"/>
    </row>
    <row r="73" spans="2:8">
      <c r="B73" s="5"/>
      <c r="H73" s="16"/>
    </row>
    <row r="74" spans="2:8">
      <c r="B74" s="5"/>
      <c r="H74" s="16"/>
    </row>
    <row r="75" spans="2:8">
      <c r="B75" s="5"/>
      <c r="H75" s="16"/>
    </row>
    <row r="76" spans="2:8">
      <c r="B76" s="5"/>
      <c r="H76" s="16"/>
    </row>
    <row r="77" spans="2:8">
      <c r="B77" s="5"/>
      <c r="H77" s="16"/>
    </row>
    <row r="78" spans="2:8">
      <c r="B78" s="5"/>
      <c r="H78" s="16"/>
    </row>
    <row r="79" spans="2:8">
      <c r="B79" s="5"/>
      <c r="H79" s="16"/>
    </row>
    <row r="80" spans="2:8">
      <c r="B80" s="5"/>
      <c r="H80" s="16"/>
    </row>
    <row r="81" spans="2:8">
      <c r="B81" s="5"/>
      <c r="H81" s="16"/>
    </row>
    <row r="82" spans="2:8">
      <c r="B82" s="5"/>
      <c r="H82" s="16"/>
    </row>
    <row r="83" spans="2:8">
      <c r="B83" s="5"/>
      <c r="H83" s="16"/>
    </row>
    <row r="84" spans="2:8">
      <c r="B84" s="5"/>
      <c r="H84" s="16"/>
    </row>
    <row r="85" spans="2:8">
      <c r="B85" s="5"/>
      <c r="H85" s="16"/>
    </row>
    <row r="86" spans="2:8">
      <c r="B86" s="5"/>
      <c r="H86" s="16"/>
    </row>
    <row r="87" spans="2:8">
      <c r="B87" s="5"/>
      <c r="H87" s="16"/>
    </row>
    <row r="88" spans="2:8">
      <c r="B88" s="5"/>
      <c r="H88" s="16"/>
    </row>
    <row r="89" spans="2:8">
      <c r="B89" s="5"/>
      <c r="H89" s="16"/>
    </row>
    <row r="90" spans="2:8">
      <c r="B90" s="5"/>
      <c r="H90" s="16"/>
    </row>
    <row r="91" spans="2:8">
      <c r="B91" s="5"/>
      <c r="H91" s="16"/>
    </row>
    <row r="92" spans="2:8">
      <c r="B92" s="5"/>
      <c r="H92" s="16"/>
    </row>
    <row r="93" spans="2:8">
      <c r="B93" s="5"/>
      <c r="H93" s="16"/>
    </row>
    <row r="94" spans="2:8">
      <c r="B94" s="5"/>
      <c r="H94" s="16"/>
    </row>
    <row r="95" spans="2:8">
      <c r="B95" s="5"/>
      <c r="H95" s="16"/>
    </row>
    <row r="96" spans="2:8">
      <c r="B96" s="5"/>
      <c r="H96" s="16"/>
    </row>
    <row r="97" spans="2:8">
      <c r="B97" s="5"/>
      <c r="H97" s="16"/>
    </row>
    <row r="98" spans="2:8">
      <c r="B98" s="5"/>
      <c r="H98" s="16"/>
    </row>
    <row r="99" spans="2:8">
      <c r="B99" s="5"/>
      <c r="H99" s="16"/>
    </row>
    <row r="100" spans="2:8">
      <c r="B100" s="5"/>
      <c r="H100" s="16"/>
    </row>
    <row r="101" spans="2:8">
      <c r="B101" s="5"/>
      <c r="H101" s="16"/>
    </row>
    <row r="102" spans="2:8">
      <c r="B102" s="5"/>
      <c r="H102" s="16"/>
    </row>
    <row r="103" spans="2:8">
      <c r="B103" s="5"/>
      <c r="H103" s="16"/>
    </row>
    <row r="104" spans="2:8">
      <c r="B104" s="5"/>
      <c r="H104" s="16"/>
    </row>
    <row r="105" spans="2:8">
      <c r="B105" s="5"/>
      <c r="H105" s="16"/>
    </row>
    <row r="106" spans="2:8">
      <c r="B106" s="5"/>
      <c r="H106" s="16"/>
    </row>
    <row r="107" spans="2:8">
      <c r="B107" s="5"/>
      <c r="H107" s="16"/>
    </row>
    <row r="108" spans="2:8">
      <c r="B108" s="5"/>
      <c r="H108" s="16"/>
    </row>
    <row r="109" spans="2:8">
      <c r="B109" s="5"/>
      <c r="H109" s="16"/>
    </row>
    <row r="110" spans="2:8">
      <c r="B110" s="5"/>
      <c r="H110" s="16"/>
    </row>
    <row r="111" spans="2:8">
      <c r="B111" s="5"/>
      <c r="H111" s="16"/>
    </row>
    <row r="112" spans="2:8">
      <c r="B112" s="5"/>
      <c r="H112" s="16"/>
    </row>
    <row r="113" spans="2:8">
      <c r="B113" s="5"/>
      <c r="H113" s="16"/>
    </row>
    <row r="114" spans="2:8">
      <c r="B114" s="5"/>
      <c r="H114" s="16"/>
    </row>
    <row r="115" spans="2:8">
      <c r="B115" s="5"/>
      <c r="H115" s="16"/>
    </row>
    <row r="116" spans="2:8">
      <c r="B116" s="5"/>
      <c r="H116" s="16"/>
    </row>
    <row r="117" spans="2:8">
      <c r="B117" s="5"/>
      <c r="H117" s="16"/>
    </row>
    <row r="118" spans="2:8">
      <c r="B118" s="5"/>
      <c r="H118" s="16"/>
    </row>
    <row r="119" spans="2:8">
      <c r="B119" s="5"/>
      <c r="H119" s="16"/>
    </row>
    <row r="120" spans="2:8">
      <c r="B120" s="5"/>
      <c r="H120" s="16"/>
    </row>
    <row r="121" spans="2:8">
      <c r="B121" s="5"/>
      <c r="H121" s="16"/>
    </row>
    <row r="122" spans="2:8">
      <c r="B122" s="5"/>
      <c r="H122" s="16"/>
    </row>
    <row r="123" spans="2:8">
      <c r="B123" s="5"/>
      <c r="H123" s="16"/>
    </row>
    <row r="124" spans="2:8">
      <c r="B124" s="5"/>
      <c r="H124" s="16"/>
    </row>
    <row r="125" spans="2:8">
      <c r="B125" s="5"/>
      <c r="H125" s="16"/>
    </row>
    <row r="126" spans="2:8">
      <c r="B126" s="5"/>
      <c r="H126" s="16"/>
    </row>
    <row r="127" spans="2:8">
      <c r="B127" s="5"/>
      <c r="H127" s="16"/>
    </row>
    <row r="128" spans="2:8">
      <c r="B128" s="5"/>
      <c r="H128" s="16"/>
    </row>
    <row r="129" spans="2:8">
      <c r="B129" s="5"/>
      <c r="H129" s="16"/>
    </row>
    <row r="130" spans="2:8">
      <c r="B130" s="5"/>
      <c r="H130" s="16"/>
    </row>
    <row r="131" spans="2:8">
      <c r="B131" s="5"/>
      <c r="H131" s="16"/>
    </row>
    <row r="132" spans="2:8">
      <c r="B132" s="5"/>
      <c r="H132" s="16"/>
    </row>
    <row r="133" spans="2:8">
      <c r="B133" s="5"/>
      <c r="H133" s="16"/>
    </row>
    <row r="134" spans="2:8">
      <c r="B134" s="5"/>
      <c r="H134" s="16"/>
    </row>
    <row r="135" spans="2:8">
      <c r="B135" s="5"/>
      <c r="H135" s="16"/>
    </row>
    <row r="136" spans="2:8">
      <c r="B136" s="5"/>
      <c r="H136" s="16"/>
    </row>
    <row r="137" spans="2:8">
      <c r="B137" s="5"/>
      <c r="H137" s="16"/>
    </row>
    <row r="138" spans="2:8">
      <c r="B138" s="5"/>
      <c r="H138" s="16"/>
    </row>
    <row r="139" spans="2:8">
      <c r="B139" s="5"/>
      <c r="H139" s="16"/>
    </row>
    <row r="140" spans="2:8">
      <c r="B140" s="5"/>
      <c r="H140" s="16"/>
    </row>
    <row r="141" spans="2:8">
      <c r="B141" s="5"/>
      <c r="H141" s="16"/>
    </row>
    <row r="142" spans="2:8">
      <c r="B142" s="5"/>
      <c r="H142" s="16"/>
    </row>
    <row r="143" spans="2:8">
      <c r="B143" s="5"/>
      <c r="H143" s="16"/>
    </row>
    <row r="144" spans="2:8">
      <c r="B144" s="5"/>
      <c r="H144" s="16"/>
    </row>
    <row r="145" spans="2:8">
      <c r="B145" s="5"/>
      <c r="H145" s="16"/>
    </row>
    <row r="146" spans="2:8">
      <c r="B146" s="5"/>
      <c r="H146" s="16"/>
    </row>
    <row r="147" spans="2:8">
      <c r="B147" s="5"/>
      <c r="H147" s="16"/>
    </row>
    <row r="148" spans="2:8">
      <c r="B148" s="5"/>
      <c r="H148" s="16"/>
    </row>
    <row r="149" spans="2:8">
      <c r="B149" s="5"/>
      <c r="H149" s="16"/>
    </row>
    <row r="150" spans="2:8">
      <c r="B150" s="5"/>
      <c r="H150" s="16"/>
    </row>
    <row r="151" spans="2:8">
      <c r="B151" s="5"/>
      <c r="H151" s="16"/>
    </row>
    <row r="152" spans="2:8">
      <c r="B152" s="5"/>
      <c r="H152" s="16"/>
    </row>
    <row r="153" spans="2:8">
      <c r="B153" s="5"/>
      <c r="H153" s="16"/>
    </row>
    <row r="154" spans="2:8">
      <c r="B154" s="5"/>
      <c r="H154" s="16"/>
    </row>
    <row r="155" spans="2:8">
      <c r="B155" s="5"/>
      <c r="H155" s="16"/>
    </row>
    <row r="156" spans="2:8">
      <c r="B156" s="5"/>
      <c r="H156" s="16"/>
    </row>
    <row r="157" spans="2:8">
      <c r="B157" s="5"/>
      <c r="H157" s="16"/>
    </row>
    <row r="158" spans="2:8">
      <c r="B158" s="5"/>
      <c r="H158" s="16"/>
    </row>
    <row r="159" spans="2:8">
      <c r="B159" s="5"/>
      <c r="H159" s="16"/>
    </row>
    <row r="160" spans="2:8">
      <c r="B160" s="5"/>
      <c r="H160" s="16"/>
    </row>
    <row r="161" spans="2:8">
      <c r="B161" s="5"/>
      <c r="H161" s="16"/>
    </row>
    <row r="162" spans="2:8">
      <c r="B162" s="5"/>
      <c r="H162" s="16"/>
    </row>
    <row r="163" spans="2:8">
      <c r="B163" s="5"/>
      <c r="H163" s="16"/>
    </row>
    <row r="164" spans="2:8">
      <c r="B164" s="5"/>
      <c r="H164" s="16"/>
    </row>
    <row r="165" spans="2:8">
      <c r="B165" s="5"/>
      <c r="H165" s="16"/>
    </row>
    <row r="166" spans="2:8">
      <c r="B166" s="5"/>
      <c r="H166" s="16"/>
    </row>
    <row r="167" spans="2:8">
      <c r="B167" s="5"/>
      <c r="H167" s="16"/>
    </row>
    <row r="168" spans="2:8">
      <c r="B168" s="5"/>
      <c r="H168" s="16"/>
    </row>
    <row r="169" spans="2:8">
      <c r="B169" s="5"/>
      <c r="H169" s="16"/>
    </row>
    <row r="170" spans="2:8">
      <c r="B170" s="5"/>
      <c r="H170" s="16"/>
    </row>
    <row r="171" spans="2:8">
      <c r="B171" s="5"/>
      <c r="H171" s="16"/>
    </row>
    <row r="172" spans="2:8">
      <c r="B172" s="5"/>
      <c r="H172" s="16"/>
    </row>
    <row r="173" spans="2:8">
      <c r="B173" s="5"/>
      <c r="H173" s="16"/>
    </row>
    <row r="174" spans="2:8">
      <c r="B174" s="5"/>
      <c r="H174" s="16"/>
    </row>
    <row r="175" spans="2:8">
      <c r="B175" s="5"/>
      <c r="H175" s="16"/>
    </row>
    <row r="176" spans="2:8">
      <c r="B176" s="5"/>
      <c r="H176" s="16"/>
    </row>
    <row r="177" spans="2:8">
      <c r="B177" s="5"/>
      <c r="H177" s="16"/>
    </row>
    <row r="178" spans="2:8">
      <c r="B178" s="5"/>
      <c r="H178" s="16"/>
    </row>
    <row r="179" spans="2:8">
      <c r="B179" s="5"/>
      <c r="H179" s="16"/>
    </row>
    <row r="180" spans="2:8">
      <c r="B180" s="5"/>
      <c r="H180" s="16"/>
    </row>
    <row r="181" spans="2:8">
      <c r="B181" s="5"/>
      <c r="H181" s="16"/>
    </row>
    <row r="182" spans="2:8">
      <c r="B182" s="5"/>
      <c r="H182" s="16"/>
    </row>
    <row r="183" spans="2:8">
      <c r="B183" s="5"/>
      <c r="H183" s="16"/>
    </row>
    <row r="184" spans="2:8">
      <c r="B184" s="5"/>
      <c r="H184" s="16"/>
    </row>
    <row r="185" spans="2:8">
      <c r="B185" s="5"/>
      <c r="H185" s="16"/>
    </row>
    <row r="186" spans="2:8">
      <c r="B186" s="5"/>
      <c r="H186" s="16"/>
    </row>
    <row r="187" spans="2:8">
      <c r="B187" s="5"/>
      <c r="H187" s="16"/>
    </row>
    <row r="188" spans="2:8">
      <c r="B188" s="5"/>
      <c r="H188" s="16"/>
    </row>
    <row r="189" spans="2:8">
      <c r="B189" s="5"/>
      <c r="H189" s="16"/>
    </row>
    <row r="190" spans="2:8">
      <c r="B190" s="5"/>
      <c r="H190" s="16"/>
    </row>
    <row r="191" spans="2:8">
      <c r="B191" s="5"/>
      <c r="H191" s="16"/>
    </row>
    <row r="192" spans="2:8">
      <c r="B192" s="5"/>
      <c r="H192" s="16"/>
    </row>
    <row r="193" spans="2:8">
      <c r="B193" s="5"/>
      <c r="H193" s="16"/>
    </row>
    <row r="194" spans="2:8">
      <c r="B194" s="5"/>
      <c r="H194" s="16"/>
    </row>
    <row r="195" spans="2:8">
      <c r="B195" s="5"/>
      <c r="H195" s="16"/>
    </row>
    <row r="196" spans="2:8">
      <c r="B196" s="5"/>
      <c r="H196" s="16"/>
    </row>
    <row r="197" spans="2:8">
      <c r="B197" s="5"/>
      <c r="H197" s="16"/>
    </row>
    <row r="198" spans="2:8">
      <c r="B198" s="5"/>
      <c r="H198" s="16"/>
    </row>
    <row r="199" spans="2:8">
      <c r="B199" s="5"/>
      <c r="H199" s="16"/>
    </row>
    <row r="200" spans="2:8">
      <c r="B200" s="5"/>
      <c r="H200" s="16"/>
    </row>
    <row r="201" spans="2:8">
      <c r="B201" s="5"/>
      <c r="H201" s="16"/>
    </row>
    <row r="202" spans="2:8">
      <c r="B202" s="5"/>
      <c r="H202" s="16"/>
    </row>
    <row r="203" spans="2:8">
      <c r="B203" s="5"/>
      <c r="H203" s="16"/>
    </row>
    <row r="204" spans="2:8">
      <c r="B204" s="5"/>
      <c r="H204" s="16"/>
    </row>
    <row r="205" spans="2:8">
      <c r="B205" s="5"/>
      <c r="H205" s="16"/>
    </row>
    <row r="206" spans="2:8">
      <c r="B206" s="5"/>
      <c r="H206" s="16"/>
    </row>
    <row r="207" spans="2:8">
      <c r="B207" s="5"/>
      <c r="H207" s="16"/>
    </row>
    <row r="208" spans="2:8">
      <c r="B208" s="5"/>
      <c r="H208" s="16"/>
    </row>
    <row r="209" spans="2:8">
      <c r="B209" s="5"/>
      <c r="H209" s="16"/>
    </row>
    <row r="210" spans="2:8">
      <c r="B210" s="5"/>
      <c r="H210" s="16"/>
    </row>
    <row r="211" spans="2:8">
      <c r="B211" s="5"/>
      <c r="H211" s="16"/>
    </row>
    <row r="212" spans="2:8">
      <c r="B212" s="5"/>
      <c r="H212" s="16"/>
    </row>
    <row r="213" spans="2:8">
      <c r="B213" s="5"/>
      <c r="H213" s="16"/>
    </row>
    <row r="214" spans="2:8">
      <c r="B214" s="5"/>
      <c r="H214" s="16"/>
    </row>
    <row r="215" spans="2:8">
      <c r="B215" s="5"/>
      <c r="H215" s="16"/>
    </row>
    <row r="216" spans="2:8">
      <c r="B216" s="5"/>
      <c r="H216" s="16"/>
    </row>
    <row r="217" spans="2:8">
      <c r="B217" s="5"/>
      <c r="H217" s="16"/>
    </row>
    <row r="218" spans="2:8">
      <c r="B218" s="5"/>
      <c r="H218" s="16"/>
    </row>
    <row r="219" spans="2:8">
      <c r="B219" s="5"/>
      <c r="H219" s="16"/>
    </row>
    <row r="220" spans="2:8">
      <c r="B220" s="5"/>
      <c r="H220" s="16"/>
    </row>
    <row r="221" spans="2:8">
      <c r="B221" s="5"/>
      <c r="H221" s="16"/>
    </row>
    <row r="222" spans="2:8">
      <c r="B222" s="5"/>
      <c r="H222" s="16"/>
    </row>
    <row r="223" spans="2:8">
      <c r="B223" s="5"/>
      <c r="H223" s="16"/>
    </row>
    <row r="224" spans="2:8">
      <c r="B224" s="5"/>
      <c r="H224" s="16"/>
    </row>
    <row r="225" spans="2:8">
      <c r="B225" s="5"/>
      <c r="H225" s="16"/>
    </row>
    <row r="226" spans="2:8">
      <c r="B226" s="5"/>
      <c r="H226" s="16"/>
    </row>
    <row r="227" spans="2:8">
      <c r="B227" s="5"/>
      <c r="H227" s="16"/>
    </row>
    <row r="228" spans="2:8">
      <c r="B228" s="5"/>
      <c r="H228" s="16"/>
    </row>
    <row r="229" spans="2:8">
      <c r="B229" s="5"/>
      <c r="H229" s="16"/>
    </row>
    <row r="230" spans="2:8">
      <c r="B230" s="5"/>
      <c r="H230" s="16"/>
    </row>
    <row r="231" spans="2:8">
      <c r="B231" s="5"/>
      <c r="H231" s="16"/>
    </row>
    <row r="232" spans="2:8">
      <c r="B232" s="5"/>
      <c r="H232" s="16"/>
    </row>
    <row r="233" spans="2:8">
      <c r="B233" s="5"/>
      <c r="H233" s="16"/>
    </row>
    <row r="234" spans="2:8">
      <c r="B234" s="5"/>
      <c r="H234" s="16"/>
    </row>
    <row r="235" spans="2:8">
      <c r="B235" s="5"/>
      <c r="H235" s="16"/>
    </row>
    <row r="236" spans="2:8">
      <c r="B236" s="5"/>
      <c r="H236" s="16"/>
    </row>
    <row r="237" spans="2:8">
      <c r="B237" s="5"/>
      <c r="H237" s="16"/>
    </row>
    <row r="238" spans="2:8">
      <c r="B238" s="5"/>
      <c r="H238" s="16"/>
    </row>
    <row r="239" spans="2:8">
      <c r="B239" s="5"/>
      <c r="H239" s="16"/>
    </row>
    <row r="240" spans="2:8">
      <c r="B240" s="5"/>
      <c r="H240" s="16"/>
    </row>
    <row r="241" spans="2:8">
      <c r="B241" s="5"/>
      <c r="H241" s="16"/>
    </row>
    <row r="242" spans="2:8">
      <c r="B242" s="5"/>
      <c r="H242" s="16"/>
    </row>
    <row r="243" spans="2:8">
      <c r="B243" s="5"/>
      <c r="H243" s="16"/>
    </row>
    <row r="244" spans="2:8">
      <c r="B244" s="5"/>
      <c r="H244" s="16"/>
    </row>
    <row r="245" spans="2:8">
      <c r="B245" s="5"/>
      <c r="H245" s="16"/>
    </row>
    <row r="246" spans="2:8">
      <c r="B246" s="5"/>
      <c r="H246" s="16"/>
    </row>
    <row r="247" spans="2:8">
      <c r="B247" s="5"/>
      <c r="H247" s="16"/>
    </row>
    <row r="248" spans="2:8">
      <c r="B248" s="5"/>
      <c r="H248" s="16"/>
    </row>
    <row r="249" spans="2:8">
      <c r="B249" s="5"/>
      <c r="H249" s="16"/>
    </row>
    <row r="250" spans="2:8">
      <c r="B250" s="5"/>
      <c r="H250" s="16"/>
    </row>
    <row r="251" spans="2:8">
      <c r="B251" s="5"/>
      <c r="H251" s="16"/>
    </row>
    <row r="252" spans="2:8">
      <c r="B252" s="5"/>
      <c r="H252" s="16"/>
    </row>
    <row r="253" spans="2:8">
      <c r="B253" s="5"/>
      <c r="H253" s="16"/>
    </row>
    <row r="254" spans="2:8">
      <c r="B254" s="5"/>
      <c r="H254" s="16"/>
    </row>
    <row r="255" spans="2:8">
      <c r="B255" s="5"/>
      <c r="H255" s="16"/>
    </row>
    <row r="256" spans="2:8">
      <c r="B256" s="5"/>
      <c r="H256" s="16"/>
    </row>
    <row r="257" spans="2:8">
      <c r="B257" s="5"/>
      <c r="H257" s="16"/>
    </row>
    <row r="258" spans="2:8">
      <c r="B258" s="5"/>
      <c r="H258" s="16"/>
    </row>
    <row r="259" spans="2:8">
      <c r="B259" s="5"/>
      <c r="H259" s="16"/>
    </row>
    <row r="260" spans="2:8">
      <c r="B260" s="5"/>
      <c r="H260" s="16"/>
    </row>
    <row r="261" spans="2:8">
      <c r="B261" s="5"/>
      <c r="H261" s="16"/>
    </row>
    <row r="262" spans="2:8">
      <c r="B262" s="5"/>
      <c r="H262" s="16"/>
    </row>
    <row r="263" spans="2:8">
      <c r="B263" s="5"/>
      <c r="H263" s="16"/>
    </row>
    <row r="264" spans="2:8">
      <c r="B264" s="5"/>
      <c r="H264" s="16"/>
    </row>
    <row r="265" spans="2:8">
      <c r="B265" s="5"/>
      <c r="H265" s="16"/>
    </row>
    <row r="266" spans="2:8">
      <c r="B266" s="5"/>
      <c r="H266" s="16"/>
    </row>
    <row r="267" spans="2:8">
      <c r="B267" s="5"/>
      <c r="H267" s="16"/>
    </row>
    <row r="268" spans="2:8">
      <c r="B268" s="5"/>
      <c r="H268" s="16"/>
    </row>
    <row r="269" spans="2:8">
      <c r="B269" s="5"/>
      <c r="H269" s="16"/>
    </row>
    <row r="270" spans="2:8">
      <c r="B270" s="5"/>
      <c r="H270" s="16"/>
    </row>
    <row r="271" spans="2:8">
      <c r="B271" s="5"/>
      <c r="H271" s="16"/>
    </row>
    <row r="272" spans="2:8">
      <c r="B272" s="5"/>
      <c r="H272" s="16"/>
    </row>
    <row r="273" spans="2:8">
      <c r="B273" s="5"/>
      <c r="H273" s="16"/>
    </row>
    <row r="274" spans="2:8">
      <c r="B274" s="5"/>
      <c r="H274" s="16"/>
    </row>
    <row r="275" spans="2:8">
      <c r="B275" s="5"/>
      <c r="H275" s="16"/>
    </row>
    <row r="276" spans="2:8">
      <c r="B276" s="5"/>
      <c r="H276" s="16"/>
    </row>
    <row r="277" spans="2:8">
      <c r="B277" s="5"/>
      <c r="H277" s="16"/>
    </row>
    <row r="278" spans="2:8">
      <c r="B278" s="5"/>
      <c r="H278" s="16"/>
    </row>
    <row r="279" spans="2:8">
      <c r="B279" s="5"/>
      <c r="H279" s="16"/>
    </row>
    <row r="280" spans="2:8">
      <c r="B280" s="5"/>
      <c r="H280" s="16"/>
    </row>
    <row r="281" spans="2:8">
      <c r="B281" s="5"/>
      <c r="H281" s="16"/>
    </row>
    <row r="282" spans="2:8">
      <c r="B282" s="5"/>
      <c r="H282" s="16"/>
    </row>
    <row r="283" spans="2:8">
      <c r="B283" s="5"/>
      <c r="H283" s="16"/>
    </row>
    <row r="284" spans="2:8">
      <c r="B284" s="5"/>
      <c r="H284" s="16"/>
    </row>
    <row r="285" spans="2:8">
      <c r="B285" s="5"/>
      <c r="H285" s="16"/>
    </row>
    <row r="286" spans="2:8">
      <c r="B286" s="5"/>
      <c r="H286" s="16"/>
    </row>
    <row r="287" spans="2:8">
      <c r="B287" s="5"/>
      <c r="H287" s="16"/>
    </row>
    <row r="288" spans="2:8">
      <c r="B288" s="5"/>
      <c r="H288" s="16"/>
    </row>
    <row r="289" spans="2:8">
      <c r="B289" s="5"/>
      <c r="H289" s="16"/>
    </row>
    <row r="290" spans="2:8">
      <c r="B290" s="5"/>
      <c r="H290" s="16"/>
    </row>
    <row r="291" spans="2:8">
      <c r="B291" s="5"/>
      <c r="H291" s="16"/>
    </row>
    <row r="292" spans="2:8">
      <c r="B292" s="5"/>
      <c r="H292" s="16"/>
    </row>
    <row r="293" spans="2:8">
      <c r="B293" s="5"/>
      <c r="H293" s="16"/>
    </row>
    <row r="294" spans="2:8">
      <c r="B294" s="5"/>
      <c r="H294" s="16"/>
    </row>
    <row r="295" spans="2:8">
      <c r="B295" s="5"/>
      <c r="H295" s="16"/>
    </row>
    <row r="296" spans="2:8">
      <c r="B296" s="5"/>
      <c r="H296" s="16"/>
    </row>
    <row r="297" spans="2:8">
      <c r="B297" s="5"/>
      <c r="H297" s="16"/>
    </row>
    <row r="298" spans="2:8">
      <c r="B298" s="5"/>
      <c r="H298" s="16"/>
    </row>
    <row r="299" spans="2:8">
      <c r="B299" s="5"/>
      <c r="H299" s="16"/>
    </row>
    <row r="300" spans="2:8">
      <c r="B300" s="5"/>
      <c r="H300" s="16"/>
    </row>
    <row r="301" spans="2:8">
      <c r="B301" s="5"/>
      <c r="H301" s="16"/>
    </row>
    <row r="302" spans="2:8">
      <c r="B302" s="5"/>
      <c r="H302" s="16"/>
    </row>
    <row r="303" spans="2:8">
      <c r="B303" s="5"/>
      <c r="H303" s="16"/>
    </row>
    <row r="304" spans="2:8">
      <c r="B304" s="5"/>
      <c r="H304" s="16"/>
    </row>
    <row r="305" spans="2:8">
      <c r="B305" s="5"/>
      <c r="H305" s="16"/>
    </row>
    <row r="306" spans="2:8">
      <c r="B306" s="5"/>
      <c r="H306" s="16"/>
    </row>
    <row r="307" spans="2:8">
      <c r="B307" s="5"/>
      <c r="H307" s="16"/>
    </row>
    <row r="308" spans="2:8">
      <c r="B308" s="5"/>
      <c r="H308" s="16"/>
    </row>
    <row r="309" spans="2:8">
      <c r="B309" s="5"/>
      <c r="H309" s="16"/>
    </row>
    <row r="310" spans="2:8">
      <c r="B310" s="5"/>
      <c r="H310" s="16"/>
    </row>
    <row r="311" spans="2:8">
      <c r="B311" s="5"/>
      <c r="H311" s="16"/>
    </row>
    <row r="312" spans="2:8">
      <c r="B312" s="5"/>
      <c r="H312" s="16"/>
    </row>
    <row r="313" spans="2:8">
      <c r="B313" s="5"/>
      <c r="H313" s="16"/>
    </row>
    <row r="314" spans="2:8">
      <c r="B314" s="5"/>
      <c r="H314" s="16"/>
    </row>
    <row r="315" spans="2:8">
      <c r="B315" s="5"/>
      <c r="H315" s="16"/>
    </row>
    <row r="316" spans="2:8">
      <c r="B316" s="5"/>
      <c r="H316" s="16"/>
    </row>
    <row r="317" spans="2:8">
      <c r="B317" s="5"/>
      <c r="H317" s="16"/>
    </row>
    <row r="318" spans="2:8">
      <c r="B318" s="5"/>
      <c r="H318" s="16"/>
    </row>
    <row r="319" spans="2:8">
      <c r="B319" s="5"/>
      <c r="H319" s="16"/>
    </row>
    <row r="320" spans="2:8">
      <c r="B320" s="5"/>
      <c r="H320" s="16"/>
    </row>
    <row r="321" spans="2:8">
      <c r="B321" s="5"/>
      <c r="H321" s="16"/>
    </row>
    <row r="322" spans="2:8">
      <c r="B322" s="5"/>
      <c r="H322" s="16"/>
    </row>
    <row r="323" spans="2:8">
      <c r="B323" s="5"/>
      <c r="H323" s="16"/>
    </row>
    <row r="324" spans="2:8">
      <c r="B324" s="5"/>
      <c r="H324" s="16"/>
    </row>
    <row r="325" spans="2:8">
      <c r="B325" s="5"/>
      <c r="H325" s="16"/>
    </row>
    <row r="326" spans="2:8">
      <c r="B326" s="5"/>
      <c r="H326" s="16"/>
    </row>
    <row r="327" spans="2:8">
      <c r="B327" s="5"/>
      <c r="H327" s="16"/>
    </row>
    <row r="328" spans="2:8">
      <c r="B328" s="5"/>
      <c r="H328" s="16"/>
    </row>
    <row r="329" spans="2:8">
      <c r="B329" s="5"/>
      <c r="H329" s="16"/>
    </row>
    <row r="330" spans="2:8">
      <c r="B330" s="5"/>
      <c r="H330" s="16"/>
    </row>
    <row r="331" spans="2:8">
      <c r="B331" s="5"/>
      <c r="H331" s="16"/>
    </row>
    <row r="332" spans="2:8">
      <c r="B332" s="5"/>
      <c r="H332" s="16"/>
    </row>
    <row r="333" spans="2:8">
      <c r="B333" s="5"/>
      <c r="H333" s="16"/>
    </row>
    <row r="334" spans="2:8">
      <c r="B334" s="5"/>
      <c r="H334" s="16"/>
    </row>
    <row r="335" spans="2:8">
      <c r="B335" s="5"/>
      <c r="H335" s="16"/>
    </row>
    <row r="336" spans="2:8">
      <c r="B336" s="5"/>
      <c r="H336" s="16"/>
    </row>
    <row r="337" spans="2:8">
      <c r="B337" s="5"/>
      <c r="H337" s="16"/>
    </row>
    <row r="338" spans="2:8">
      <c r="B338" s="5"/>
      <c r="H338" s="16"/>
    </row>
    <row r="339" spans="2:8">
      <c r="B339" s="5"/>
      <c r="H339" s="16"/>
    </row>
    <row r="340" spans="2:8">
      <c r="B340" s="5"/>
      <c r="H340" s="16"/>
    </row>
    <row r="341" spans="2:8">
      <c r="B341" s="5"/>
      <c r="H341" s="16"/>
    </row>
    <row r="342" spans="2:8">
      <c r="B342" s="5"/>
      <c r="H342" s="16"/>
    </row>
    <row r="343" spans="2:8">
      <c r="B343" s="5"/>
      <c r="H343" s="16"/>
    </row>
    <row r="344" spans="2:8">
      <c r="B344" s="5"/>
      <c r="H344" s="16"/>
    </row>
    <row r="345" spans="2:8">
      <c r="B345" s="5"/>
      <c r="H345" s="16"/>
    </row>
    <row r="346" spans="2:8">
      <c r="B346" s="5"/>
      <c r="H346" s="16"/>
    </row>
    <row r="347" spans="2:8">
      <c r="B347" s="5"/>
      <c r="H347" s="16"/>
    </row>
    <row r="348" spans="2:8">
      <c r="B348" s="5"/>
      <c r="H348" s="16"/>
    </row>
    <row r="349" spans="2:8">
      <c r="B349" s="5"/>
      <c r="H349" s="16"/>
    </row>
    <row r="350" spans="2:8">
      <c r="B350" s="5"/>
      <c r="H350" s="16"/>
    </row>
    <row r="351" spans="2:8">
      <c r="B351" s="5"/>
      <c r="H351" s="16"/>
    </row>
    <row r="352" spans="2:8">
      <c r="B352" s="5"/>
      <c r="H352" s="16"/>
    </row>
    <row r="353" spans="2:8">
      <c r="B353" s="5"/>
      <c r="H353" s="16"/>
    </row>
    <row r="354" spans="2:8">
      <c r="B354" s="5"/>
      <c r="H354" s="16"/>
    </row>
    <row r="355" spans="2:8">
      <c r="B355" s="5"/>
      <c r="H355" s="16"/>
    </row>
    <row r="356" spans="2:8">
      <c r="B356" s="5"/>
      <c r="H356" s="16"/>
    </row>
    <row r="357" spans="2:8">
      <c r="B357" s="5"/>
      <c r="H357" s="16"/>
    </row>
    <row r="358" spans="2:8">
      <c r="B358" s="5"/>
      <c r="H358" s="16"/>
    </row>
    <row r="359" spans="2:8">
      <c r="B359" s="5"/>
      <c r="H359" s="16"/>
    </row>
    <row r="360" spans="2:8">
      <c r="B360" s="5"/>
      <c r="H360" s="16"/>
    </row>
    <row r="361" spans="2:8">
      <c r="B361" s="5"/>
      <c r="H361" s="16"/>
    </row>
    <row r="362" spans="2:8">
      <c r="B362" s="5"/>
      <c r="H362" s="16"/>
    </row>
    <row r="363" spans="2:8">
      <c r="B363" s="5"/>
      <c r="H363" s="16"/>
    </row>
    <row r="364" spans="2:8">
      <c r="B364" s="5"/>
      <c r="H364" s="16"/>
    </row>
    <row r="365" spans="2:8">
      <c r="B365" s="5"/>
      <c r="H365" s="16"/>
    </row>
    <row r="366" spans="2:8">
      <c r="B366" s="5"/>
      <c r="H366" s="16"/>
    </row>
    <row r="367" spans="2:8">
      <c r="B367" s="5"/>
      <c r="H367" s="16"/>
    </row>
    <row r="368" spans="2:8">
      <c r="B368" s="5"/>
      <c r="H368" s="16"/>
    </row>
    <row r="369" spans="2:8">
      <c r="B369" s="5"/>
      <c r="H369" s="16"/>
    </row>
    <row r="370" spans="2:8">
      <c r="B370" s="5"/>
      <c r="H370" s="16"/>
    </row>
    <row r="371" spans="2:8">
      <c r="B371" s="5"/>
      <c r="H371" s="16"/>
    </row>
    <row r="372" spans="2:8">
      <c r="B372" s="5"/>
      <c r="H372" s="16"/>
    </row>
    <row r="373" spans="2:8">
      <c r="B373" s="5"/>
      <c r="H373" s="16"/>
    </row>
    <row r="374" spans="2:8">
      <c r="B374" s="5"/>
      <c r="H374" s="16"/>
    </row>
    <row r="375" spans="2:8">
      <c r="B375" s="5"/>
      <c r="H375" s="16"/>
    </row>
    <row r="376" spans="2:8">
      <c r="B376" s="5"/>
      <c r="H376" s="16"/>
    </row>
    <row r="377" spans="2:8">
      <c r="B377" s="5"/>
      <c r="H377" s="16"/>
    </row>
    <row r="378" spans="2:8">
      <c r="B378" s="5"/>
      <c r="H378" s="16"/>
    </row>
    <row r="379" spans="2:8">
      <c r="B379" s="5"/>
      <c r="H379" s="16"/>
    </row>
    <row r="380" spans="2:8">
      <c r="B380" s="5"/>
      <c r="H380" s="16"/>
    </row>
    <row r="381" spans="2:8">
      <c r="B381" s="5"/>
      <c r="H381" s="16"/>
    </row>
    <row r="382" spans="2:8">
      <c r="B382" s="5"/>
      <c r="H382" s="16"/>
    </row>
    <row r="383" spans="2:8">
      <c r="B383" s="5"/>
      <c r="H383" s="16"/>
    </row>
    <row r="384" spans="2:8">
      <c r="B384" s="5"/>
      <c r="H384" s="16"/>
    </row>
    <row r="385" spans="2:8">
      <c r="B385" s="5"/>
      <c r="H385" s="16"/>
    </row>
    <row r="386" spans="2:8">
      <c r="B386" s="5"/>
      <c r="H386" s="16"/>
    </row>
    <row r="387" spans="2:8">
      <c r="B387" s="5"/>
      <c r="H387" s="16"/>
    </row>
    <row r="388" spans="2:8">
      <c r="B388" s="5"/>
      <c r="H388" s="16"/>
    </row>
    <row r="389" spans="2:8">
      <c r="B389" s="5"/>
      <c r="H389" s="16"/>
    </row>
    <row r="390" spans="2:8">
      <c r="B390" s="5"/>
      <c r="H390" s="16"/>
    </row>
    <row r="391" spans="2:8">
      <c r="B391" s="5"/>
      <c r="H391" s="16"/>
    </row>
    <row r="392" spans="2:8">
      <c r="B392" s="5"/>
      <c r="H392" s="16"/>
    </row>
    <row r="393" spans="2:8">
      <c r="B393" s="5"/>
      <c r="H393" s="16"/>
    </row>
    <row r="394" spans="2:8">
      <c r="B394" s="5"/>
      <c r="H394" s="16"/>
    </row>
    <row r="395" spans="2:8">
      <c r="B395" s="5"/>
      <c r="H395" s="16"/>
    </row>
    <row r="396" spans="2:8">
      <c r="B396" s="5"/>
      <c r="H396" s="16"/>
    </row>
    <row r="397" spans="2:8">
      <c r="B397" s="5"/>
      <c r="H397" s="16"/>
    </row>
    <row r="398" spans="2:8">
      <c r="B398" s="5"/>
      <c r="H398" s="16"/>
    </row>
    <row r="399" spans="2:8">
      <c r="B399" s="5"/>
      <c r="H399" s="16"/>
    </row>
    <row r="400" spans="2:8">
      <c r="B400" s="5"/>
      <c r="H400" s="16"/>
    </row>
    <row r="401" spans="2:8">
      <c r="B401" s="5"/>
      <c r="H401" s="16"/>
    </row>
    <row r="402" spans="2:8">
      <c r="B402" s="5"/>
      <c r="H402" s="16"/>
    </row>
    <row r="403" spans="2:8">
      <c r="B403" s="5"/>
      <c r="H403" s="16"/>
    </row>
    <row r="404" spans="2:8">
      <c r="B404" s="5"/>
      <c r="H404" s="16"/>
    </row>
    <row r="405" spans="2:8">
      <c r="B405" s="5"/>
      <c r="H405" s="16"/>
    </row>
    <row r="406" spans="2:8">
      <c r="B406" s="5"/>
      <c r="H406" s="16"/>
    </row>
    <row r="407" spans="2:8">
      <c r="B407" s="5"/>
      <c r="H407" s="16"/>
    </row>
    <row r="408" spans="2:8">
      <c r="B408" s="5"/>
      <c r="H408" s="16"/>
    </row>
    <row r="409" spans="2:8">
      <c r="B409" s="5"/>
      <c r="H409" s="16"/>
    </row>
    <row r="410" spans="2:8">
      <c r="B410" s="5"/>
      <c r="H410" s="16"/>
    </row>
    <row r="411" spans="2:8">
      <c r="B411" s="5"/>
      <c r="H411" s="16"/>
    </row>
    <row r="412" spans="2:8">
      <c r="B412" s="5"/>
      <c r="H412" s="16"/>
    </row>
    <row r="413" spans="2:8">
      <c r="B413" s="5"/>
      <c r="H413" s="16"/>
    </row>
    <row r="414" spans="2:8">
      <c r="B414" s="5"/>
      <c r="H414" s="16"/>
    </row>
    <row r="415" spans="2:8">
      <c r="B415" s="5"/>
      <c r="H415" s="16"/>
    </row>
    <row r="416" spans="2:8">
      <c r="B416" s="5"/>
      <c r="H416" s="16"/>
    </row>
    <row r="417" spans="2:8">
      <c r="B417" s="5"/>
      <c r="H417" s="16"/>
    </row>
    <row r="418" spans="2:8">
      <c r="B418" s="5"/>
      <c r="H418" s="16"/>
    </row>
    <row r="419" spans="2:8">
      <c r="B419" s="5"/>
      <c r="H419" s="16"/>
    </row>
    <row r="420" spans="2:8">
      <c r="B420" s="5"/>
      <c r="H420" s="16"/>
    </row>
    <row r="421" spans="2:8">
      <c r="B421" s="5"/>
      <c r="H421" s="16"/>
    </row>
    <row r="422" spans="2:8">
      <c r="B422" s="5"/>
      <c r="H422" s="16"/>
    </row>
    <row r="423" spans="2:8">
      <c r="B423" s="5"/>
      <c r="H423" s="16"/>
    </row>
    <row r="424" spans="2:8">
      <c r="B424" s="5"/>
      <c r="H424" s="16"/>
    </row>
    <row r="425" spans="2:8">
      <c r="B425" s="5"/>
      <c r="H425" s="16"/>
    </row>
    <row r="426" spans="2:8">
      <c r="B426" s="5"/>
      <c r="H426" s="16"/>
    </row>
    <row r="427" spans="2:8">
      <c r="B427" s="5"/>
      <c r="H427" s="16"/>
    </row>
    <row r="428" spans="2:8">
      <c r="B428" s="5"/>
      <c r="H428" s="16"/>
    </row>
    <row r="429" spans="2:8">
      <c r="B429" s="5"/>
      <c r="H429" s="16"/>
    </row>
    <row r="430" spans="2:8">
      <c r="B430" s="5"/>
      <c r="H430" s="16"/>
    </row>
    <row r="431" spans="2:8">
      <c r="B431" s="5"/>
      <c r="H431" s="16"/>
    </row>
    <row r="432" spans="2:8">
      <c r="B432" s="5"/>
      <c r="H432" s="16"/>
    </row>
    <row r="433" spans="2:8">
      <c r="B433" s="5"/>
      <c r="H433" s="16"/>
    </row>
    <row r="434" spans="2:8">
      <c r="B434" s="5"/>
      <c r="H434" s="16"/>
    </row>
    <row r="435" spans="2:8">
      <c r="B435" s="5"/>
      <c r="H435" s="16"/>
    </row>
    <row r="436" spans="2:8">
      <c r="B436" s="5"/>
      <c r="H436" s="16"/>
    </row>
    <row r="437" spans="2:8">
      <c r="B437" s="5"/>
      <c r="H437" s="16"/>
    </row>
    <row r="438" spans="2:8">
      <c r="B438" s="5"/>
      <c r="H438" s="16"/>
    </row>
    <row r="439" spans="2:8">
      <c r="B439" s="5"/>
      <c r="H439" s="16"/>
    </row>
    <row r="440" spans="2:8">
      <c r="B440" s="5"/>
      <c r="H440" s="16"/>
    </row>
    <row r="441" spans="2:8">
      <c r="B441" s="5"/>
      <c r="H441" s="16"/>
    </row>
    <row r="442" spans="2:8">
      <c r="B442" s="5"/>
      <c r="H442" s="16"/>
    </row>
    <row r="443" spans="2:8">
      <c r="B443" s="5"/>
      <c r="H443" s="16"/>
    </row>
    <row r="444" spans="2:8">
      <c r="B444" s="5"/>
      <c r="H444" s="16"/>
    </row>
    <row r="445" spans="2:8">
      <c r="B445" s="5"/>
      <c r="H445" s="16"/>
    </row>
    <row r="446" spans="2:8">
      <c r="B446" s="5"/>
      <c r="H446" s="16"/>
    </row>
    <row r="447" spans="2:8">
      <c r="B447" s="5"/>
      <c r="H447" s="16"/>
    </row>
    <row r="448" spans="2:8">
      <c r="B448" s="5"/>
      <c r="H448" s="16"/>
    </row>
    <row r="449" spans="2:8">
      <c r="B449" s="5"/>
      <c r="H449" s="16"/>
    </row>
    <row r="450" spans="2:8">
      <c r="B450" s="5"/>
      <c r="H450" s="16"/>
    </row>
    <row r="451" spans="2:8">
      <c r="B451" s="5"/>
      <c r="H451" s="16"/>
    </row>
    <row r="452" spans="2:8">
      <c r="B452" s="5"/>
      <c r="H452" s="16"/>
    </row>
    <row r="453" spans="2:8">
      <c r="B453" s="5"/>
      <c r="H453" s="16"/>
    </row>
    <row r="454" spans="2:8">
      <c r="B454" s="5"/>
      <c r="H454" s="16"/>
    </row>
    <row r="455" spans="2:8">
      <c r="B455" s="5"/>
      <c r="H455" s="16"/>
    </row>
    <row r="456" spans="2:8">
      <c r="B456" s="5"/>
      <c r="H456" s="16"/>
    </row>
    <row r="457" spans="2:8">
      <c r="B457" s="5"/>
      <c r="H457" s="16"/>
    </row>
    <row r="458" spans="2:8">
      <c r="B458" s="5"/>
      <c r="H458" s="16"/>
    </row>
    <row r="459" spans="2:8">
      <c r="B459" s="5"/>
      <c r="H459" s="16"/>
    </row>
    <row r="460" spans="2:8">
      <c r="B460" s="5"/>
      <c r="H460" s="16"/>
    </row>
    <row r="461" spans="2:8">
      <c r="B461" s="5"/>
      <c r="H461" s="16"/>
    </row>
    <row r="462" spans="2:8">
      <c r="B462" s="5"/>
      <c r="H462" s="16"/>
    </row>
    <row r="463" spans="2:8">
      <c r="B463" s="5"/>
      <c r="H463" s="16"/>
    </row>
    <row r="464" spans="2:8">
      <c r="B464" s="5"/>
      <c r="H464" s="16"/>
    </row>
    <row r="465" spans="2:8">
      <c r="B465" s="5"/>
      <c r="H465" s="16"/>
    </row>
    <row r="466" spans="2:8">
      <c r="B466" s="5"/>
      <c r="H466" s="16"/>
    </row>
    <row r="467" spans="2:8">
      <c r="B467" s="5"/>
      <c r="H467" s="16"/>
    </row>
    <row r="468" spans="2:8">
      <c r="B468" s="5"/>
      <c r="H468" s="16"/>
    </row>
    <row r="469" spans="2:8">
      <c r="B469" s="5"/>
      <c r="H469" s="16"/>
    </row>
    <row r="470" spans="2:8">
      <c r="B470" s="5"/>
      <c r="H470" s="16"/>
    </row>
    <row r="471" spans="2:8">
      <c r="B471" s="5"/>
      <c r="H471" s="16"/>
    </row>
    <row r="472" spans="2:8">
      <c r="B472" s="5"/>
      <c r="H472" s="16"/>
    </row>
    <row r="473" spans="2:8">
      <c r="B473" s="5"/>
      <c r="H473" s="16"/>
    </row>
    <row r="474" spans="2:8">
      <c r="B474" s="5"/>
      <c r="H474" s="16"/>
    </row>
    <row r="475" spans="2:8">
      <c r="B475" s="5"/>
      <c r="H475" s="16"/>
    </row>
    <row r="476" spans="2:8">
      <c r="B476" s="5"/>
      <c r="H476" s="16"/>
    </row>
    <row r="477" spans="2:8">
      <c r="B477" s="5"/>
      <c r="H477" s="16"/>
    </row>
    <row r="478" spans="2:8">
      <c r="B478" s="5"/>
      <c r="H478" s="16"/>
    </row>
    <row r="479" spans="2:8">
      <c r="B479" s="5"/>
      <c r="H479" s="16"/>
    </row>
    <row r="480" spans="2:8">
      <c r="B480" s="5"/>
      <c r="H480" s="16"/>
    </row>
    <row r="481" spans="2:8">
      <c r="B481" s="5"/>
      <c r="H481" s="16"/>
    </row>
    <row r="482" spans="2:8">
      <c r="B482" s="5"/>
      <c r="H482" s="16"/>
    </row>
    <row r="483" spans="2:8">
      <c r="B483" s="5"/>
      <c r="H483" s="16"/>
    </row>
    <row r="484" spans="2:8">
      <c r="B484" s="5"/>
      <c r="H484" s="16"/>
    </row>
    <row r="485" spans="2:8">
      <c r="B485" s="5"/>
      <c r="H485" s="16"/>
    </row>
    <row r="486" spans="2:8">
      <c r="B486" s="5"/>
      <c r="H486" s="16"/>
    </row>
    <row r="487" spans="2:8">
      <c r="B487" s="5"/>
      <c r="H487" s="16"/>
    </row>
    <row r="488" spans="2:8">
      <c r="B488" s="5"/>
      <c r="H488" s="16"/>
    </row>
    <row r="489" spans="2:8">
      <c r="B489" s="5"/>
      <c r="H489" s="16"/>
    </row>
    <row r="490" spans="2:8">
      <c r="B490" s="5"/>
      <c r="H490" s="16"/>
    </row>
    <row r="491" spans="2:8">
      <c r="B491" s="5"/>
      <c r="H491" s="16"/>
    </row>
    <row r="492" spans="2:8">
      <c r="B492" s="5"/>
      <c r="H492" s="16"/>
    </row>
    <row r="493" spans="2:8">
      <c r="B493" s="5"/>
      <c r="H493" s="16"/>
    </row>
    <row r="494" spans="2:8">
      <c r="B494" s="5"/>
      <c r="H494" s="16"/>
    </row>
    <row r="495" spans="2:8">
      <c r="B495" s="5"/>
      <c r="H495" s="16"/>
    </row>
    <row r="496" spans="2:8">
      <c r="B496" s="5"/>
      <c r="H496" s="16"/>
    </row>
    <row r="497" spans="2:8">
      <c r="B497" s="5"/>
      <c r="H497" s="16"/>
    </row>
    <row r="498" spans="2:8">
      <c r="B498" s="5"/>
      <c r="H498" s="16"/>
    </row>
    <row r="499" spans="2:8">
      <c r="B499" s="5"/>
      <c r="H499" s="16"/>
    </row>
    <row r="500" spans="2:8">
      <c r="B500" s="5"/>
      <c r="H500" s="16"/>
    </row>
    <row r="501" spans="2:8">
      <c r="B501" s="5"/>
      <c r="H501" s="16"/>
    </row>
    <row r="502" spans="2:8">
      <c r="B502" s="5"/>
      <c r="H502" s="16"/>
    </row>
    <row r="503" spans="2:8">
      <c r="B503" s="5"/>
      <c r="H503" s="16"/>
    </row>
    <row r="504" spans="2:8">
      <c r="B504" s="5"/>
      <c r="H504" s="16"/>
    </row>
    <row r="505" spans="2:8">
      <c r="B505" s="5"/>
      <c r="H505" s="16"/>
    </row>
    <row r="506" spans="2:8">
      <c r="B506" s="5"/>
      <c r="H506" s="16"/>
    </row>
    <row r="507" spans="2:8">
      <c r="B507" s="5"/>
      <c r="H507" s="16"/>
    </row>
    <row r="508" spans="2:8">
      <c r="B508" s="5"/>
      <c r="H508" s="16"/>
    </row>
    <row r="509" spans="2:8">
      <c r="B509" s="5"/>
      <c r="H509" s="16"/>
    </row>
    <row r="510" spans="2:8">
      <c r="B510" s="5"/>
      <c r="H510" s="16"/>
    </row>
    <row r="511" spans="2:8">
      <c r="B511" s="5"/>
      <c r="H511" s="16"/>
    </row>
    <row r="512" spans="2:8">
      <c r="B512" s="5"/>
      <c r="H512" s="16"/>
    </row>
    <row r="513" spans="2:8">
      <c r="B513" s="5"/>
      <c r="H513" s="16"/>
    </row>
    <row r="514" spans="2:8">
      <c r="B514" s="5"/>
      <c r="H514" s="16"/>
    </row>
    <row r="515" spans="2:8">
      <c r="B515" s="5"/>
      <c r="H515" s="16"/>
    </row>
    <row r="516" spans="2:8">
      <c r="B516" s="5"/>
      <c r="H516" s="16"/>
    </row>
    <row r="517" spans="2:8">
      <c r="B517" s="5"/>
      <c r="H517" s="16"/>
    </row>
    <row r="518" spans="2:8">
      <c r="B518" s="5"/>
      <c r="H518" s="16"/>
    </row>
    <row r="519" spans="2:8">
      <c r="B519" s="5"/>
      <c r="H519" s="16"/>
    </row>
    <row r="520" spans="2:8">
      <c r="B520" s="5"/>
      <c r="H520" s="16"/>
    </row>
    <row r="521" spans="2:8">
      <c r="B521" s="5"/>
      <c r="H521" s="16"/>
    </row>
    <row r="522" spans="2:8">
      <c r="B522" s="5"/>
      <c r="H522" s="16"/>
    </row>
    <row r="523" spans="2:8">
      <c r="B523" s="5"/>
      <c r="H523" s="16"/>
    </row>
    <row r="524" spans="2:8">
      <c r="B524" s="5"/>
      <c r="H524" s="16"/>
    </row>
    <row r="525" spans="2:8">
      <c r="B525" s="5"/>
      <c r="H525" s="16"/>
    </row>
    <row r="526" spans="2:8">
      <c r="B526" s="5"/>
      <c r="H526" s="16"/>
    </row>
    <row r="527" spans="2:8">
      <c r="B527" s="5"/>
      <c r="H527" s="16"/>
    </row>
    <row r="528" spans="2:8">
      <c r="B528" s="5"/>
      <c r="H528" s="16"/>
    </row>
    <row r="529" spans="2:8">
      <c r="B529" s="5"/>
      <c r="H529" s="16"/>
    </row>
    <row r="530" spans="2:8">
      <c r="B530" s="5"/>
      <c r="H530" s="16"/>
    </row>
    <row r="531" spans="2:8">
      <c r="B531" s="5"/>
      <c r="H531" s="16"/>
    </row>
    <row r="532" spans="2:8">
      <c r="B532" s="5"/>
      <c r="H532" s="16"/>
    </row>
    <row r="533" spans="2:8">
      <c r="B533" s="5"/>
      <c r="H533" s="16"/>
    </row>
    <row r="534" spans="2:8">
      <c r="B534" s="5"/>
      <c r="H534" s="16"/>
    </row>
    <row r="535" spans="2:8">
      <c r="B535" s="5"/>
      <c r="H535" s="16"/>
    </row>
    <row r="536" spans="2:8">
      <c r="B536" s="5"/>
      <c r="H536" s="16"/>
    </row>
    <row r="537" spans="2:8">
      <c r="B537" s="5"/>
      <c r="H537" s="16"/>
    </row>
    <row r="538" spans="2:8">
      <c r="B538" s="5"/>
      <c r="H538" s="16"/>
    </row>
    <row r="539" spans="2:8">
      <c r="B539" s="5"/>
      <c r="H539" s="16"/>
    </row>
    <row r="540" spans="2:8">
      <c r="B540" s="5"/>
      <c r="H540" s="16"/>
    </row>
    <row r="541" spans="2:8">
      <c r="B541" s="5"/>
      <c r="H541" s="16"/>
    </row>
    <row r="542" spans="2:8">
      <c r="B542" s="5"/>
      <c r="H542" s="16"/>
    </row>
    <row r="543" spans="2:8">
      <c r="B543" s="5"/>
      <c r="H543" s="16"/>
    </row>
    <row r="544" spans="2:8">
      <c r="B544" s="5"/>
      <c r="H544" s="16"/>
    </row>
    <row r="545" spans="2:8">
      <c r="B545" s="5"/>
      <c r="H545" s="16"/>
    </row>
    <row r="546" spans="2:8">
      <c r="B546" s="5"/>
      <c r="H546" s="16"/>
    </row>
    <row r="547" spans="2:8">
      <c r="B547" s="5"/>
      <c r="H547" s="16"/>
    </row>
    <row r="548" spans="2:8">
      <c r="B548" s="5"/>
      <c r="H548" s="16"/>
    </row>
    <row r="549" spans="2:8">
      <c r="B549" s="5"/>
      <c r="H549" s="16"/>
    </row>
    <row r="550" spans="2:8">
      <c r="B550" s="5"/>
      <c r="H550" s="16"/>
    </row>
    <row r="551" spans="2:8">
      <c r="B551" s="5"/>
      <c r="H551" s="16"/>
    </row>
    <row r="552" spans="2:8">
      <c r="B552" s="5"/>
      <c r="H552" s="16"/>
    </row>
    <row r="553" spans="2:8">
      <c r="B553" s="5"/>
      <c r="H553" s="16"/>
    </row>
    <row r="554" spans="2:8">
      <c r="B554" s="5"/>
      <c r="H554" s="16"/>
    </row>
    <row r="555" spans="2:8">
      <c r="B555" s="5"/>
      <c r="H555" s="16"/>
    </row>
    <row r="556" spans="2:8">
      <c r="B556" s="5"/>
      <c r="H556" s="16"/>
    </row>
    <row r="557" spans="2:8">
      <c r="B557" s="5"/>
      <c r="H557" s="16"/>
    </row>
    <row r="558" spans="2:8">
      <c r="B558" s="5"/>
      <c r="H558" s="16"/>
    </row>
    <row r="559" spans="2:8">
      <c r="B559" s="5"/>
      <c r="H559" s="16"/>
    </row>
    <row r="560" spans="2:8">
      <c r="B560" s="5"/>
      <c r="H560" s="16"/>
    </row>
    <row r="561" spans="2:8">
      <c r="B561" s="5"/>
      <c r="H561" s="16"/>
    </row>
    <row r="562" spans="2:8">
      <c r="B562" s="5"/>
      <c r="H562" s="16"/>
    </row>
    <row r="563" spans="2:8">
      <c r="B563" s="5"/>
      <c r="H563" s="16"/>
    </row>
    <row r="564" spans="2:8">
      <c r="B564" s="5"/>
      <c r="H564" s="16"/>
    </row>
    <row r="565" spans="2:8">
      <c r="B565" s="5"/>
      <c r="H565" s="16"/>
    </row>
    <row r="566" spans="2:8">
      <c r="B566" s="5"/>
      <c r="H566" s="16"/>
    </row>
    <row r="567" spans="2:8">
      <c r="B567" s="5"/>
      <c r="H567" s="16"/>
    </row>
    <row r="568" spans="2:8">
      <c r="B568" s="5"/>
      <c r="H568" s="16"/>
    </row>
    <row r="569" spans="2:8">
      <c r="B569" s="5"/>
      <c r="H569" s="16"/>
    </row>
    <row r="570" spans="2:8">
      <c r="B570" s="5"/>
      <c r="H570" s="16"/>
    </row>
    <row r="571" spans="2:8">
      <c r="B571" s="5"/>
      <c r="H571" s="16"/>
    </row>
    <row r="572" spans="2:8">
      <c r="B572" s="5"/>
      <c r="H572" s="16"/>
    </row>
    <row r="573" spans="2:8">
      <c r="B573" s="5"/>
      <c r="H573" s="16"/>
    </row>
    <row r="574" spans="2:8">
      <c r="B574" s="5"/>
      <c r="H574" s="16"/>
    </row>
    <row r="575" spans="2:8">
      <c r="B575" s="5"/>
      <c r="H575" s="16"/>
    </row>
    <row r="576" spans="2:8">
      <c r="B576" s="5"/>
      <c r="H576" s="16"/>
    </row>
    <row r="577" spans="2:8">
      <c r="B577" s="5"/>
      <c r="H577" s="16"/>
    </row>
    <row r="578" spans="2:8">
      <c r="B578" s="5"/>
      <c r="H578" s="16"/>
    </row>
    <row r="579" spans="2:8">
      <c r="B579" s="5"/>
      <c r="H579" s="16"/>
    </row>
    <row r="580" spans="2:8">
      <c r="B580" s="5"/>
      <c r="H580" s="16"/>
    </row>
    <row r="581" spans="2:8">
      <c r="B581" s="5"/>
      <c r="H581" s="16"/>
    </row>
    <row r="582" spans="2:8">
      <c r="B582" s="5"/>
      <c r="H582" s="16"/>
    </row>
    <row r="583" spans="2:8">
      <c r="B583" s="5"/>
      <c r="H583" s="16"/>
    </row>
    <row r="584" spans="2:8">
      <c r="B584" s="5"/>
      <c r="H584" s="16"/>
    </row>
    <row r="585" spans="2:8">
      <c r="B585" s="5"/>
      <c r="H585" s="16"/>
    </row>
    <row r="586" spans="2:8">
      <c r="B586" s="5"/>
      <c r="H586" s="16"/>
    </row>
    <row r="587" spans="2:8">
      <c r="B587" s="5"/>
      <c r="H587" s="16"/>
    </row>
    <row r="588" spans="2:8">
      <c r="B588" s="5"/>
      <c r="H588" s="16"/>
    </row>
    <row r="589" spans="2:8">
      <c r="B589" s="5"/>
      <c r="H589" s="16"/>
    </row>
    <row r="590" spans="2:8">
      <c r="B590" s="5"/>
      <c r="H590" s="16"/>
    </row>
    <row r="591" spans="2:8">
      <c r="B591" s="5"/>
      <c r="H591" s="16"/>
    </row>
    <row r="592" spans="2:8">
      <c r="B592" s="5"/>
      <c r="H592" s="16"/>
    </row>
    <row r="593" spans="2:8">
      <c r="B593" s="5"/>
      <c r="H593" s="16"/>
    </row>
    <row r="594" spans="2:8">
      <c r="B594" s="5"/>
      <c r="H594" s="16"/>
    </row>
    <row r="595" spans="2:8">
      <c r="B595" s="5"/>
      <c r="H595" s="16"/>
    </row>
    <row r="596" spans="2:8">
      <c r="B596" s="5"/>
      <c r="H596" s="16"/>
    </row>
    <row r="597" spans="2:8">
      <c r="B597" s="5"/>
      <c r="H597" s="16"/>
    </row>
    <row r="598" spans="2:8">
      <c r="B598" s="5"/>
      <c r="H598" s="16"/>
    </row>
    <row r="599" spans="2:8">
      <c r="B599" s="5"/>
      <c r="H599" s="16"/>
    </row>
    <row r="600" spans="2:8">
      <c r="B600" s="5"/>
      <c r="H600" s="16"/>
    </row>
    <row r="601" spans="2:8">
      <c r="B601" s="5"/>
      <c r="H601" s="16"/>
    </row>
    <row r="602" spans="2:8">
      <c r="B602" s="5"/>
      <c r="H602" s="16"/>
    </row>
    <row r="603" spans="2:8">
      <c r="B603" s="5"/>
      <c r="H603" s="16"/>
    </row>
    <row r="604" spans="2:8">
      <c r="B604" s="5"/>
      <c r="H604" s="16"/>
    </row>
    <row r="605" spans="2:8">
      <c r="B605" s="5"/>
      <c r="H605" s="16"/>
    </row>
    <row r="606" spans="2:8">
      <c r="B606" s="5"/>
      <c r="H606" s="16"/>
    </row>
    <row r="607" spans="2:8">
      <c r="B607" s="5"/>
      <c r="H607" s="16"/>
    </row>
    <row r="608" spans="2:8">
      <c r="B608" s="5"/>
      <c r="H608" s="16"/>
    </row>
    <row r="609" spans="2:8">
      <c r="B609" s="5"/>
      <c r="H609" s="16"/>
    </row>
    <row r="610" spans="2:8">
      <c r="B610" s="5"/>
      <c r="H610" s="16"/>
    </row>
    <row r="611" spans="2:8">
      <c r="B611" s="5"/>
      <c r="H611" s="16"/>
    </row>
    <row r="612" spans="2:8">
      <c r="B612" s="5"/>
      <c r="H612" s="16"/>
    </row>
    <row r="613" spans="2:8">
      <c r="B613" s="5"/>
      <c r="H613" s="16"/>
    </row>
    <row r="614" spans="2:8">
      <c r="B614" s="5"/>
      <c r="H614" s="16"/>
    </row>
    <row r="615" spans="2:8">
      <c r="B615" s="5"/>
      <c r="H615" s="16"/>
    </row>
    <row r="616" spans="2:8">
      <c r="B616" s="5"/>
      <c r="H616" s="16"/>
    </row>
    <row r="617" spans="2:8">
      <c r="B617" s="5"/>
      <c r="H617" s="16"/>
    </row>
    <row r="618" spans="2:8">
      <c r="B618" s="5"/>
      <c r="H618" s="16"/>
    </row>
    <row r="619" spans="2:8">
      <c r="B619" s="5"/>
      <c r="H619" s="16"/>
    </row>
    <row r="620" spans="2:8">
      <c r="B620" s="5"/>
      <c r="H620" s="16"/>
    </row>
    <row r="621" spans="2:8">
      <c r="B621" s="5"/>
      <c r="H621" s="16"/>
    </row>
    <row r="622" spans="2:8">
      <c r="B622" s="5"/>
      <c r="H622" s="16"/>
    </row>
    <row r="623" spans="2:8">
      <c r="B623" s="5"/>
      <c r="H623" s="16"/>
    </row>
    <row r="624" spans="2:8">
      <c r="B624" s="5"/>
      <c r="H624" s="16"/>
    </row>
    <row r="625" spans="2:8">
      <c r="B625" s="5"/>
      <c r="H625" s="16"/>
    </row>
    <row r="626" spans="2:8">
      <c r="B626" s="5"/>
      <c r="H626" s="16"/>
    </row>
    <row r="627" spans="2:8">
      <c r="B627" s="5"/>
      <c r="H627" s="16"/>
    </row>
    <row r="628" spans="2:8">
      <c r="B628" s="5"/>
      <c r="H628" s="16"/>
    </row>
    <row r="629" spans="2:8">
      <c r="B629" s="5"/>
      <c r="H629" s="16"/>
    </row>
    <row r="630" spans="2:8">
      <c r="B630" s="5"/>
      <c r="H630" s="16"/>
    </row>
    <row r="631" spans="2:8">
      <c r="B631" s="5"/>
      <c r="H631" s="16"/>
    </row>
    <row r="632" spans="2:8">
      <c r="B632" s="5"/>
      <c r="H632" s="16"/>
    </row>
    <row r="633" spans="2:8">
      <c r="B633" s="5"/>
      <c r="H633" s="16"/>
    </row>
    <row r="634" spans="2:8">
      <c r="B634" s="5"/>
      <c r="H634" s="16"/>
    </row>
    <row r="635" spans="2:8">
      <c r="B635" s="5"/>
      <c r="H635" s="16"/>
    </row>
    <row r="636" spans="2:8">
      <c r="B636" s="5"/>
      <c r="H636" s="16"/>
    </row>
    <row r="637" spans="2:8">
      <c r="B637" s="5"/>
      <c r="H637" s="16"/>
    </row>
    <row r="638" spans="2:8">
      <c r="B638" s="5"/>
      <c r="H638" s="16"/>
    </row>
    <row r="639" spans="2:8">
      <c r="B639" s="5"/>
      <c r="H639" s="16"/>
    </row>
    <row r="640" spans="2:8">
      <c r="B640" s="5"/>
      <c r="H640" s="16"/>
    </row>
    <row r="641" spans="2:8">
      <c r="B641" s="5"/>
      <c r="H641" s="16"/>
    </row>
    <row r="642" spans="2:8">
      <c r="B642" s="5"/>
      <c r="H642" s="16"/>
    </row>
    <row r="643" spans="2:8">
      <c r="B643" s="5"/>
      <c r="H643" s="16"/>
    </row>
    <row r="644" spans="2:8">
      <c r="B644" s="5"/>
      <c r="H644" s="16"/>
    </row>
    <row r="645" spans="2:8">
      <c r="B645" s="5"/>
      <c r="H645" s="16"/>
    </row>
    <row r="646" spans="2:8">
      <c r="B646" s="5"/>
      <c r="H646" s="16"/>
    </row>
    <row r="647" spans="2:8">
      <c r="B647" s="5"/>
      <c r="H647" s="16"/>
    </row>
    <row r="648" spans="2:8">
      <c r="B648" s="5"/>
      <c r="H648" s="16"/>
    </row>
    <row r="649" spans="2:8">
      <c r="B649" s="5"/>
      <c r="H649" s="16"/>
    </row>
    <row r="650" spans="2:8">
      <c r="B650" s="5"/>
      <c r="H650" s="16"/>
    </row>
    <row r="651" spans="2:8">
      <c r="B651" s="5"/>
      <c r="H651" s="16"/>
    </row>
    <row r="652" spans="2:8">
      <c r="B652" s="5"/>
      <c r="H652" s="16"/>
    </row>
    <row r="653" spans="2:8">
      <c r="B653" s="5"/>
      <c r="H653" s="16"/>
    </row>
    <row r="654" spans="2:8">
      <c r="B654" s="5"/>
      <c r="H654" s="16"/>
    </row>
    <row r="655" spans="2:8">
      <c r="B655" s="5"/>
      <c r="H655" s="16"/>
    </row>
    <row r="656" spans="2:8">
      <c r="B656" s="5"/>
      <c r="H656" s="16"/>
    </row>
    <row r="657" spans="2:8">
      <c r="B657" s="5"/>
      <c r="H657" s="16"/>
    </row>
    <row r="658" spans="2:8">
      <c r="B658" s="5"/>
      <c r="H658" s="16"/>
    </row>
    <row r="659" spans="2:8">
      <c r="B659" s="5"/>
      <c r="H659" s="16"/>
    </row>
    <row r="660" spans="2:8">
      <c r="B660" s="5"/>
      <c r="H660" s="16"/>
    </row>
    <row r="661" spans="2:8">
      <c r="B661" s="5"/>
      <c r="H661" s="16"/>
    </row>
    <row r="662" spans="2:8">
      <c r="B662" s="5"/>
      <c r="H662" s="16"/>
    </row>
    <row r="663" spans="2:8">
      <c r="B663" s="5"/>
      <c r="H663" s="16"/>
    </row>
    <row r="664" spans="2:8">
      <c r="B664" s="5"/>
      <c r="H664" s="16"/>
    </row>
    <row r="665" spans="2:8">
      <c r="B665" s="5"/>
      <c r="H665" s="16"/>
    </row>
    <row r="666" spans="2:8">
      <c r="B666" s="5"/>
      <c r="H666" s="16"/>
    </row>
    <row r="667" spans="2:8">
      <c r="B667" s="5"/>
      <c r="H667" s="16"/>
    </row>
    <row r="668" spans="2:8">
      <c r="B668" s="5"/>
      <c r="H668" s="16"/>
    </row>
    <row r="669" spans="2:8">
      <c r="B669" s="5"/>
      <c r="H669" s="16"/>
    </row>
    <row r="670" spans="2:8">
      <c r="B670" s="5"/>
      <c r="H670" s="16"/>
    </row>
    <row r="671" spans="2:8">
      <c r="B671" s="5"/>
      <c r="H671" s="16"/>
    </row>
    <row r="672" spans="2:8">
      <c r="B672" s="5"/>
      <c r="H672" s="16"/>
    </row>
    <row r="673" spans="2:8">
      <c r="B673" s="5"/>
      <c r="H673" s="16"/>
    </row>
    <row r="674" spans="2:8">
      <c r="B674" s="5"/>
      <c r="H674" s="16"/>
    </row>
    <row r="675" spans="2:8">
      <c r="B675" s="5"/>
      <c r="H675" s="16"/>
    </row>
    <row r="676" spans="2:8">
      <c r="B676" s="5"/>
      <c r="H676" s="16"/>
    </row>
    <row r="677" spans="2:8">
      <c r="B677" s="5"/>
      <c r="H677" s="16"/>
    </row>
    <row r="678" spans="2:8">
      <c r="B678" s="5"/>
      <c r="H678" s="16"/>
    </row>
    <row r="679" spans="2:8">
      <c r="B679" s="5"/>
      <c r="H679" s="16"/>
    </row>
    <row r="680" spans="2:8">
      <c r="B680" s="5"/>
      <c r="H680" s="16"/>
    </row>
    <row r="681" spans="2:8">
      <c r="B681" s="5"/>
      <c r="H681" s="16"/>
    </row>
    <row r="682" spans="2:8">
      <c r="B682" s="5"/>
      <c r="H682" s="16"/>
    </row>
    <row r="683" spans="2:8">
      <c r="B683" s="5"/>
      <c r="H683" s="16"/>
    </row>
    <row r="684" spans="2:8">
      <c r="B684" s="5"/>
      <c r="H684" s="16"/>
    </row>
    <row r="685" spans="2:8">
      <c r="B685" s="5"/>
      <c r="H685" s="16"/>
    </row>
    <row r="686" spans="2:8">
      <c r="B686" s="5"/>
      <c r="H686" s="16"/>
    </row>
    <row r="687" spans="2:8">
      <c r="B687" s="5"/>
      <c r="H687" s="16"/>
    </row>
    <row r="688" spans="2:8">
      <c r="B688" s="5"/>
      <c r="H688" s="16"/>
    </row>
    <row r="689" spans="2:8">
      <c r="B689" s="5"/>
      <c r="H689" s="16"/>
    </row>
    <row r="690" spans="2:8">
      <c r="B690" s="5"/>
      <c r="H690" s="16"/>
    </row>
    <row r="691" spans="2:8">
      <c r="B691" s="5"/>
      <c r="H691" s="16"/>
    </row>
    <row r="692" spans="2:8">
      <c r="B692" s="5"/>
      <c r="H692" s="16"/>
    </row>
    <row r="693" spans="2:8">
      <c r="B693" s="5"/>
      <c r="H693" s="16"/>
    </row>
    <row r="694" spans="2:8">
      <c r="B694" s="5"/>
      <c r="H694" s="16"/>
    </row>
    <row r="695" spans="2:8">
      <c r="B695" s="5"/>
      <c r="H695" s="16"/>
    </row>
    <row r="696" spans="2:8">
      <c r="B696" s="5"/>
      <c r="H696" s="16"/>
    </row>
    <row r="697" spans="2:8">
      <c r="B697" s="5"/>
      <c r="H697" s="16"/>
    </row>
    <row r="698" spans="2:8">
      <c r="B698" s="5"/>
      <c r="H698" s="16"/>
    </row>
    <row r="699" spans="2:8">
      <c r="B699" s="5"/>
      <c r="H699" s="16"/>
    </row>
    <row r="700" spans="2:8">
      <c r="B700" s="5"/>
      <c r="H700" s="16"/>
    </row>
    <row r="701" spans="2:8">
      <c r="B701" s="5"/>
      <c r="H701" s="16"/>
    </row>
    <row r="702" spans="2:8">
      <c r="B702" s="5"/>
      <c r="H702" s="16"/>
    </row>
    <row r="703" spans="2:8">
      <c r="B703" s="5"/>
      <c r="H703" s="16"/>
    </row>
    <row r="704" spans="2:8">
      <c r="B704" s="5"/>
      <c r="H704" s="16"/>
    </row>
    <row r="705" spans="2:8">
      <c r="B705" s="5"/>
      <c r="H705" s="16"/>
    </row>
    <row r="706" spans="2:8">
      <c r="B706" s="5"/>
      <c r="H706" s="16"/>
    </row>
    <row r="707" spans="2:8">
      <c r="B707" s="5"/>
      <c r="H707" s="16"/>
    </row>
    <row r="708" spans="2:8">
      <c r="B708" s="5"/>
      <c r="H708" s="16"/>
    </row>
    <row r="709" spans="2:8">
      <c r="B709" s="5"/>
      <c r="H709" s="16"/>
    </row>
    <row r="710" spans="2:8">
      <c r="B710" s="5"/>
      <c r="H710" s="16"/>
    </row>
    <row r="711" spans="2:8">
      <c r="B711" s="5"/>
      <c r="H711" s="16"/>
    </row>
    <row r="712" spans="2:8">
      <c r="B712" s="5"/>
      <c r="H712" s="16"/>
    </row>
    <row r="713" spans="2:8">
      <c r="B713" s="5"/>
      <c r="H713" s="16"/>
    </row>
    <row r="714" spans="2:8">
      <c r="B714" s="5"/>
      <c r="H714" s="16"/>
    </row>
    <row r="715" spans="2:8">
      <c r="B715" s="5"/>
      <c r="H715" s="16"/>
    </row>
    <row r="716" spans="2:8">
      <c r="B716" s="5"/>
      <c r="H716" s="16"/>
    </row>
    <row r="717" spans="2:8">
      <c r="B717" s="5"/>
      <c r="H717" s="16"/>
    </row>
    <row r="718" spans="2:8">
      <c r="B718" s="5"/>
      <c r="H718" s="16"/>
    </row>
    <row r="719" spans="2:8">
      <c r="B719" s="5"/>
      <c r="H719" s="16"/>
    </row>
    <row r="720" spans="2:8">
      <c r="B720" s="5"/>
      <c r="H720" s="16"/>
    </row>
    <row r="721" spans="2:8">
      <c r="B721" s="5"/>
      <c r="H721" s="16"/>
    </row>
    <row r="722" spans="2:8">
      <c r="B722" s="5"/>
      <c r="H722" s="16"/>
    </row>
    <row r="723" spans="2:8">
      <c r="B723" s="5"/>
      <c r="H723" s="16"/>
    </row>
    <row r="724" spans="2:8">
      <c r="B724" s="5"/>
      <c r="H724" s="16"/>
    </row>
    <row r="725" spans="2:8">
      <c r="B725" s="5"/>
      <c r="H725" s="16"/>
    </row>
    <row r="726" spans="2:8">
      <c r="B726" s="5"/>
      <c r="H726" s="16"/>
    </row>
    <row r="727" spans="2:8">
      <c r="B727" s="5"/>
      <c r="H727" s="16"/>
    </row>
    <row r="728" spans="2:8">
      <c r="B728" s="5"/>
      <c r="H728" s="16"/>
    </row>
    <row r="729" spans="2:8">
      <c r="B729" s="5"/>
      <c r="H729" s="16"/>
    </row>
    <row r="730" spans="2:8">
      <c r="B730" s="5"/>
      <c r="H730" s="16"/>
    </row>
    <row r="731" spans="2:8">
      <c r="B731" s="5"/>
      <c r="H731" s="16"/>
    </row>
    <row r="732" spans="2:8">
      <c r="B732" s="5"/>
      <c r="H732" s="16"/>
    </row>
    <row r="733" spans="2:8">
      <c r="B733" s="5"/>
      <c r="H733" s="16"/>
    </row>
    <row r="734" spans="2:8">
      <c r="B734" s="5"/>
      <c r="H734" s="16"/>
    </row>
    <row r="735" spans="2:8">
      <c r="B735" s="5"/>
      <c r="H735" s="16"/>
    </row>
    <row r="736" spans="2:8">
      <c r="B736" s="5"/>
      <c r="H736" s="16"/>
    </row>
    <row r="737" spans="2:8">
      <c r="B737" s="5"/>
      <c r="H737" s="16"/>
    </row>
    <row r="738" spans="2:8">
      <c r="B738" s="5"/>
      <c r="H738" s="16"/>
    </row>
    <row r="739" spans="2:8">
      <c r="B739" s="5"/>
      <c r="H739" s="16"/>
    </row>
    <row r="740" spans="2:8">
      <c r="B740" s="5"/>
      <c r="H740" s="16"/>
    </row>
    <row r="741" spans="2:8">
      <c r="B741" s="5"/>
      <c r="H741" s="16"/>
    </row>
    <row r="742" spans="2:8">
      <c r="B742" s="5"/>
      <c r="H742" s="16"/>
    </row>
    <row r="743" spans="2:8">
      <c r="B743" s="5"/>
      <c r="H743" s="16"/>
    </row>
    <row r="744" spans="2:8">
      <c r="B744" s="5"/>
      <c r="H744" s="16"/>
    </row>
    <row r="745" spans="2:8">
      <c r="B745" s="5"/>
      <c r="H745" s="16"/>
    </row>
    <row r="746" spans="2:8">
      <c r="B746" s="5"/>
      <c r="H746" s="16"/>
    </row>
    <row r="747" spans="2:8">
      <c r="B747" s="5"/>
      <c r="H747" s="16"/>
    </row>
    <row r="748" spans="2:8">
      <c r="B748" s="5"/>
      <c r="H748" s="16"/>
    </row>
    <row r="749" spans="2:8">
      <c r="B749" s="5"/>
      <c r="H749" s="16"/>
    </row>
    <row r="750" spans="2:8">
      <c r="B750" s="5"/>
      <c r="H750" s="16"/>
    </row>
    <row r="751" spans="2:8">
      <c r="B751" s="5"/>
      <c r="H751" s="16"/>
    </row>
    <row r="752" spans="2:8">
      <c r="B752" s="5"/>
      <c r="H752" s="16"/>
    </row>
    <row r="753" spans="2:8">
      <c r="B753" s="5"/>
      <c r="H753" s="16"/>
    </row>
    <row r="754" spans="2:8">
      <c r="B754" s="5"/>
      <c r="H754" s="16"/>
    </row>
    <row r="755" spans="2:8">
      <c r="B755" s="5"/>
      <c r="H755" s="16"/>
    </row>
    <row r="756" spans="2:8">
      <c r="B756" s="5"/>
      <c r="H756" s="16"/>
    </row>
    <row r="757" spans="2:8">
      <c r="B757" s="5"/>
      <c r="H757" s="16"/>
    </row>
    <row r="758" spans="2:8">
      <c r="B758" s="5"/>
      <c r="H758" s="16"/>
    </row>
    <row r="759" spans="2:8">
      <c r="B759" s="5"/>
      <c r="H759" s="16"/>
    </row>
    <row r="760" spans="2:8">
      <c r="B760" s="5"/>
      <c r="H760" s="16"/>
    </row>
    <row r="761" spans="2:8">
      <c r="B761" s="5"/>
      <c r="H761" s="16"/>
    </row>
    <row r="762" spans="2:8">
      <c r="B762" s="5"/>
      <c r="H762" s="16"/>
    </row>
    <row r="763" spans="2:8">
      <c r="B763" s="5"/>
      <c r="H763" s="16"/>
    </row>
    <row r="764" spans="2:8">
      <c r="B764" s="5"/>
      <c r="H764" s="16"/>
    </row>
    <row r="765" spans="2:8">
      <c r="B765" s="5"/>
      <c r="H765" s="16"/>
    </row>
    <row r="766" spans="2:8">
      <c r="B766" s="5"/>
      <c r="H766" s="16"/>
    </row>
    <row r="767" spans="2:8">
      <c r="B767" s="5"/>
      <c r="H767" s="16"/>
    </row>
    <row r="768" spans="2:8">
      <c r="B768" s="5"/>
      <c r="H768" s="16"/>
    </row>
    <row r="769" spans="2:8">
      <c r="B769" s="5"/>
      <c r="H769" s="16"/>
    </row>
    <row r="770" spans="2:8">
      <c r="B770" s="5"/>
      <c r="H770" s="16"/>
    </row>
    <row r="771" spans="2:8">
      <c r="B771" s="5"/>
      <c r="H771" s="16"/>
    </row>
    <row r="772" spans="2:8">
      <c r="B772" s="5"/>
      <c r="H772" s="16"/>
    </row>
    <row r="773" spans="2:8">
      <c r="B773" s="5"/>
      <c r="H773" s="16"/>
    </row>
    <row r="774" spans="2:8">
      <c r="B774" s="5"/>
      <c r="H774" s="16"/>
    </row>
    <row r="775" spans="2:8">
      <c r="B775" s="5"/>
      <c r="H775" s="16"/>
    </row>
    <row r="776" spans="2:8">
      <c r="B776" s="5"/>
      <c r="H776" s="16"/>
    </row>
    <row r="777" spans="2:8">
      <c r="B777" s="5"/>
      <c r="H777" s="16"/>
    </row>
    <row r="778" spans="2:8">
      <c r="B778" s="5"/>
      <c r="H778" s="16"/>
    </row>
    <row r="779" spans="2:8">
      <c r="B779" s="5"/>
      <c r="H779" s="16"/>
    </row>
    <row r="780" spans="2:8">
      <c r="B780" s="5"/>
      <c r="H780" s="16"/>
    </row>
    <row r="781" spans="2:8">
      <c r="B781" s="5"/>
      <c r="H781" s="16"/>
    </row>
    <row r="782" spans="2:8">
      <c r="B782" s="5"/>
      <c r="H782" s="16"/>
    </row>
    <row r="783" spans="2:8">
      <c r="B783" s="5"/>
      <c r="H783" s="16"/>
    </row>
    <row r="784" spans="2:8">
      <c r="B784" s="5"/>
      <c r="H784" s="16"/>
    </row>
    <row r="785" spans="2:8">
      <c r="B785" s="5"/>
      <c r="H785" s="16"/>
    </row>
    <row r="786" spans="2:8">
      <c r="B786" s="5"/>
      <c r="H786" s="16"/>
    </row>
    <row r="787" spans="2:8">
      <c r="B787" s="5"/>
      <c r="H787" s="16"/>
    </row>
    <row r="788" spans="2:8">
      <c r="B788" s="5"/>
      <c r="H788" s="16"/>
    </row>
    <row r="789" spans="2:8">
      <c r="B789" s="5"/>
      <c r="H789" s="16"/>
    </row>
    <row r="790" spans="2:8">
      <c r="B790" s="5"/>
      <c r="H790" s="16"/>
    </row>
    <row r="791" spans="2:8">
      <c r="B791" s="5"/>
      <c r="H791" s="16"/>
    </row>
    <row r="792" spans="2:8">
      <c r="B792" s="5"/>
      <c r="H792" s="16"/>
    </row>
    <row r="793" spans="2:8">
      <c r="B793" s="5"/>
      <c r="H793" s="16"/>
    </row>
    <row r="794" spans="2:8">
      <c r="B794" s="5"/>
      <c r="H794" s="16"/>
    </row>
    <row r="795" spans="2:8">
      <c r="B795" s="5"/>
      <c r="H795" s="16"/>
    </row>
    <row r="796" spans="2:8">
      <c r="B796" s="5"/>
      <c r="H796" s="16"/>
    </row>
    <row r="797" spans="2:8">
      <c r="B797" s="5"/>
      <c r="H797" s="16"/>
    </row>
    <row r="798" spans="2:8">
      <c r="B798" s="5"/>
      <c r="H798" s="16"/>
    </row>
    <row r="799" spans="2:8">
      <c r="B799" s="5"/>
      <c r="H799" s="16"/>
    </row>
    <row r="800" spans="2:8">
      <c r="B800" s="5"/>
      <c r="H800" s="16"/>
    </row>
    <row r="801" spans="2:8">
      <c r="B801" s="5"/>
      <c r="H801" s="16"/>
    </row>
    <row r="802" spans="2:8">
      <c r="B802" s="5"/>
      <c r="H802" s="16"/>
    </row>
    <row r="803" spans="2:8">
      <c r="B803" s="5"/>
      <c r="H803" s="16"/>
    </row>
    <row r="804" spans="2:8">
      <c r="B804" s="5"/>
      <c r="H804" s="16"/>
    </row>
    <row r="805" spans="2:8">
      <c r="B805" s="5"/>
      <c r="H805" s="16"/>
    </row>
    <row r="806" spans="2:8">
      <c r="B806" s="5"/>
      <c r="H806" s="16"/>
    </row>
    <row r="807" spans="2:8">
      <c r="B807" s="5"/>
      <c r="H807" s="16"/>
    </row>
    <row r="808" spans="2:8">
      <c r="B808" s="5"/>
      <c r="H808" s="16"/>
    </row>
    <row r="809" spans="2:8">
      <c r="B809" s="5"/>
      <c r="H809" s="16"/>
    </row>
    <row r="810" spans="2:8">
      <c r="B810" s="5"/>
      <c r="H810" s="16"/>
    </row>
    <row r="811" spans="2:8">
      <c r="B811" s="5"/>
      <c r="H811" s="16"/>
    </row>
    <row r="812" spans="2:8">
      <c r="B812" s="5"/>
      <c r="H812" s="16"/>
    </row>
    <row r="813" spans="2:8">
      <c r="B813" s="5"/>
      <c r="H813" s="16"/>
    </row>
    <row r="814" spans="2:8">
      <c r="B814" s="5"/>
      <c r="H814" s="16"/>
    </row>
    <row r="815" spans="2:8">
      <c r="B815" s="5"/>
      <c r="H815" s="16"/>
    </row>
    <row r="816" spans="2:8">
      <c r="B816" s="5"/>
      <c r="H816" s="16"/>
    </row>
    <row r="817" spans="2:8">
      <c r="B817" s="5"/>
      <c r="H817" s="16"/>
    </row>
    <row r="818" spans="2:8">
      <c r="B818" s="5"/>
      <c r="H818" s="16"/>
    </row>
    <row r="819" spans="2:8">
      <c r="B819" s="5"/>
      <c r="H819" s="16"/>
    </row>
    <row r="820" spans="2:8">
      <c r="B820" s="5"/>
      <c r="H820" s="16"/>
    </row>
    <row r="821" spans="2:8">
      <c r="B821" s="5"/>
      <c r="H821" s="16"/>
    </row>
    <row r="822" spans="2:8">
      <c r="B822" s="5"/>
      <c r="H822" s="16"/>
    </row>
    <row r="823" spans="2:8">
      <c r="B823" s="5"/>
      <c r="H823" s="16"/>
    </row>
    <row r="824" spans="2:8">
      <c r="B824" s="5"/>
      <c r="H824" s="16"/>
    </row>
    <row r="825" spans="2:8">
      <c r="B825" s="5"/>
      <c r="H825" s="16"/>
    </row>
    <row r="826" spans="2:8">
      <c r="B826" s="5"/>
      <c r="H826" s="16"/>
    </row>
    <row r="827" spans="2:8">
      <c r="B827" s="5"/>
      <c r="H827" s="16"/>
    </row>
    <row r="828" spans="2:8">
      <c r="B828" s="5"/>
      <c r="H828" s="16"/>
    </row>
    <row r="829" spans="2:8">
      <c r="B829" s="5"/>
      <c r="H829" s="16"/>
    </row>
    <row r="830" spans="2:8">
      <c r="B830" s="5"/>
      <c r="H830" s="16"/>
    </row>
    <row r="831" spans="2:8">
      <c r="B831" s="5"/>
      <c r="H831" s="16"/>
    </row>
    <row r="832" spans="2:8">
      <c r="B832" s="5"/>
      <c r="H832" s="16"/>
    </row>
    <row r="833" spans="2:8">
      <c r="B833" s="5"/>
      <c r="H833" s="16"/>
    </row>
    <row r="834" spans="2:8">
      <c r="B834" s="5"/>
      <c r="H834" s="16"/>
    </row>
    <row r="835" spans="2:8">
      <c r="B835" s="5"/>
      <c r="H835" s="16"/>
    </row>
    <row r="836" spans="2:8">
      <c r="B836" s="5"/>
      <c r="H836" s="16"/>
    </row>
    <row r="837" spans="2:8">
      <c r="B837" s="5"/>
      <c r="H837" s="16"/>
    </row>
    <row r="838" spans="2:8">
      <c r="B838" s="5"/>
      <c r="H838" s="16"/>
    </row>
    <row r="839" spans="2:8">
      <c r="B839" s="5"/>
      <c r="H839" s="16"/>
    </row>
    <row r="840" spans="2:8">
      <c r="B840" s="5"/>
      <c r="H840" s="16"/>
    </row>
    <row r="841" spans="2:8">
      <c r="B841" s="5"/>
      <c r="H841" s="16"/>
    </row>
    <row r="842" spans="2:8">
      <c r="B842" s="5"/>
      <c r="H842" s="16"/>
    </row>
    <row r="843" spans="2:8">
      <c r="B843" s="5"/>
      <c r="H843" s="16"/>
    </row>
    <row r="844" spans="2:8">
      <c r="B844" s="5"/>
      <c r="H844" s="16"/>
    </row>
    <row r="845" spans="2:8">
      <c r="B845" s="5"/>
      <c r="H845" s="16"/>
    </row>
    <row r="846" spans="2:8">
      <c r="B846" s="5"/>
      <c r="H846" s="16"/>
    </row>
    <row r="847" spans="2:8">
      <c r="B847" s="5"/>
      <c r="H847" s="16"/>
    </row>
    <row r="848" spans="2:8">
      <c r="B848" s="5"/>
      <c r="H848" s="16"/>
    </row>
    <row r="849" spans="2:8">
      <c r="B849" s="5"/>
      <c r="H849" s="16"/>
    </row>
    <row r="850" spans="2:8">
      <c r="B850" s="5"/>
      <c r="H850" s="16"/>
    </row>
    <row r="851" spans="2:8">
      <c r="B851" s="5"/>
      <c r="H851" s="16"/>
    </row>
    <row r="852" spans="2:8">
      <c r="B852" s="5"/>
      <c r="H852" s="16"/>
    </row>
    <row r="853" spans="2:8">
      <c r="B853" s="5"/>
      <c r="H853" s="16"/>
    </row>
    <row r="854" spans="2:8">
      <c r="B854" s="5"/>
      <c r="H854" s="16"/>
    </row>
    <row r="855" spans="2:8">
      <c r="B855" s="5"/>
      <c r="H855" s="16"/>
    </row>
    <row r="856" spans="2:8">
      <c r="B856" s="5"/>
      <c r="H856" s="16"/>
    </row>
    <row r="857" spans="2:8">
      <c r="B857" s="5"/>
      <c r="H857" s="16"/>
    </row>
    <row r="858" spans="2:8">
      <c r="B858" s="5"/>
      <c r="H858" s="16"/>
    </row>
    <row r="859" spans="2:8">
      <c r="B859" s="5"/>
      <c r="H859" s="16"/>
    </row>
    <row r="860" spans="2:8">
      <c r="B860" s="5"/>
      <c r="H860" s="16"/>
    </row>
    <row r="861" spans="2:8">
      <c r="B861" s="5"/>
      <c r="H861" s="16"/>
    </row>
    <row r="862" spans="2:8">
      <c r="B862" s="5"/>
      <c r="H862" s="16"/>
    </row>
    <row r="863" spans="2:8">
      <c r="B863" s="5"/>
      <c r="H863" s="16"/>
    </row>
    <row r="864" spans="2:8">
      <c r="B864" s="5"/>
      <c r="H864" s="16"/>
    </row>
    <row r="865" spans="2:8">
      <c r="B865" s="5"/>
      <c r="H865" s="16"/>
    </row>
    <row r="866" spans="2:8">
      <c r="B866" s="5"/>
      <c r="H866" s="16"/>
    </row>
    <row r="867" spans="2:8">
      <c r="B867" s="5"/>
      <c r="H867" s="16"/>
    </row>
    <row r="868" spans="2:8">
      <c r="B868" s="5"/>
      <c r="H868" s="16"/>
    </row>
    <row r="869" spans="2:8">
      <c r="B869" s="5"/>
      <c r="H869" s="16"/>
    </row>
    <row r="870" spans="2:8">
      <c r="B870" s="5"/>
      <c r="H870" s="16"/>
    </row>
    <row r="871" spans="2:8">
      <c r="B871" s="5"/>
      <c r="H871" s="16"/>
    </row>
    <row r="872" spans="2:8">
      <c r="B872" s="5"/>
      <c r="H872" s="16"/>
    </row>
    <row r="873" spans="2:8">
      <c r="B873" s="5"/>
      <c r="H873" s="16"/>
    </row>
    <row r="874" spans="2:8">
      <c r="B874" s="5"/>
      <c r="H874" s="16"/>
    </row>
    <row r="875" spans="2:8">
      <c r="B875" s="5"/>
      <c r="H875" s="16"/>
    </row>
    <row r="876" spans="2:8">
      <c r="B876" s="5"/>
      <c r="H876" s="16"/>
    </row>
    <row r="877" spans="2:8">
      <c r="B877" s="5"/>
      <c r="H877" s="16"/>
    </row>
    <row r="878" spans="2:8">
      <c r="B878" s="5"/>
      <c r="H878" s="16"/>
    </row>
    <row r="879" spans="2:8">
      <c r="B879" s="5"/>
      <c r="H879" s="16"/>
    </row>
    <row r="880" spans="2:8">
      <c r="B880" s="5"/>
      <c r="H880" s="16"/>
    </row>
    <row r="881" spans="2:8">
      <c r="B881" s="5"/>
      <c r="H881" s="16"/>
    </row>
    <row r="882" spans="2:8">
      <c r="B882" s="5"/>
      <c r="H882" s="16"/>
    </row>
    <row r="883" spans="2:8">
      <c r="B883" s="5"/>
      <c r="H883" s="16"/>
    </row>
    <row r="884" spans="2:8">
      <c r="B884" s="5"/>
      <c r="H884" s="16"/>
    </row>
    <row r="885" spans="2:8">
      <c r="B885" s="5"/>
      <c r="H885" s="16"/>
    </row>
    <row r="886" spans="2:8">
      <c r="B886" s="5"/>
      <c r="H886" s="16"/>
    </row>
    <row r="887" spans="2:8">
      <c r="B887" s="5"/>
      <c r="H887" s="16"/>
    </row>
    <row r="888" spans="2:8">
      <c r="B888" s="5"/>
      <c r="H888" s="16"/>
    </row>
    <row r="889" spans="2:8">
      <c r="B889" s="5"/>
      <c r="H889" s="16"/>
    </row>
    <row r="890" spans="2:8">
      <c r="B890" s="5"/>
      <c r="H890" s="16"/>
    </row>
    <row r="891" spans="2:8">
      <c r="B891" s="5"/>
      <c r="H891" s="16"/>
    </row>
    <row r="892" spans="2:8">
      <c r="B892" s="5"/>
      <c r="H892" s="16"/>
    </row>
  </sheetData>
  <mergeCells count="27">
    <mergeCell ref="C50:F50"/>
    <mergeCell ref="G50:H50"/>
    <mergeCell ref="C47:F47"/>
    <mergeCell ref="G47:H47"/>
    <mergeCell ref="C48:F48"/>
    <mergeCell ref="G48:H48"/>
    <mergeCell ref="C49:F49"/>
    <mergeCell ref="G49:H49"/>
    <mergeCell ref="C44:F44"/>
    <mergeCell ref="G44:H44"/>
    <mergeCell ref="C45:F45"/>
    <mergeCell ref="G45:H45"/>
    <mergeCell ref="C46:F46"/>
    <mergeCell ref="G46:H46"/>
    <mergeCell ref="C43:F43"/>
    <mergeCell ref="G43:H43"/>
    <mergeCell ref="A4:H4"/>
    <mergeCell ref="A10:F10"/>
    <mergeCell ref="A17:F17"/>
    <mergeCell ref="A23:F23"/>
    <mergeCell ref="A29:F29"/>
    <mergeCell ref="A35:F35"/>
    <mergeCell ref="A38:F38"/>
    <mergeCell ref="C41:F41"/>
    <mergeCell ref="G41:H41"/>
    <mergeCell ref="C42:F42"/>
    <mergeCell ref="G42:H42"/>
  </mergeCells>
  <phoneticPr fontId="24" type="noConversion"/>
  <dataValidations count="1">
    <dataValidation type="list" allowBlank="1" showInputMessage="1" showErrorMessage="1" sqref="B42:B48" xr:uid="{8C981798-59BA-4B8B-BC12-43F19872CEC2}">
      <formula1>$L$41:$L$45</formula1>
    </dataValidation>
  </dataValidations>
  <pageMargins left="0.7" right="0.7" top="0.75" bottom="0.75" header="0.3" footer="0.3"/>
  <pageSetup scale="52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51FA5-5DC2-4ED1-A726-47EA1930191B}">
  <sheetPr>
    <pageSetUpPr fitToPage="1"/>
  </sheetPr>
  <dimension ref="A1:L892"/>
  <sheetViews>
    <sheetView showZeros="0" view="pageBreakPreview" zoomScale="60" zoomScaleNormal="70" workbookViewId="0">
      <selection activeCell="A11" sqref="A11"/>
    </sheetView>
  </sheetViews>
  <sheetFormatPr defaultColWidth="10.875" defaultRowHeight="18.75"/>
  <cols>
    <col min="1" max="1" width="35.625" customWidth="1"/>
    <col min="2" max="2" width="14.625" style="16" customWidth="1"/>
    <col min="3" max="7" width="15.875" style="5" customWidth="1"/>
    <col min="8" max="8" width="15.875" style="17" customWidth="1"/>
    <col min="9" max="9" width="9" style="5"/>
    <col min="10" max="12" width="0" style="5" hidden="1" customWidth="1"/>
    <col min="13" max="16384" width="10.875" style="5"/>
  </cols>
  <sheetData>
    <row r="1" spans="1:10" customFormat="1" ht="15.75">
      <c r="A1" s="41"/>
      <c r="B1" s="42"/>
      <c r="C1" s="43"/>
      <c r="D1" s="43"/>
      <c r="E1" s="45" t="s">
        <v>25</v>
      </c>
      <c r="F1" s="43"/>
      <c r="G1" s="45" t="s">
        <v>26</v>
      </c>
      <c r="H1" s="44">
        <v>6</v>
      </c>
    </row>
    <row r="2" spans="1:10">
      <c r="A2" s="30"/>
      <c r="B2" s="18" t="s">
        <v>27</v>
      </c>
      <c r="C2" s="19" t="s">
        <v>28</v>
      </c>
      <c r="D2" s="19" t="s">
        <v>29</v>
      </c>
      <c r="E2" s="18" t="s">
        <v>30</v>
      </c>
      <c r="F2" s="18" t="s">
        <v>31</v>
      </c>
      <c r="G2" s="18" t="s">
        <v>32</v>
      </c>
      <c r="H2" s="18" t="s">
        <v>33</v>
      </c>
    </row>
    <row r="3" spans="1:10" ht="21" customHeight="1">
      <c r="A3" s="31" t="s">
        <v>7</v>
      </c>
      <c r="B3" s="6">
        <f>'Week. 6'!H3+1</f>
        <v>46068</v>
      </c>
      <c r="C3" s="6">
        <f>B3+1</f>
        <v>46069</v>
      </c>
      <c r="D3" s="6">
        <f t="shared" ref="D3:H3" si="0">C3+1</f>
        <v>46070</v>
      </c>
      <c r="E3" s="6">
        <f t="shared" si="0"/>
        <v>46071</v>
      </c>
      <c r="F3" s="6">
        <f t="shared" si="0"/>
        <v>46072</v>
      </c>
      <c r="G3" s="6">
        <f t="shared" si="0"/>
        <v>46073</v>
      </c>
      <c r="H3" s="6">
        <f t="shared" si="0"/>
        <v>46074</v>
      </c>
    </row>
    <row r="4" spans="1:10" s="7" customFormat="1">
      <c r="A4" s="181" t="s">
        <v>135</v>
      </c>
      <c r="B4" s="181"/>
      <c r="C4" s="181"/>
      <c r="D4" s="181"/>
      <c r="E4" s="181"/>
      <c r="F4" s="181"/>
      <c r="G4" s="181"/>
      <c r="H4" s="181"/>
    </row>
    <row r="5" spans="1:10" s="7" customFormat="1" ht="26.1" customHeight="1">
      <c r="A5" s="32" t="s">
        <v>8</v>
      </c>
      <c r="B5" s="27"/>
      <c r="C5" s="27"/>
      <c r="D5" s="27"/>
      <c r="E5" s="27"/>
      <c r="F5" s="27"/>
      <c r="G5" s="27"/>
      <c r="H5" s="27"/>
    </row>
    <row r="6" spans="1:10" s="7" customFormat="1" ht="26.1" customHeight="1">
      <c r="A6" s="4" t="s">
        <v>23</v>
      </c>
      <c r="B6" s="62"/>
      <c r="C6" s="62"/>
      <c r="D6" s="62"/>
      <c r="E6" s="62"/>
      <c r="F6" s="62"/>
      <c r="G6" s="62"/>
      <c r="H6" s="62"/>
    </row>
    <row r="7" spans="1:10" s="7" customFormat="1" ht="21.95" customHeight="1">
      <c r="A7" s="32" t="s">
        <v>35</v>
      </c>
      <c r="B7" s="27"/>
      <c r="C7" s="28"/>
      <c r="D7" s="28"/>
      <c r="E7" s="28"/>
      <c r="F7" s="28"/>
      <c r="G7" s="28"/>
      <c r="H7" s="27"/>
    </row>
    <row r="8" spans="1:10" s="7" customFormat="1" ht="24.95" customHeight="1">
      <c r="A8" s="83" t="s">
        <v>36</v>
      </c>
      <c r="B8" s="84">
        <f t="shared" ref="B8:H8" si="1">B5+B6+B7</f>
        <v>0</v>
      </c>
      <c r="C8" s="84">
        <f t="shared" si="1"/>
        <v>0</v>
      </c>
      <c r="D8" s="84">
        <f t="shared" si="1"/>
        <v>0</v>
      </c>
      <c r="E8" s="84">
        <f t="shared" si="1"/>
        <v>0</v>
      </c>
      <c r="F8" s="84">
        <f t="shared" si="1"/>
        <v>0</v>
      </c>
      <c r="G8" s="84">
        <f t="shared" si="1"/>
        <v>0</v>
      </c>
      <c r="H8" s="84">
        <f t="shared" si="1"/>
        <v>0</v>
      </c>
    </row>
    <row r="9" spans="1:10" s="7" customFormat="1" ht="24.95" customHeight="1">
      <c r="A9" s="33"/>
      <c r="B9" s="29"/>
      <c r="C9" s="29"/>
      <c r="D9" s="29"/>
      <c r="E9" s="29"/>
      <c r="F9" s="29"/>
      <c r="G9" s="63" t="s">
        <v>37</v>
      </c>
      <c r="H9" s="64">
        <f>SUM(B8:H8)</f>
        <v>0</v>
      </c>
    </row>
    <row r="10" spans="1:10" s="7" customFormat="1">
      <c r="A10" s="182" t="s">
        <v>136</v>
      </c>
      <c r="B10" s="183"/>
      <c r="C10" s="183"/>
      <c r="D10" s="183"/>
      <c r="E10" s="183"/>
      <c r="F10" s="183"/>
      <c r="G10" s="65" t="s">
        <v>39</v>
      </c>
      <c r="H10" s="66">
        <v>-0.15</v>
      </c>
      <c r="I10" s="5"/>
      <c r="J10" s="26"/>
    </row>
    <row r="11" spans="1:10" s="7" customFormat="1" ht="30" customHeight="1">
      <c r="A11" s="39" t="s">
        <v>8</v>
      </c>
      <c r="B11" s="9"/>
      <c r="C11" s="9"/>
      <c r="D11" s="67"/>
      <c r="E11" s="67"/>
      <c r="F11" s="9"/>
      <c r="G11" s="68"/>
      <c r="H11" s="69"/>
    </row>
    <row r="12" spans="1:10" s="7" customFormat="1" ht="30" customHeight="1">
      <c r="A12" s="70" t="s">
        <v>23</v>
      </c>
      <c r="B12" s="59"/>
      <c r="C12" s="58"/>
      <c r="D12" s="58"/>
      <c r="E12" s="58"/>
      <c r="F12" s="58"/>
      <c r="G12" s="58"/>
      <c r="H12" s="58"/>
    </row>
    <row r="13" spans="1:10" s="7" customFormat="1" ht="30" customHeight="1">
      <c r="A13" s="3" t="s">
        <v>35</v>
      </c>
      <c r="B13" s="8"/>
      <c r="C13" s="8"/>
      <c r="D13" s="8"/>
      <c r="E13" s="8"/>
      <c r="F13" s="8"/>
      <c r="G13" s="8"/>
      <c r="H13" s="8"/>
    </row>
    <row r="14" spans="1:10" s="7" customFormat="1" ht="27" customHeight="1">
      <c r="A14" s="85" t="s">
        <v>36</v>
      </c>
      <c r="B14" s="87">
        <f t="shared" ref="B14:H14" si="2">B11+B12+B13</f>
        <v>0</v>
      </c>
      <c r="C14" s="87">
        <f t="shared" si="2"/>
        <v>0</v>
      </c>
      <c r="D14" s="87">
        <f t="shared" si="2"/>
        <v>0</v>
      </c>
      <c r="E14" s="87">
        <f t="shared" si="2"/>
        <v>0</v>
      </c>
      <c r="F14" s="87">
        <f t="shared" si="2"/>
        <v>0</v>
      </c>
      <c r="G14" s="87">
        <f t="shared" si="2"/>
        <v>0</v>
      </c>
      <c r="H14" s="87">
        <f t="shared" si="2"/>
        <v>0</v>
      </c>
    </row>
    <row r="15" spans="1:10" s="7" customFormat="1" ht="24.95" customHeight="1">
      <c r="A15" s="86" t="s">
        <v>40</v>
      </c>
      <c r="B15" s="92" t="e">
        <f t="shared" ref="B15:H15" si="3">(B14-B8)/B8</f>
        <v>#DIV/0!</v>
      </c>
      <c r="C15" s="93" t="e">
        <f t="shared" si="3"/>
        <v>#DIV/0!</v>
      </c>
      <c r="D15" s="93" t="e">
        <f t="shared" si="3"/>
        <v>#DIV/0!</v>
      </c>
      <c r="E15" s="93" t="e">
        <f t="shared" si="3"/>
        <v>#DIV/0!</v>
      </c>
      <c r="F15" s="93" t="e">
        <f t="shared" si="3"/>
        <v>#DIV/0!</v>
      </c>
      <c r="G15" s="93" t="e">
        <f t="shared" si="3"/>
        <v>#DIV/0!</v>
      </c>
      <c r="H15" s="94" t="e">
        <f t="shared" si="3"/>
        <v>#DIV/0!</v>
      </c>
      <c r="I15" s="71"/>
    </row>
    <row r="16" spans="1:10" ht="30" customHeight="1">
      <c r="B16" s="88"/>
      <c r="C16" s="88"/>
      <c r="D16" s="88"/>
      <c r="E16" s="88"/>
      <c r="F16" s="89"/>
      <c r="G16" s="90" t="s">
        <v>37</v>
      </c>
      <c r="H16" s="91">
        <f>SUM(B14:H14)</f>
        <v>0</v>
      </c>
    </row>
    <row r="17" spans="1:8" s="7" customFormat="1">
      <c r="A17" s="184" t="s">
        <v>41</v>
      </c>
      <c r="B17" s="185"/>
      <c r="C17" s="185"/>
      <c r="D17" s="185"/>
      <c r="E17" s="185"/>
      <c r="F17" s="185"/>
      <c r="G17" s="72" t="s">
        <v>42</v>
      </c>
      <c r="H17" s="66" t="e">
        <f>(H16-H9)/H9</f>
        <v>#DIV/0!</v>
      </c>
    </row>
    <row r="18" spans="1:8" s="7" customFormat="1" ht="30" customHeight="1">
      <c r="A18" s="35" t="s">
        <v>43</v>
      </c>
      <c r="B18" s="12"/>
      <c r="C18" s="12"/>
      <c r="D18" s="73"/>
      <c r="E18" s="73"/>
      <c r="F18" s="12"/>
      <c r="G18" s="24"/>
      <c r="H18" s="74"/>
    </row>
    <row r="19" spans="1:8" s="7" customFormat="1" ht="30" customHeight="1">
      <c r="A19" s="35" t="str">
        <f>'Week. 6'!A25</f>
        <v>Non Meal Plan Meals</v>
      </c>
      <c r="B19" s="12"/>
      <c r="C19" s="12"/>
      <c r="D19" s="73"/>
      <c r="E19" s="73"/>
      <c r="F19" s="12"/>
      <c r="G19" s="24"/>
      <c r="H19" s="74"/>
    </row>
    <row r="20" spans="1:8" s="7" customFormat="1" ht="30" customHeight="1">
      <c r="A20" s="35" t="str">
        <f>'Week. 6'!A26</f>
        <v xml:space="preserve">Meal numbers </v>
      </c>
      <c r="B20" s="95"/>
      <c r="C20" s="95"/>
      <c r="D20" s="67"/>
      <c r="E20" s="67"/>
      <c r="F20" s="95"/>
      <c r="G20" s="95"/>
      <c r="H20" s="75"/>
    </row>
    <row r="21" spans="1:8" s="7" customFormat="1" ht="24.95" customHeight="1">
      <c r="A21" s="36" t="s">
        <v>45</v>
      </c>
      <c r="B21" s="77">
        <f t="shared" ref="B21:G21" si="4">B18+B20</f>
        <v>0</v>
      </c>
      <c r="C21" s="77">
        <f t="shared" si="4"/>
        <v>0</v>
      </c>
      <c r="D21" s="96"/>
      <c r="E21" s="96"/>
      <c r="F21" s="77">
        <f t="shared" si="4"/>
        <v>0</v>
      </c>
      <c r="G21" s="77">
        <f t="shared" si="4"/>
        <v>0</v>
      </c>
      <c r="H21" s="77">
        <f>H18+H20</f>
        <v>0</v>
      </c>
    </row>
    <row r="22" spans="1:8" s="7" customFormat="1" ht="24.95" customHeight="1">
      <c r="A22" s="34" t="s">
        <v>40</v>
      </c>
      <c r="B22" s="92" t="e">
        <f>(B21-B5)/B5</f>
        <v>#DIV/0!</v>
      </c>
      <c r="C22" s="93" t="e">
        <f>(C21-C5)/C5</f>
        <v>#DIV/0!</v>
      </c>
      <c r="D22" s="99"/>
      <c r="E22" s="99"/>
      <c r="F22" s="93" t="e">
        <f>(F21-F5)/F5</f>
        <v>#DIV/0!</v>
      </c>
      <c r="G22" s="93" t="e">
        <f>(G21-G5)/G5</f>
        <v>#DIV/0!</v>
      </c>
      <c r="H22" s="94" t="e">
        <f>(H21-H5)/H5</f>
        <v>#DIV/0!</v>
      </c>
    </row>
    <row r="23" spans="1:8" s="7" customFormat="1">
      <c r="A23" s="186" t="s">
        <v>46</v>
      </c>
      <c r="B23" s="187"/>
      <c r="C23" s="187"/>
      <c r="D23" s="187"/>
      <c r="E23" s="187"/>
      <c r="F23" s="188" t="s">
        <v>47</v>
      </c>
      <c r="G23" s="97"/>
      <c r="H23" s="98"/>
    </row>
    <row r="24" spans="1:8" s="7" customFormat="1" ht="30" customHeight="1">
      <c r="A24" s="35" t="s">
        <v>43</v>
      </c>
      <c r="B24" s="11"/>
      <c r="C24" s="12"/>
      <c r="D24" s="12"/>
      <c r="E24" s="12"/>
      <c r="F24" s="12"/>
      <c r="G24" s="12"/>
      <c r="H24" s="11"/>
    </row>
    <row r="25" spans="1:8" s="7" customFormat="1" ht="30" customHeight="1">
      <c r="A25" s="35" t="str">
        <f>A19</f>
        <v>Non Meal Plan Meals</v>
      </c>
      <c r="B25" s="117"/>
      <c r="C25" s="117"/>
      <c r="D25" s="117"/>
      <c r="E25" s="117"/>
      <c r="F25" s="117"/>
      <c r="G25" s="117"/>
      <c r="H25" s="117"/>
    </row>
    <row r="26" spans="1:8" s="7" customFormat="1" ht="30" customHeight="1">
      <c r="A26" s="35" t="str">
        <f>A20</f>
        <v xml:space="preserve">Meal numbers </v>
      </c>
      <c r="B26" s="11"/>
      <c r="C26" s="11"/>
      <c r="D26" s="11"/>
      <c r="E26" s="11"/>
      <c r="F26" s="11"/>
      <c r="G26" s="11"/>
      <c r="H26" s="11"/>
    </row>
    <row r="27" spans="1:8" s="7" customFormat="1" ht="27.95" customHeight="1">
      <c r="A27" s="36" t="s">
        <v>50</v>
      </c>
      <c r="B27" s="100">
        <f>B24+B25+B26</f>
        <v>0</v>
      </c>
      <c r="C27" s="100">
        <f t="shared" ref="C27:G27" si="5">C24+C25+C26</f>
        <v>0</v>
      </c>
      <c r="D27" s="100">
        <f t="shared" si="5"/>
        <v>0</v>
      </c>
      <c r="E27" s="100">
        <f t="shared" si="5"/>
        <v>0</v>
      </c>
      <c r="F27" s="100">
        <f t="shared" si="5"/>
        <v>0</v>
      </c>
      <c r="G27" s="100">
        <f t="shared" si="5"/>
        <v>0</v>
      </c>
      <c r="H27" s="100">
        <f>H24+H25+H26</f>
        <v>0</v>
      </c>
    </row>
    <row r="28" spans="1:8" s="7" customFormat="1" ht="24.95" customHeight="1">
      <c r="A28" s="34" t="s">
        <v>40</v>
      </c>
      <c r="B28" s="92" t="e">
        <f t="shared" ref="B28:H28" si="6">(B27-B6)/B6</f>
        <v>#DIV/0!</v>
      </c>
      <c r="C28" s="93" t="e">
        <f t="shared" si="6"/>
        <v>#DIV/0!</v>
      </c>
      <c r="D28" s="93" t="e">
        <f t="shared" si="6"/>
        <v>#DIV/0!</v>
      </c>
      <c r="E28" s="93" t="e">
        <f t="shared" si="6"/>
        <v>#DIV/0!</v>
      </c>
      <c r="F28" s="93" t="e">
        <f t="shared" si="6"/>
        <v>#DIV/0!</v>
      </c>
      <c r="G28" s="93" t="e">
        <f t="shared" si="6"/>
        <v>#DIV/0!</v>
      </c>
      <c r="H28" s="94" t="e">
        <f t="shared" si="6"/>
        <v>#DIV/0!</v>
      </c>
    </row>
    <row r="29" spans="1:8" s="7" customFormat="1">
      <c r="A29" s="189" t="s">
        <v>51</v>
      </c>
      <c r="B29" s="190"/>
      <c r="C29" s="190"/>
      <c r="D29" s="190"/>
      <c r="E29" s="190"/>
      <c r="F29" s="191" t="s">
        <v>35</v>
      </c>
      <c r="G29" s="101"/>
      <c r="H29" s="102"/>
    </row>
    <row r="30" spans="1:8" s="7" customFormat="1" ht="30" customHeight="1">
      <c r="A30" s="35" t="s">
        <v>43</v>
      </c>
      <c r="B30" s="10"/>
      <c r="C30" s="9"/>
      <c r="D30" s="9"/>
      <c r="E30" s="9"/>
      <c r="F30" s="9"/>
      <c r="G30" s="9"/>
      <c r="H30" s="10"/>
    </row>
    <row r="31" spans="1:8" s="7" customFormat="1" ht="30" customHeight="1">
      <c r="A31" s="35" t="str">
        <f>A25</f>
        <v>Non Meal Plan Meals</v>
      </c>
      <c r="B31" s="60"/>
      <c r="C31" s="60"/>
      <c r="D31" s="60"/>
      <c r="E31" s="60"/>
      <c r="F31" s="60"/>
      <c r="G31" s="60"/>
      <c r="H31" s="60"/>
    </row>
    <row r="32" spans="1:8" s="7" customFormat="1" ht="30" customHeight="1">
      <c r="A32" s="35" t="str">
        <f>A26</f>
        <v xml:space="preserve">Meal numbers </v>
      </c>
      <c r="B32" s="10"/>
      <c r="C32" s="10"/>
      <c r="D32" s="10"/>
      <c r="E32" s="10"/>
      <c r="F32" s="10"/>
      <c r="G32" s="10"/>
      <c r="H32" s="10"/>
    </row>
    <row r="33" spans="1:12" s="7" customFormat="1" ht="30.95" customHeight="1">
      <c r="A33" s="36" t="s">
        <v>53</v>
      </c>
      <c r="B33" s="103">
        <f>B30+B31+B32</f>
        <v>0</v>
      </c>
      <c r="C33" s="103">
        <f t="shared" ref="C33:G33" si="7">C30+C31+C32</f>
        <v>0</v>
      </c>
      <c r="D33" s="103">
        <f t="shared" si="7"/>
        <v>0</v>
      </c>
      <c r="E33" s="103">
        <f t="shared" si="7"/>
        <v>0</v>
      </c>
      <c r="F33" s="103">
        <f t="shared" si="7"/>
        <v>0</v>
      </c>
      <c r="G33" s="103">
        <f t="shared" si="7"/>
        <v>0</v>
      </c>
      <c r="H33" s="103">
        <f>H30+H31+H32</f>
        <v>0</v>
      </c>
    </row>
    <row r="34" spans="1:12" s="7" customFormat="1" ht="24.95" customHeight="1">
      <c r="A34" s="34" t="s">
        <v>40</v>
      </c>
      <c r="B34" s="92" t="e">
        <f t="shared" ref="B34:H34" si="8">(B33-B7)/B7</f>
        <v>#DIV/0!</v>
      </c>
      <c r="C34" s="93" t="e">
        <f t="shared" si="8"/>
        <v>#DIV/0!</v>
      </c>
      <c r="D34" s="93" t="e">
        <f t="shared" si="8"/>
        <v>#DIV/0!</v>
      </c>
      <c r="E34" s="93" t="e">
        <f t="shared" si="8"/>
        <v>#DIV/0!</v>
      </c>
      <c r="F34" s="93" t="e">
        <f t="shared" si="8"/>
        <v>#DIV/0!</v>
      </c>
      <c r="G34" s="93" t="e">
        <f t="shared" si="8"/>
        <v>#DIV/0!</v>
      </c>
      <c r="H34" s="94" t="e">
        <f t="shared" si="8"/>
        <v>#DIV/0!</v>
      </c>
    </row>
    <row r="35" spans="1:12" s="7" customFormat="1">
      <c r="A35" s="192" t="s">
        <v>54</v>
      </c>
      <c r="B35" s="193"/>
      <c r="C35" s="193"/>
      <c r="D35" s="193"/>
      <c r="E35" s="193"/>
      <c r="F35" s="194" t="s">
        <v>35</v>
      </c>
      <c r="G35" s="104"/>
      <c r="H35" s="105"/>
    </row>
    <row r="36" spans="1:12" s="7" customFormat="1" ht="30.95" customHeight="1">
      <c r="A36" s="78" t="s">
        <v>55</v>
      </c>
      <c r="B36" s="77">
        <f>B33+B27+B21</f>
        <v>0</v>
      </c>
      <c r="C36" s="77">
        <f t="shared" ref="C36:H36" si="9">C33+C27+C21</f>
        <v>0</v>
      </c>
      <c r="D36" s="77">
        <f t="shared" si="9"/>
        <v>0</v>
      </c>
      <c r="E36" s="77">
        <f t="shared" si="9"/>
        <v>0</v>
      </c>
      <c r="F36" s="77">
        <f t="shared" si="9"/>
        <v>0</v>
      </c>
      <c r="G36" s="77">
        <f t="shared" si="9"/>
        <v>0</v>
      </c>
      <c r="H36" s="77">
        <f t="shared" si="9"/>
        <v>0</v>
      </c>
    </row>
    <row r="37" spans="1:12" s="7" customFormat="1" ht="24.95" customHeight="1">
      <c r="A37" s="34" t="s">
        <v>40</v>
      </c>
      <c r="B37" s="92" t="e">
        <f t="shared" ref="B37:H37" si="10">(B36-B8)/B8</f>
        <v>#DIV/0!</v>
      </c>
      <c r="C37" s="93" t="e">
        <f t="shared" si="10"/>
        <v>#DIV/0!</v>
      </c>
      <c r="D37" s="93" t="e">
        <f t="shared" si="10"/>
        <v>#DIV/0!</v>
      </c>
      <c r="E37" s="93" t="e">
        <f t="shared" si="10"/>
        <v>#DIV/0!</v>
      </c>
      <c r="F37" s="93" t="e">
        <f t="shared" si="10"/>
        <v>#DIV/0!</v>
      </c>
      <c r="G37" s="93" t="e">
        <f t="shared" si="10"/>
        <v>#DIV/0!</v>
      </c>
      <c r="H37" s="94" t="e">
        <f t="shared" si="10"/>
        <v>#DIV/0!</v>
      </c>
    </row>
    <row r="38" spans="1:12" ht="30" customHeight="1">
      <c r="A38" s="195"/>
      <c r="B38" s="196"/>
      <c r="C38" s="196"/>
      <c r="D38" s="196"/>
      <c r="E38" s="196"/>
      <c r="F38" s="196"/>
      <c r="G38" s="106" t="s">
        <v>37</v>
      </c>
      <c r="H38" s="107">
        <f>SUM(B36:H36)</f>
        <v>0</v>
      </c>
    </row>
    <row r="39" spans="1:12" s="7" customFormat="1" ht="24.95" customHeight="1">
      <c r="A39" s="37"/>
      <c r="B39" s="25"/>
      <c r="C39" s="25"/>
      <c r="D39" s="25"/>
      <c r="E39" s="25"/>
      <c r="F39" s="25"/>
      <c r="G39" s="79" t="s">
        <v>40</v>
      </c>
      <c r="H39" s="80" t="e">
        <f>(H38-H9)/H9</f>
        <v>#DIV/0!</v>
      </c>
    </row>
    <row r="40" spans="1:12" s="7" customFormat="1" ht="24.95" customHeight="1">
      <c r="A40" s="37"/>
      <c r="B40" s="25"/>
      <c r="C40" s="25"/>
      <c r="D40" s="25"/>
      <c r="E40" s="25"/>
      <c r="F40" s="25"/>
      <c r="G40" s="81" t="s">
        <v>56</v>
      </c>
      <c r="H40" s="82" t="e">
        <f>(H38-H16)/H16</f>
        <v>#DIV/0!</v>
      </c>
    </row>
    <row r="41" spans="1:12" s="46" customFormat="1" ht="23.1" customHeight="1">
      <c r="A41" s="40"/>
      <c r="B41" s="47" t="s">
        <v>57</v>
      </c>
      <c r="C41" s="197" t="s">
        <v>58</v>
      </c>
      <c r="D41" s="197"/>
      <c r="E41" s="197"/>
      <c r="F41" s="197"/>
      <c r="G41" s="198">
        <v>2022</v>
      </c>
      <c r="H41" s="199"/>
    </row>
    <row r="42" spans="1:12" ht="30" customHeight="1">
      <c r="A42" s="1" t="s">
        <v>60</v>
      </c>
      <c r="B42" s="57" t="s">
        <v>59</v>
      </c>
      <c r="C42" s="180"/>
      <c r="D42" s="180"/>
      <c r="E42" s="180"/>
      <c r="F42" s="180"/>
      <c r="G42" s="178"/>
      <c r="H42" s="179"/>
      <c r="L42" s="7" t="s">
        <v>61</v>
      </c>
    </row>
    <row r="43" spans="1:12" ht="30" customHeight="1">
      <c r="A43" s="1" t="s">
        <v>1</v>
      </c>
      <c r="B43" s="57" t="s">
        <v>59</v>
      </c>
      <c r="C43" s="180"/>
      <c r="D43" s="180"/>
      <c r="E43" s="180"/>
      <c r="F43" s="180"/>
      <c r="G43" s="178"/>
      <c r="H43" s="179"/>
      <c r="L43" s="5" t="s">
        <v>62</v>
      </c>
    </row>
    <row r="44" spans="1:12" ht="30" customHeight="1">
      <c r="A44" s="1" t="s">
        <v>2</v>
      </c>
      <c r="B44" s="57" t="s">
        <v>59</v>
      </c>
      <c r="C44" s="175"/>
      <c r="D44" s="175"/>
      <c r="E44" s="175"/>
      <c r="F44" s="175"/>
      <c r="G44" s="176"/>
      <c r="H44" s="177"/>
      <c r="L44" s="5" t="s">
        <v>63</v>
      </c>
    </row>
    <row r="45" spans="1:12" ht="30" customHeight="1">
      <c r="A45" s="1" t="s">
        <v>3</v>
      </c>
      <c r="B45" s="57" t="s">
        <v>59</v>
      </c>
      <c r="C45" s="175"/>
      <c r="D45" s="175"/>
      <c r="E45" s="175"/>
      <c r="F45" s="175"/>
      <c r="G45" s="176"/>
      <c r="H45" s="177"/>
      <c r="L45" s="5" t="s">
        <v>64</v>
      </c>
    </row>
    <row r="46" spans="1:12" ht="30.95" customHeight="1">
      <c r="A46" s="1" t="s">
        <v>4</v>
      </c>
      <c r="B46" s="57" t="s">
        <v>59</v>
      </c>
      <c r="C46" s="175"/>
      <c r="D46" s="175"/>
      <c r="E46" s="175"/>
      <c r="F46" s="175"/>
      <c r="G46" s="176"/>
      <c r="H46" s="177"/>
    </row>
    <row r="47" spans="1:12" ht="30" customHeight="1">
      <c r="A47" s="1" t="s">
        <v>5</v>
      </c>
      <c r="B47" s="57" t="s">
        <v>59</v>
      </c>
      <c r="C47" s="175"/>
      <c r="D47" s="175"/>
      <c r="E47" s="175"/>
      <c r="F47" s="175"/>
      <c r="G47" s="176"/>
      <c r="H47" s="177"/>
    </row>
    <row r="48" spans="1:12" ht="30" customHeight="1">
      <c r="A48" s="1" t="s">
        <v>6</v>
      </c>
      <c r="B48" s="57" t="s">
        <v>59</v>
      </c>
      <c r="C48" s="175"/>
      <c r="D48" s="175"/>
      <c r="E48" s="175"/>
      <c r="F48" s="175"/>
      <c r="G48" s="176"/>
      <c r="H48" s="177"/>
    </row>
    <row r="49" spans="1:8" ht="30" customHeight="1">
      <c r="A49" s="1"/>
      <c r="B49" s="14"/>
      <c r="C49" s="175"/>
      <c r="D49" s="175"/>
      <c r="E49" s="175"/>
      <c r="F49" s="175"/>
      <c r="G49" s="176"/>
      <c r="H49" s="177"/>
    </row>
    <row r="50" spans="1:8" ht="30" customHeight="1">
      <c r="A50" s="2"/>
      <c r="B50" s="14"/>
      <c r="C50" s="175"/>
      <c r="D50" s="175"/>
      <c r="E50" s="175"/>
      <c r="F50" s="175"/>
      <c r="G50" s="176"/>
      <c r="H50" s="177"/>
    </row>
    <row r="51" spans="1:8">
      <c r="A51" s="30"/>
      <c r="B51" s="18" t="s">
        <v>27</v>
      </c>
      <c r="C51" s="18" t="s">
        <v>28</v>
      </c>
      <c r="D51" s="18" t="s">
        <v>65</v>
      </c>
      <c r="E51" s="18" t="s">
        <v>30</v>
      </c>
      <c r="F51" s="18" t="s">
        <v>66</v>
      </c>
      <c r="G51" s="18" t="s">
        <v>32</v>
      </c>
      <c r="H51" s="18" t="s">
        <v>33</v>
      </c>
    </row>
    <row r="52" spans="1:8">
      <c r="A52" s="38" t="s">
        <v>67</v>
      </c>
      <c r="B52" s="15"/>
      <c r="C52" s="20"/>
      <c r="D52" s="20"/>
      <c r="E52" s="20"/>
      <c r="F52" s="20"/>
      <c r="G52" s="20"/>
      <c r="H52" s="15"/>
    </row>
    <row r="53" spans="1:8" customFormat="1" ht="15.75">
      <c r="A53" s="48" t="s">
        <v>68</v>
      </c>
      <c r="B53" s="22"/>
      <c r="C53" s="21"/>
      <c r="D53" s="21"/>
      <c r="E53" s="21"/>
      <c r="F53" s="21"/>
      <c r="G53" s="23" t="s">
        <v>37</v>
      </c>
      <c r="H53" s="23">
        <f>SUM(B52:H52)</f>
        <v>0</v>
      </c>
    </row>
    <row r="54" spans="1:8">
      <c r="A54" s="30"/>
      <c r="B54" s="18" t="s">
        <v>27</v>
      </c>
      <c r="C54" s="18" t="s">
        <v>28</v>
      </c>
      <c r="D54" s="18" t="s">
        <v>65</v>
      </c>
      <c r="E54" s="18" t="s">
        <v>30</v>
      </c>
      <c r="F54" s="18" t="s">
        <v>66</v>
      </c>
      <c r="G54" s="18" t="s">
        <v>32</v>
      </c>
      <c r="H54" s="18" t="s">
        <v>33</v>
      </c>
    </row>
    <row r="55" spans="1:8">
      <c r="A55" s="38" t="s">
        <v>69</v>
      </c>
      <c r="B55" s="51"/>
      <c r="C55" s="52"/>
      <c r="D55" s="52"/>
      <c r="E55" s="52"/>
      <c r="F55" s="52"/>
      <c r="G55" s="20"/>
      <c r="H55" s="15"/>
    </row>
    <row r="56" spans="1:8" customFormat="1" ht="15.75">
      <c r="A56" s="49" t="s">
        <v>70</v>
      </c>
      <c r="B56" s="53"/>
      <c r="C56" s="53" t="s">
        <v>71</v>
      </c>
      <c r="D56" s="54"/>
      <c r="E56" s="54"/>
      <c r="F56" s="55"/>
      <c r="G56" s="50" t="s">
        <v>37</v>
      </c>
      <c r="H56" s="23"/>
    </row>
    <row r="57" spans="1:8">
      <c r="H57" s="16"/>
    </row>
    <row r="58" spans="1:8">
      <c r="H58" s="16"/>
    </row>
    <row r="59" spans="1:8">
      <c r="H59" s="16"/>
    </row>
    <row r="60" spans="1:8">
      <c r="H60" s="16"/>
    </row>
    <row r="61" spans="1:8">
      <c r="H61" s="16"/>
    </row>
    <row r="62" spans="1:8">
      <c r="H62" s="16"/>
    </row>
    <row r="63" spans="1:8">
      <c r="H63" s="16"/>
    </row>
    <row r="64" spans="1:8">
      <c r="B64" s="5"/>
      <c r="H64" s="16"/>
    </row>
    <row r="65" spans="2:8">
      <c r="B65" s="5"/>
      <c r="H65" s="16"/>
    </row>
    <row r="66" spans="2:8">
      <c r="B66" s="5"/>
      <c r="H66" s="16"/>
    </row>
    <row r="67" spans="2:8">
      <c r="B67" s="5"/>
      <c r="H67" s="16"/>
    </row>
    <row r="68" spans="2:8">
      <c r="B68" s="5"/>
      <c r="H68" s="16"/>
    </row>
    <row r="69" spans="2:8">
      <c r="B69" s="5"/>
      <c r="H69" s="16"/>
    </row>
    <row r="70" spans="2:8">
      <c r="B70" s="5"/>
      <c r="H70" s="16"/>
    </row>
    <row r="71" spans="2:8">
      <c r="B71" s="5"/>
      <c r="H71" s="16"/>
    </row>
    <row r="72" spans="2:8">
      <c r="B72" s="5"/>
      <c r="H72" s="16"/>
    </row>
    <row r="73" spans="2:8">
      <c r="B73" s="5"/>
      <c r="H73" s="16"/>
    </row>
    <row r="74" spans="2:8">
      <c r="B74" s="5"/>
      <c r="H74" s="16"/>
    </row>
    <row r="75" spans="2:8">
      <c r="B75" s="5"/>
      <c r="H75" s="16"/>
    </row>
    <row r="76" spans="2:8">
      <c r="B76" s="5"/>
      <c r="H76" s="16"/>
    </row>
    <row r="77" spans="2:8">
      <c r="B77" s="5"/>
      <c r="H77" s="16"/>
    </row>
    <row r="78" spans="2:8">
      <c r="B78" s="5"/>
      <c r="H78" s="16"/>
    </row>
    <row r="79" spans="2:8">
      <c r="B79" s="5"/>
      <c r="H79" s="16"/>
    </row>
    <row r="80" spans="2:8">
      <c r="B80" s="5"/>
      <c r="H80" s="16"/>
    </row>
    <row r="81" spans="2:8">
      <c r="B81" s="5"/>
      <c r="H81" s="16"/>
    </row>
    <row r="82" spans="2:8">
      <c r="B82" s="5"/>
      <c r="H82" s="16"/>
    </row>
    <row r="83" spans="2:8">
      <c r="B83" s="5"/>
      <c r="H83" s="16"/>
    </row>
    <row r="84" spans="2:8">
      <c r="B84" s="5"/>
      <c r="H84" s="16"/>
    </row>
    <row r="85" spans="2:8">
      <c r="B85" s="5"/>
      <c r="H85" s="16"/>
    </row>
    <row r="86" spans="2:8">
      <c r="B86" s="5"/>
      <c r="H86" s="16"/>
    </row>
    <row r="87" spans="2:8">
      <c r="B87" s="5"/>
      <c r="H87" s="16"/>
    </row>
    <row r="88" spans="2:8">
      <c r="B88" s="5"/>
      <c r="H88" s="16"/>
    </row>
    <row r="89" spans="2:8">
      <c r="B89" s="5"/>
      <c r="H89" s="16"/>
    </row>
    <row r="90" spans="2:8">
      <c r="B90" s="5"/>
      <c r="H90" s="16"/>
    </row>
    <row r="91" spans="2:8">
      <c r="B91" s="5"/>
      <c r="H91" s="16"/>
    </row>
    <row r="92" spans="2:8">
      <c r="B92" s="5"/>
      <c r="H92" s="16"/>
    </row>
    <row r="93" spans="2:8">
      <c r="B93" s="5"/>
      <c r="H93" s="16"/>
    </row>
    <row r="94" spans="2:8">
      <c r="B94" s="5"/>
      <c r="H94" s="16"/>
    </row>
    <row r="95" spans="2:8">
      <c r="B95" s="5"/>
      <c r="H95" s="16"/>
    </row>
    <row r="96" spans="2:8">
      <c r="B96" s="5"/>
      <c r="H96" s="16"/>
    </row>
    <row r="97" spans="2:8">
      <c r="B97" s="5"/>
      <c r="H97" s="16"/>
    </row>
    <row r="98" spans="2:8">
      <c r="B98" s="5"/>
      <c r="H98" s="16"/>
    </row>
    <row r="99" spans="2:8">
      <c r="B99" s="5"/>
      <c r="H99" s="16"/>
    </row>
    <row r="100" spans="2:8">
      <c r="B100" s="5"/>
      <c r="H100" s="16"/>
    </row>
    <row r="101" spans="2:8">
      <c r="B101" s="5"/>
      <c r="H101" s="16"/>
    </row>
    <row r="102" spans="2:8">
      <c r="B102" s="5"/>
      <c r="H102" s="16"/>
    </row>
    <row r="103" spans="2:8">
      <c r="B103" s="5"/>
      <c r="H103" s="16"/>
    </row>
    <row r="104" spans="2:8">
      <c r="B104" s="5"/>
      <c r="H104" s="16"/>
    </row>
    <row r="105" spans="2:8">
      <c r="B105" s="5"/>
      <c r="H105" s="16"/>
    </row>
    <row r="106" spans="2:8">
      <c r="B106" s="5"/>
      <c r="H106" s="16"/>
    </row>
    <row r="107" spans="2:8">
      <c r="B107" s="5"/>
      <c r="H107" s="16"/>
    </row>
    <row r="108" spans="2:8">
      <c r="B108" s="5"/>
      <c r="H108" s="16"/>
    </row>
    <row r="109" spans="2:8">
      <c r="B109" s="5"/>
      <c r="H109" s="16"/>
    </row>
    <row r="110" spans="2:8">
      <c r="B110" s="5"/>
      <c r="H110" s="16"/>
    </row>
    <row r="111" spans="2:8">
      <c r="B111" s="5"/>
      <c r="H111" s="16"/>
    </row>
    <row r="112" spans="2:8">
      <c r="B112" s="5"/>
      <c r="H112" s="16"/>
    </row>
    <row r="113" spans="2:8">
      <c r="B113" s="5"/>
      <c r="H113" s="16"/>
    </row>
    <row r="114" spans="2:8">
      <c r="B114" s="5"/>
      <c r="H114" s="16"/>
    </row>
    <row r="115" spans="2:8">
      <c r="B115" s="5"/>
      <c r="H115" s="16"/>
    </row>
    <row r="116" spans="2:8">
      <c r="B116" s="5"/>
      <c r="H116" s="16"/>
    </row>
    <row r="117" spans="2:8">
      <c r="B117" s="5"/>
      <c r="H117" s="16"/>
    </row>
    <row r="118" spans="2:8">
      <c r="B118" s="5"/>
      <c r="H118" s="16"/>
    </row>
    <row r="119" spans="2:8">
      <c r="B119" s="5"/>
      <c r="H119" s="16"/>
    </row>
    <row r="120" spans="2:8">
      <c r="B120" s="5"/>
      <c r="H120" s="16"/>
    </row>
    <row r="121" spans="2:8">
      <c r="B121" s="5"/>
      <c r="H121" s="16"/>
    </row>
    <row r="122" spans="2:8">
      <c r="B122" s="5"/>
      <c r="H122" s="16"/>
    </row>
    <row r="123" spans="2:8">
      <c r="B123" s="5"/>
      <c r="H123" s="16"/>
    </row>
    <row r="124" spans="2:8">
      <c r="B124" s="5"/>
      <c r="H124" s="16"/>
    </row>
    <row r="125" spans="2:8">
      <c r="B125" s="5"/>
      <c r="H125" s="16"/>
    </row>
    <row r="126" spans="2:8">
      <c r="B126" s="5"/>
      <c r="H126" s="16"/>
    </row>
    <row r="127" spans="2:8">
      <c r="B127" s="5"/>
      <c r="H127" s="16"/>
    </row>
    <row r="128" spans="2:8">
      <c r="B128" s="5"/>
      <c r="H128" s="16"/>
    </row>
    <row r="129" spans="2:8">
      <c r="B129" s="5"/>
      <c r="H129" s="16"/>
    </row>
    <row r="130" spans="2:8">
      <c r="B130" s="5"/>
      <c r="H130" s="16"/>
    </row>
    <row r="131" spans="2:8">
      <c r="B131" s="5"/>
      <c r="H131" s="16"/>
    </row>
    <row r="132" spans="2:8">
      <c r="B132" s="5"/>
      <c r="H132" s="16"/>
    </row>
    <row r="133" spans="2:8">
      <c r="B133" s="5"/>
      <c r="H133" s="16"/>
    </row>
    <row r="134" spans="2:8">
      <c r="B134" s="5"/>
      <c r="H134" s="16"/>
    </row>
    <row r="135" spans="2:8">
      <c r="B135" s="5"/>
      <c r="H135" s="16"/>
    </row>
    <row r="136" spans="2:8">
      <c r="B136" s="5"/>
      <c r="H136" s="16"/>
    </row>
    <row r="137" spans="2:8">
      <c r="B137" s="5"/>
      <c r="H137" s="16"/>
    </row>
    <row r="138" spans="2:8">
      <c r="B138" s="5"/>
      <c r="H138" s="16"/>
    </row>
    <row r="139" spans="2:8">
      <c r="B139" s="5"/>
      <c r="H139" s="16"/>
    </row>
    <row r="140" spans="2:8">
      <c r="B140" s="5"/>
      <c r="H140" s="16"/>
    </row>
    <row r="141" spans="2:8">
      <c r="B141" s="5"/>
      <c r="H141" s="16"/>
    </row>
    <row r="142" spans="2:8">
      <c r="B142" s="5"/>
      <c r="H142" s="16"/>
    </row>
    <row r="143" spans="2:8">
      <c r="B143" s="5"/>
      <c r="H143" s="16"/>
    </row>
    <row r="144" spans="2:8">
      <c r="B144" s="5"/>
      <c r="H144" s="16"/>
    </row>
    <row r="145" spans="2:8">
      <c r="B145" s="5"/>
      <c r="H145" s="16"/>
    </row>
    <row r="146" spans="2:8">
      <c r="B146" s="5"/>
      <c r="H146" s="16"/>
    </row>
    <row r="147" spans="2:8">
      <c r="B147" s="5"/>
      <c r="H147" s="16"/>
    </row>
    <row r="148" spans="2:8">
      <c r="B148" s="5"/>
      <c r="H148" s="16"/>
    </row>
    <row r="149" spans="2:8">
      <c r="B149" s="5"/>
      <c r="H149" s="16"/>
    </row>
    <row r="150" spans="2:8">
      <c r="B150" s="5"/>
      <c r="H150" s="16"/>
    </row>
    <row r="151" spans="2:8">
      <c r="B151" s="5"/>
      <c r="H151" s="16"/>
    </row>
    <row r="152" spans="2:8">
      <c r="B152" s="5"/>
      <c r="H152" s="16"/>
    </row>
    <row r="153" spans="2:8">
      <c r="B153" s="5"/>
      <c r="H153" s="16"/>
    </row>
    <row r="154" spans="2:8">
      <c r="B154" s="5"/>
      <c r="H154" s="16"/>
    </row>
    <row r="155" spans="2:8">
      <c r="B155" s="5"/>
      <c r="H155" s="16"/>
    </row>
    <row r="156" spans="2:8">
      <c r="B156" s="5"/>
      <c r="H156" s="16"/>
    </row>
    <row r="157" spans="2:8">
      <c r="B157" s="5"/>
      <c r="H157" s="16"/>
    </row>
    <row r="158" spans="2:8">
      <c r="B158" s="5"/>
      <c r="H158" s="16"/>
    </row>
    <row r="159" spans="2:8">
      <c r="B159" s="5"/>
      <c r="H159" s="16"/>
    </row>
    <row r="160" spans="2:8">
      <c r="B160" s="5"/>
      <c r="H160" s="16"/>
    </row>
    <row r="161" spans="2:8">
      <c r="B161" s="5"/>
      <c r="H161" s="16"/>
    </row>
    <row r="162" spans="2:8">
      <c r="B162" s="5"/>
      <c r="H162" s="16"/>
    </row>
    <row r="163" spans="2:8">
      <c r="B163" s="5"/>
      <c r="H163" s="16"/>
    </row>
    <row r="164" spans="2:8">
      <c r="B164" s="5"/>
      <c r="H164" s="16"/>
    </row>
    <row r="165" spans="2:8">
      <c r="B165" s="5"/>
      <c r="H165" s="16"/>
    </row>
    <row r="166" spans="2:8">
      <c r="B166" s="5"/>
      <c r="H166" s="16"/>
    </row>
    <row r="167" spans="2:8">
      <c r="B167" s="5"/>
      <c r="H167" s="16"/>
    </row>
    <row r="168" spans="2:8">
      <c r="B168" s="5"/>
      <c r="H168" s="16"/>
    </row>
    <row r="169" spans="2:8">
      <c r="B169" s="5"/>
      <c r="H169" s="16"/>
    </row>
    <row r="170" spans="2:8">
      <c r="B170" s="5"/>
      <c r="H170" s="16"/>
    </row>
    <row r="171" spans="2:8">
      <c r="B171" s="5"/>
      <c r="H171" s="16"/>
    </row>
    <row r="172" spans="2:8">
      <c r="B172" s="5"/>
      <c r="H172" s="16"/>
    </row>
    <row r="173" spans="2:8">
      <c r="B173" s="5"/>
      <c r="H173" s="16"/>
    </row>
    <row r="174" spans="2:8">
      <c r="B174" s="5"/>
      <c r="H174" s="16"/>
    </row>
    <row r="175" spans="2:8">
      <c r="B175" s="5"/>
      <c r="H175" s="16"/>
    </row>
    <row r="176" spans="2:8">
      <c r="B176" s="5"/>
      <c r="H176" s="16"/>
    </row>
    <row r="177" spans="2:8">
      <c r="B177" s="5"/>
      <c r="H177" s="16"/>
    </row>
    <row r="178" spans="2:8">
      <c r="B178" s="5"/>
      <c r="H178" s="16"/>
    </row>
    <row r="179" spans="2:8">
      <c r="B179" s="5"/>
      <c r="H179" s="16"/>
    </row>
    <row r="180" spans="2:8">
      <c r="B180" s="5"/>
      <c r="H180" s="16"/>
    </row>
    <row r="181" spans="2:8">
      <c r="B181" s="5"/>
      <c r="H181" s="16"/>
    </row>
    <row r="182" spans="2:8">
      <c r="B182" s="5"/>
      <c r="H182" s="16"/>
    </row>
    <row r="183" spans="2:8">
      <c r="B183" s="5"/>
      <c r="H183" s="16"/>
    </row>
    <row r="184" spans="2:8">
      <c r="B184" s="5"/>
      <c r="H184" s="16"/>
    </row>
    <row r="185" spans="2:8">
      <c r="B185" s="5"/>
      <c r="H185" s="16"/>
    </row>
    <row r="186" spans="2:8">
      <c r="B186" s="5"/>
      <c r="H186" s="16"/>
    </row>
    <row r="187" spans="2:8">
      <c r="B187" s="5"/>
      <c r="H187" s="16"/>
    </row>
    <row r="188" spans="2:8">
      <c r="B188" s="5"/>
      <c r="H188" s="16"/>
    </row>
    <row r="189" spans="2:8">
      <c r="B189" s="5"/>
      <c r="H189" s="16"/>
    </row>
    <row r="190" spans="2:8">
      <c r="B190" s="5"/>
      <c r="H190" s="16"/>
    </row>
    <row r="191" spans="2:8">
      <c r="B191" s="5"/>
      <c r="H191" s="16"/>
    </row>
    <row r="192" spans="2:8">
      <c r="B192" s="5"/>
      <c r="H192" s="16"/>
    </row>
    <row r="193" spans="2:8">
      <c r="B193" s="5"/>
      <c r="H193" s="16"/>
    </row>
    <row r="194" spans="2:8">
      <c r="B194" s="5"/>
      <c r="H194" s="16"/>
    </row>
    <row r="195" spans="2:8">
      <c r="B195" s="5"/>
      <c r="H195" s="16"/>
    </row>
    <row r="196" spans="2:8">
      <c r="B196" s="5"/>
      <c r="H196" s="16"/>
    </row>
    <row r="197" spans="2:8">
      <c r="B197" s="5"/>
      <c r="H197" s="16"/>
    </row>
    <row r="198" spans="2:8">
      <c r="B198" s="5"/>
      <c r="H198" s="16"/>
    </row>
    <row r="199" spans="2:8">
      <c r="B199" s="5"/>
      <c r="H199" s="16"/>
    </row>
    <row r="200" spans="2:8">
      <c r="B200" s="5"/>
      <c r="H200" s="16"/>
    </row>
    <row r="201" spans="2:8">
      <c r="B201" s="5"/>
      <c r="H201" s="16"/>
    </row>
    <row r="202" spans="2:8">
      <c r="B202" s="5"/>
      <c r="H202" s="16"/>
    </row>
    <row r="203" spans="2:8">
      <c r="B203" s="5"/>
      <c r="H203" s="16"/>
    </row>
    <row r="204" spans="2:8">
      <c r="B204" s="5"/>
      <c r="H204" s="16"/>
    </row>
    <row r="205" spans="2:8">
      <c r="B205" s="5"/>
      <c r="H205" s="16"/>
    </row>
    <row r="206" spans="2:8">
      <c r="B206" s="5"/>
      <c r="H206" s="16"/>
    </row>
    <row r="207" spans="2:8">
      <c r="B207" s="5"/>
      <c r="H207" s="16"/>
    </row>
    <row r="208" spans="2:8">
      <c r="B208" s="5"/>
      <c r="H208" s="16"/>
    </row>
    <row r="209" spans="2:8">
      <c r="B209" s="5"/>
      <c r="H209" s="16"/>
    </row>
    <row r="210" spans="2:8">
      <c r="B210" s="5"/>
      <c r="H210" s="16"/>
    </row>
    <row r="211" spans="2:8">
      <c r="B211" s="5"/>
      <c r="H211" s="16"/>
    </row>
    <row r="212" spans="2:8">
      <c r="B212" s="5"/>
      <c r="H212" s="16"/>
    </row>
    <row r="213" spans="2:8">
      <c r="B213" s="5"/>
      <c r="H213" s="16"/>
    </row>
    <row r="214" spans="2:8">
      <c r="B214" s="5"/>
      <c r="H214" s="16"/>
    </row>
    <row r="215" spans="2:8">
      <c r="B215" s="5"/>
      <c r="H215" s="16"/>
    </row>
    <row r="216" spans="2:8">
      <c r="B216" s="5"/>
      <c r="H216" s="16"/>
    </row>
    <row r="217" spans="2:8">
      <c r="B217" s="5"/>
      <c r="H217" s="16"/>
    </row>
    <row r="218" spans="2:8">
      <c r="B218" s="5"/>
      <c r="H218" s="16"/>
    </row>
    <row r="219" spans="2:8">
      <c r="B219" s="5"/>
      <c r="H219" s="16"/>
    </row>
    <row r="220" spans="2:8">
      <c r="B220" s="5"/>
      <c r="H220" s="16"/>
    </row>
    <row r="221" spans="2:8">
      <c r="B221" s="5"/>
      <c r="H221" s="16"/>
    </row>
    <row r="222" spans="2:8">
      <c r="B222" s="5"/>
      <c r="H222" s="16"/>
    </row>
    <row r="223" spans="2:8">
      <c r="B223" s="5"/>
      <c r="H223" s="16"/>
    </row>
    <row r="224" spans="2:8">
      <c r="B224" s="5"/>
      <c r="H224" s="16"/>
    </row>
    <row r="225" spans="2:8">
      <c r="B225" s="5"/>
      <c r="H225" s="16"/>
    </row>
    <row r="226" spans="2:8">
      <c r="B226" s="5"/>
      <c r="H226" s="16"/>
    </row>
    <row r="227" spans="2:8">
      <c r="B227" s="5"/>
      <c r="H227" s="16"/>
    </row>
    <row r="228" spans="2:8">
      <c r="B228" s="5"/>
      <c r="H228" s="16"/>
    </row>
    <row r="229" spans="2:8">
      <c r="B229" s="5"/>
      <c r="H229" s="16"/>
    </row>
    <row r="230" spans="2:8">
      <c r="B230" s="5"/>
      <c r="H230" s="16"/>
    </row>
    <row r="231" spans="2:8">
      <c r="B231" s="5"/>
      <c r="H231" s="16"/>
    </row>
    <row r="232" spans="2:8">
      <c r="B232" s="5"/>
      <c r="H232" s="16"/>
    </row>
    <row r="233" spans="2:8">
      <c r="B233" s="5"/>
      <c r="H233" s="16"/>
    </row>
    <row r="234" spans="2:8">
      <c r="B234" s="5"/>
      <c r="H234" s="16"/>
    </row>
    <row r="235" spans="2:8">
      <c r="B235" s="5"/>
      <c r="H235" s="16"/>
    </row>
    <row r="236" spans="2:8">
      <c r="B236" s="5"/>
      <c r="H236" s="16"/>
    </row>
    <row r="237" spans="2:8">
      <c r="B237" s="5"/>
      <c r="H237" s="16"/>
    </row>
    <row r="238" spans="2:8">
      <c r="B238" s="5"/>
      <c r="H238" s="16"/>
    </row>
    <row r="239" spans="2:8">
      <c r="B239" s="5"/>
      <c r="H239" s="16"/>
    </row>
    <row r="240" spans="2:8">
      <c r="B240" s="5"/>
      <c r="H240" s="16"/>
    </row>
    <row r="241" spans="2:8">
      <c r="B241" s="5"/>
      <c r="H241" s="16"/>
    </row>
    <row r="242" spans="2:8">
      <c r="B242" s="5"/>
      <c r="H242" s="16"/>
    </row>
    <row r="243" spans="2:8">
      <c r="B243" s="5"/>
      <c r="H243" s="16"/>
    </row>
    <row r="244" spans="2:8">
      <c r="B244" s="5"/>
      <c r="H244" s="16"/>
    </row>
    <row r="245" spans="2:8">
      <c r="B245" s="5"/>
      <c r="H245" s="16"/>
    </row>
    <row r="246" spans="2:8">
      <c r="B246" s="5"/>
      <c r="H246" s="16"/>
    </row>
    <row r="247" spans="2:8">
      <c r="B247" s="5"/>
      <c r="H247" s="16"/>
    </row>
    <row r="248" spans="2:8">
      <c r="B248" s="5"/>
      <c r="H248" s="16"/>
    </row>
    <row r="249" spans="2:8">
      <c r="B249" s="5"/>
      <c r="H249" s="16"/>
    </row>
    <row r="250" spans="2:8">
      <c r="B250" s="5"/>
      <c r="H250" s="16"/>
    </row>
    <row r="251" spans="2:8">
      <c r="B251" s="5"/>
      <c r="H251" s="16"/>
    </row>
    <row r="252" spans="2:8">
      <c r="B252" s="5"/>
      <c r="H252" s="16"/>
    </row>
    <row r="253" spans="2:8">
      <c r="B253" s="5"/>
      <c r="H253" s="16"/>
    </row>
    <row r="254" spans="2:8">
      <c r="B254" s="5"/>
      <c r="H254" s="16"/>
    </row>
    <row r="255" spans="2:8">
      <c r="B255" s="5"/>
      <c r="H255" s="16"/>
    </row>
    <row r="256" spans="2:8">
      <c r="B256" s="5"/>
      <c r="H256" s="16"/>
    </row>
    <row r="257" spans="2:8">
      <c r="B257" s="5"/>
      <c r="H257" s="16"/>
    </row>
    <row r="258" spans="2:8">
      <c r="B258" s="5"/>
      <c r="H258" s="16"/>
    </row>
    <row r="259" spans="2:8">
      <c r="B259" s="5"/>
      <c r="H259" s="16"/>
    </row>
    <row r="260" spans="2:8">
      <c r="B260" s="5"/>
      <c r="H260" s="16"/>
    </row>
    <row r="261" spans="2:8">
      <c r="B261" s="5"/>
      <c r="H261" s="16"/>
    </row>
    <row r="262" spans="2:8">
      <c r="B262" s="5"/>
      <c r="H262" s="16"/>
    </row>
    <row r="263" spans="2:8">
      <c r="B263" s="5"/>
      <c r="H263" s="16"/>
    </row>
    <row r="264" spans="2:8">
      <c r="B264" s="5"/>
      <c r="H264" s="16"/>
    </row>
    <row r="265" spans="2:8">
      <c r="B265" s="5"/>
      <c r="H265" s="16"/>
    </row>
    <row r="266" spans="2:8">
      <c r="B266" s="5"/>
      <c r="H266" s="16"/>
    </row>
    <row r="267" spans="2:8">
      <c r="B267" s="5"/>
      <c r="H267" s="16"/>
    </row>
    <row r="268" spans="2:8">
      <c r="B268" s="5"/>
      <c r="H268" s="16"/>
    </row>
    <row r="269" spans="2:8">
      <c r="B269" s="5"/>
      <c r="H269" s="16"/>
    </row>
    <row r="270" spans="2:8">
      <c r="B270" s="5"/>
      <c r="H270" s="16"/>
    </row>
    <row r="271" spans="2:8">
      <c r="B271" s="5"/>
      <c r="H271" s="16"/>
    </row>
    <row r="272" spans="2:8">
      <c r="B272" s="5"/>
      <c r="H272" s="16"/>
    </row>
    <row r="273" spans="2:8">
      <c r="B273" s="5"/>
      <c r="H273" s="16"/>
    </row>
    <row r="274" spans="2:8">
      <c r="B274" s="5"/>
      <c r="H274" s="16"/>
    </row>
    <row r="275" spans="2:8">
      <c r="B275" s="5"/>
      <c r="H275" s="16"/>
    </row>
    <row r="276" spans="2:8">
      <c r="B276" s="5"/>
      <c r="H276" s="16"/>
    </row>
    <row r="277" spans="2:8">
      <c r="B277" s="5"/>
      <c r="H277" s="16"/>
    </row>
    <row r="278" spans="2:8">
      <c r="B278" s="5"/>
      <c r="H278" s="16"/>
    </row>
    <row r="279" spans="2:8">
      <c r="B279" s="5"/>
      <c r="H279" s="16"/>
    </row>
    <row r="280" spans="2:8">
      <c r="B280" s="5"/>
      <c r="H280" s="16"/>
    </row>
    <row r="281" spans="2:8">
      <c r="B281" s="5"/>
      <c r="H281" s="16"/>
    </row>
    <row r="282" spans="2:8">
      <c r="B282" s="5"/>
      <c r="H282" s="16"/>
    </row>
    <row r="283" spans="2:8">
      <c r="B283" s="5"/>
      <c r="H283" s="16"/>
    </row>
    <row r="284" spans="2:8">
      <c r="B284" s="5"/>
      <c r="H284" s="16"/>
    </row>
    <row r="285" spans="2:8">
      <c r="B285" s="5"/>
      <c r="H285" s="16"/>
    </row>
    <row r="286" spans="2:8">
      <c r="B286" s="5"/>
      <c r="H286" s="16"/>
    </row>
    <row r="287" spans="2:8">
      <c r="B287" s="5"/>
      <c r="H287" s="16"/>
    </row>
    <row r="288" spans="2:8">
      <c r="B288" s="5"/>
      <c r="H288" s="16"/>
    </row>
    <row r="289" spans="2:8">
      <c r="B289" s="5"/>
      <c r="H289" s="16"/>
    </row>
    <row r="290" spans="2:8">
      <c r="B290" s="5"/>
      <c r="H290" s="16"/>
    </row>
    <row r="291" spans="2:8">
      <c r="B291" s="5"/>
      <c r="H291" s="16"/>
    </row>
    <row r="292" spans="2:8">
      <c r="B292" s="5"/>
      <c r="H292" s="16"/>
    </row>
    <row r="293" spans="2:8">
      <c r="B293" s="5"/>
      <c r="H293" s="16"/>
    </row>
    <row r="294" spans="2:8">
      <c r="B294" s="5"/>
      <c r="H294" s="16"/>
    </row>
    <row r="295" spans="2:8">
      <c r="B295" s="5"/>
      <c r="H295" s="16"/>
    </row>
    <row r="296" spans="2:8">
      <c r="B296" s="5"/>
      <c r="H296" s="16"/>
    </row>
    <row r="297" spans="2:8">
      <c r="B297" s="5"/>
      <c r="H297" s="16"/>
    </row>
    <row r="298" spans="2:8">
      <c r="B298" s="5"/>
      <c r="H298" s="16"/>
    </row>
    <row r="299" spans="2:8">
      <c r="B299" s="5"/>
      <c r="H299" s="16"/>
    </row>
    <row r="300" spans="2:8">
      <c r="B300" s="5"/>
      <c r="H300" s="16"/>
    </row>
    <row r="301" spans="2:8">
      <c r="B301" s="5"/>
      <c r="H301" s="16"/>
    </row>
    <row r="302" spans="2:8">
      <c r="B302" s="5"/>
      <c r="H302" s="16"/>
    </row>
    <row r="303" spans="2:8">
      <c r="B303" s="5"/>
      <c r="H303" s="16"/>
    </row>
    <row r="304" spans="2:8">
      <c r="B304" s="5"/>
      <c r="H304" s="16"/>
    </row>
    <row r="305" spans="2:8">
      <c r="B305" s="5"/>
      <c r="H305" s="16"/>
    </row>
    <row r="306" spans="2:8">
      <c r="B306" s="5"/>
      <c r="H306" s="16"/>
    </row>
    <row r="307" spans="2:8">
      <c r="B307" s="5"/>
      <c r="H307" s="16"/>
    </row>
    <row r="308" spans="2:8">
      <c r="B308" s="5"/>
      <c r="H308" s="16"/>
    </row>
    <row r="309" spans="2:8">
      <c r="B309" s="5"/>
      <c r="H309" s="16"/>
    </row>
    <row r="310" spans="2:8">
      <c r="B310" s="5"/>
      <c r="H310" s="16"/>
    </row>
    <row r="311" spans="2:8">
      <c r="B311" s="5"/>
      <c r="H311" s="16"/>
    </row>
    <row r="312" spans="2:8">
      <c r="B312" s="5"/>
      <c r="H312" s="16"/>
    </row>
    <row r="313" spans="2:8">
      <c r="B313" s="5"/>
      <c r="H313" s="16"/>
    </row>
    <row r="314" spans="2:8">
      <c r="B314" s="5"/>
      <c r="H314" s="16"/>
    </row>
    <row r="315" spans="2:8">
      <c r="B315" s="5"/>
      <c r="H315" s="16"/>
    </row>
    <row r="316" spans="2:8">
      <c r="B316" s="5"/>
      <c r="H316" s="16"/>
    </row>
    <row r="317" spans="2:8">
      <c r="B317" s="5"/>
      <c r="H317" s="16"/>
    </row>
    <row r="318" spans="2:8">
      <c r="B318" s="5"/>
      <c r="H318" s="16"/>
    </row>
    <row r="319" spans="2:8">
      <c r="B319" s="5"/>
      <c r="H319" s="16"/>
    </row>
    <row r="320" spans="2:8">
      <c r="B320" s="5"/>
      <c r="H320" s="16"/>
    </row>
    <row r="321" spans="2:8">
      <c r="B321" s="5"/>
      <c r="H321" s="16"/>
    </row>
    <row r="322" spans="2:8">
      <c r="B322" s="5"/>
      <c r="H322" s="16"/>
    </row>
    <row r="323" spans="2:8">
      <c r="B323" s="5"/>
      <c r="H323" s="16"/>
    </row>
    <row r="324" spans="2:8">
      <c r="B324" s="5"/>
      <c r="H324" s="16"/>
    </row>
    <row r="325" spans="2:8">
      <c r="B325" s="5"/>
      <c r="H325" s="16"/>
    </row>
    <row r="326" spans="2:8">
      <c r="B326" s="5"/>
      <c r="H326" s="16"/>
    </row>
    <row r="327" spans="2:8">
      <c r="B327" s="5"/>
      <c r="H327" s="16"/>
    </row>
    <row r="328" spans="2:8">
      <c r="B328" s="5"/>
      <c r="H328" s="16"/>
    </row>
    <row r="329" spans="2:8">
      <c r="B329" s="5"/>
      <c r="H329" s="16"/>
    </row>
    <row r="330" spans="2:8">
      <c r="B330" s="5"/>
      <c r="H330" s="16"/>
    </row>
    <row r="331" spans="2:8">
      <c r="B331" s="5"/>
      <c r="H331" s="16"/>
    </row>
    <row r="332" spans="2:8">
      <c r="B332" s="5"/>
      <c r="H332" s="16"/>
    </row>
    <row r="333" spans="2:8">
      <c r="B333" s="5"/>
      <c r="H333" s="16"/>
    </row>
    <row r="334" spans="2:8">
      <c r="B334" s="5"/>
      <c r="H334" s="16"/>
    </row>
    <row r="335" spans="2:8">
      <c r="B335" s="5"/>
      <c r="H335" s="16"/>
    </row>
    <row r="336" spans="2:8">
      <c r="B336" s="5"/>
      <c r="H336" s="16"/>
    </row>
    <row r="337" spans="2:8">
      <c r="B337" s="5"/>
      <c r="H337" s="16"/>
    </row>
    <row r="338" spans="2:8">
      <c r="B338" s="5"/>
      <c r="H338" s="16"/>
    </row>
    <row r="339" spans="2:8">
      <c r="B339" s="5"/>
      <c r="H339" s="16"/>
    </row>
    <row r="340" spans="2:8">
      <c r="B340" s="5"/>
      <c r="H340" s="16"/>
    </row>
    <row r="341" spans="2:8">
      <c r="B341" s="5"/>
      <c r="H341" s="16"/>
    </row>
    <row r="342" spans="2:8">
      <c r="B342" s="5"/>
      <c r="H342" s="16"/>
    </row>
    <row r="343" spans="2:8">
      <c r="B343" s="5"/>
      <c r="H343" s="16"/>
    </row>
    <row r="344" spans="2:8">
      <c r="B344" s="5"/>
      <c r="H344" s="16"/>
    </row>
    <row r="345" spans="2:8">
      <c r="B345" s="5"/>
      <c r="H345" s="16"/>
    </row>
    <row r="346" spans="2:8">
      <c r="B346" s="5"/>
      <c r="H346" s="16"/>
    </row>
    <row r="347" spans="2:8">
      <c r="B347" s="5"/>
      <c r="H347" s="16"/>
    </row>
    <row r="348" spans="2:8">
      <c r="B348" s="5"/>
      <c r="H348" s="16"/>
    </row>
    <row r="349" spans="2:8">
      <c r="B349" s="5"/>
      <c r="H349" s="16"/>
    </row>
    <row r="350" spans="2:8">
      <c r="B350" s="5"/>
      <c r="H350" s="16"/>
    </row>
    <row r="351" spans="2:8">
      <c r="B351" s="5"/>
      <c r="H351" s="16"/>
    </row>
    <row r="352" spans="2:8">
      <c r="B352" s="5"/>
      <c r="H352" s="16"/>
    </row>
    <row r="353" spans="2:8">
      <c r="B353" s="5"/>
      <c r="H353" s="16"/>
    </row>
    <row r="354" spans="2:8">
      <c r="B354" s="5"/>
      <c r="H354" s="16"/>
    </row>
    <row r="355" spans="2:8">
      <c r="B355" s="5"/>
      <c r="H355" s="16"/>
    </row>
    <row r="356" spans="2:8">
      <c r="B356" s="5"/>
      <c r="H356" s="16"/>
    </row>
    <row r="357" spans="2:8">
      <c r="B357" s="5"/>
      <c r="H357" s="16"/>
    </row>
    <row r="358" spans="2:8">
      <c r="B358" s="5"/>
      <c r="H358" s="16"/>
    </row>
    <row r="359" spans="2:8">
      <c r="B359" s="5"/>
      <c r="H359" s="16"/>
    </row>
    <row r="360" spans="2:8">
      <c r="B360" s="5"/>
      <c r="H360" s="16"/>
    </row>
    <row r="361" spans="2:8">
      <c r="B361" s="5"/>
      <c r="H361" s="16"/>
    </row>
    <row r="362" spans="2:8">
      <c r="B362" s="5"/>
      <c r="H362" s="16"/>
    </row>
    <row r="363" spans="2:8">
      <c r="B363" s="5"/>
      <c r="H363" s="16"/>
    </row>
    <row r="364" spans="2:8">
      <c r="B364" s="5"/>
      <c r="H364" s="16"/>
    </row>
    <row r="365" spans="2:8">
      <c r="B365" s="5"/>
      <c r="H365" s="16"/>
    </row>
    <row r="366" spans="2:8">
      <c r="B366" s="5"/>
      <c r="H366" s="16"/>
    </row>
    <row r="367" spans="2:8">
      <c r="B367" s="5"/>
      <c r="H367" s="16"/>
    </row>
    <row r="368" spans="2:8">
      <c r="B368" s="5"/>
      <c r="H368" s="16"/>
    </row>
    <row r="369" spans="2:8">
      <c r="B369" s="5"/>
      <c r="H369" s="16"/>
    </row>
    <row r="370" spans="2:8">
      <c r="B370" s="5"/>
      <c r="H370" s="16"/>
    </row>
    <row r="371" spans="2:8">
      <c r="B371" s="5"/>
      <c r="H371" s="16"/>
    </row>
    <row r="372" spans="2:8">
      <c r="B372" s="5"/>
      <c r="H372" s="16"/>
    </row>
    <row r="373" spans="2:8">
      <c r="B373" s="5"/>
      <c r="H373" s="16"/>
    </row>
    <row r="374" spans="2:8">
      <c r="B374" s="5"/>
      <c r="H374" s="16"/>
    </row>
    <row r="375" spans="2:8">
      <c r="B375" s="5"/>
      <c r="H375" s="16"/>
    </row>
    <row r="376" spans="2:8">
      <c r="B376" s="5"/>
      <c r="H376" s="16"/>
    </row>
    <row r="377" spans="2:8">
      <c r="B377" s="5"/>
      <c r="H377" s="16"/>
    </row>
    <row r="378" spans="2:8">
      <c r="B378" s="5"/>
      <c r="H378" s="16"/>
    </row>
    <row r="379" spans="2:8">
      <c r="B379" s="5"/>
      <c r="H379" s="16"/>
    </row>
    <row r="380" spans="2:8">
      <c r="B380" s="5"/>
      <c r="H380" s="16"/>
    </row>
    <row r="381" spans="2:8">
      <c r="B381" s="5"/>
      <c r="H381" s="16"/>
    </row>
    <row r="382" spans="2:8">
      <c r="B382" s="5"/>
      <c r="H382" s="16"/>
    </row>
    <row r="383" spans="2:8">
      <c r="B383" s="5"/>
      <c r="H383" s="16"/>
    </row>
    <row r="384" spans="2:8">
      <c r="B384" s="5"/>
      <c r="H384" s="16"/>
    </row>
    <row r="385" spans="2:8">
      <c r="B385" s="5"/>
      <c r="H385" s="16"/>
    </row>
    <row r="386" spans="2:8">
      <c r="B386" s="5"/>
      <c r="H386" s="16"/>
    </row>
    <row r="387" spans="2:8">
      <c r="B387" s="5"/>
      <c r="H387" s="16"/>
    </row>
    <row r="388" spans="2:8">
      <c r="B388" s="5"/>
      <c r="H388" s="16"/>
    </row>
    <row r="389" spans="2:8">
      <c r="B389" s="5"/>
      <c r="H389" s="16"/>
    </row>
    <row r="390" spans="2:8">
      <c r="B390" s="5"/>
      <c r="H390" s="16"/>
    </row>
    <row r="391" spans="2:8">
      <c r="B391" s="5"/>
      <c r="H391" s="16"/>
    </row>
    <row r="392" spans="2:8">
      <c r="B392" s="5"/>
      <c r="H392" s="16"/>
    </row>
    <row r="393" spans="2:8">
      <c r="B393" s="5"/>
      <c r="H393" s="16"/>
    </row>
    <row r="394" spans="2:8">
      <c r="B394" s="5"/>
      <c r="H394" s="16"/>
    </row>
    <row r="395" spans="2:8">
      <c r="B395" s="5"/>
      <c r="H395" s="16"/>
    </row>
    <row r="396" spans="2:8">
      <c r="B396" s="5"/>
      <c r="H396" s="16"/>
    </row>
    <row r="397" spans="2:8">
      <c r="B397" s="5"/>
      <c r="H397" s="16"/>
    </row>
    <row r="398" spans="2:8">
      <c r="B398" s="5"/>
      <c r="H398" s="16"/>
    </row>
    <row r="399" spans="2:8">
      <c r="B399" s="5"/>
      <c r="H399" s="16"/>
    </row>
    <row r="400" spans="2:8">
      <c r="B400" s="5"/>
      <c r="H400" s="16"/>
    </row>
    <row r="401" spans="2:8">
      <c r="B401" s="5"/>
      <c r="H401" s="16"/>
    </row>
    <row r="402" spans="2:8">
      <c r="B402" s="5"/>
      <c r="H402" s="16"/>
    </row>
    <row r="403" spans="2:8">
      <c r="B403" s="5"/>
      <c r="H403" s="16"/>
    </row>
    <row r="404" spans="2:8">
      <c r="B404" s="5"/>
      <c r="H404" s="16"/>
    </row>
    <row r="405" spans="2:8">
      <c r="B405" s="5"/>
      <c r="H405" s="16"/>
    </row>
    <row r="406" spans="2:8">
      <c r="B406" s="5"/>
      <c r="H406" s="16"/>
    </row>
    <row r="407" spans="2:8">
      <c r="B407" s="5"/>
      <c r="H407" s="16"/>
    </row>
    <row r="408" spans="2:8">
      <c r="B408" s="5"/>
      <c r="H408" s="16"/>
    </row>
    <row r="409" spans="2:8">
      <c r="B409" s="5"/>
      <c r="H409" s="16"/>
    </row>
    <row r="410" spans="2:8">
      <c r="B410" s="5"/>
      <c r="H410" s="16"/>
    </row>
    <row r="411" spans="2:8">
      <c r="B411" s="5"/>
      <c r="H411" s="16"/>
    </row>
    <row r="412" spans="2:8">
      <c r="B412" s="5"/>
      <c r="H412" s="16"/>
    </row>
    <row r="413" spans="2:8">
      <c r="B413" s="5"/>
      <c r="H413" s="16"/>
    </row>
    <row r="414" spans="2:8">
      <c r="B414" s="5"/>
      <c r="H414" s="16"/>
    </row>
    <row r="415" spans="2:8">
      <c r="B415" s="5"/>
      <c r="H415" s="16"/>
    </row>
    <row r="416" spans="2:8">
      <c r="B416" s="5"/>
      <c r="H416" s="16"/>
    </row>
    <row r="417" spans="2:8">
      <c r="B417" s="5"/>
      <c r="H417" s="16"/>
    </row>
    <row r="418" spans="2:8">
      <c r="B418" s="5"/>
      <c r="H418" s="16"/>
    </row>
    <row r="419" spans="2:8">
      <c r="B419" s="5"/>
      <c r="H419" s="16"/>
    </row>
    <row r="420" spans="2:8">
      <c r="B420" s="5"/>
      <c r="H420" s="16"/>
    </row>
    <row r="421" spans="2:8">
      <c r="B421" s="5"/>
      <c r="H421" s="16"/>
    </row>
    <row r="422" spans="2:8">
      <c r="B422" s="5"/>
      <c r="H422" s="16"/>
    </row>
    <row r="423" spans="2:8">
      <c r="B423" s="5"/>
      <c r="H423" s="16"/>
    </row>
    <row r="424" spans="2:8">
      <c r="B424" s="5"/>
      <c r="H424" s="16"/>
    </row>
    <row r="425" spans="2:8">
      <c r="B425" s="5"/>
      <c r="H425" s="16"/>
    </row>
    <row r="426" spans="2:8">
      <c r="B426" s="5"/>
      <c r="H426" s="16"/>
    </row>
    <row r="427" spans="2:8">
      <c r="B427" s="5"/>
      <c r="H427" s="16"/>
    </row>
    <row r="428" spans="2:8">
      <c r="B428" s="5"/>
      <c r="H428" s="16"/>
    </row>
    <row r="429" spans="2:8">
      <c r="B429" s="5"/>
      <c r="H429" s="16"/>
    </row>
    <row r="430" spans="2:8">
      <c r="B430" s="5"/>
      <c r="H430" s="16"/>
    </row>
    <row r="431" spans="2:8">
      <c r="B431" s="5"/>
      <c r="H431" s="16"/>
    </row>
    <row r="432" spans="2:8">
      <c r="B432" s="5"/>
      <c r="H432" s="16"/>
    </row>
    <row r="433" spans="2:8">
      <c r="B433" s="5"/>
      <c r="H433" s="16"/>
    </row>
    <row r="434" spans="2:8">
      <c r="B434" s="5"/>
      <c r="H434" s="16"/>
    </row>
    <row r="435" spans="2:8">
      <c r="B435" s="5"/>
      <c r="H435" s="16"/>
    </row>
    <row r="436" spans="2:8">
      <c r="B436" s="5"/>
      <c r="H436" s="16"/>
    </row>
    <row r="437" spans="2:8">
      <c r="B437" s="5"/>
      <c r="H437" s="16"/>
    </row>
    <row r="438" spans="2:8">
      <c r="B438" s="5"/>
      <c r="H438" s="16"/>
    </row>
    <row r="439" spans="2:8">
      <c r="B439" s="5"/>
      <c r="H439" s="16"/>
    </row>
    <row r="440" spans="2:8">
      <c r="B440" s="5"/>
      <c r="H440" s="16"/>
    </row>
    <row r="441" spans="2:8">
      <c r="B441" s="5"/>
      <c r="H441" s="16"/>
    </row>
    <row r="442" spans="2:8">
      <c r="B442" s="5"/>
      <c r="H442" s="16"/>
    </row>
    <row r="443" spans="2:8">
      <c r="B443" s="5"/>
      <c r="H443" s="16"/>
    </row>
    <row r="444" spans="2:8">
      <c r="B444" s="5"/>
      <c r="H444" s="16"/>
    </row>
    <row r="445" spans="2:8">
      <c r="B445" s="5"/>
      <c r="H445" s="16"/>
    </row>
    <row r="446" spans="2:8">
      <c r="B446" s="5"/>
      <c r="H446" s="16"/>
    </row>
    <row r="447" spans="2:8">
      <c r="B447" s="5"/>
      <c r="H447" s="16"/>
    </row>
    <row r="448" spans="2:8">
      <c r="B448" s="5"/>
      <c r="H448" s="16"/>
    </row>
    <row r="449" spans="2:8">
      <c r="B449" s="5"/>
      <c r="H449" s="16"/>
    </row>
    <row r="450" spans="2:8">
      <c r="B450" s="5"/>
      <c r="H450" s="16"/>
    </row>
    <row r="451" spans="2:8">
      <c r="B451" s="5"/>
      <c r="H451" s="16"/>
    </row>
    <row r="452" spans="2:8">
      <c r="B452" s="5"/>
      <c r="H452" s="16"/>
    </row>
    <row r="453" spans="2:8">
      <c r="B453" s="5"/>
      <c r="H453" s="16"/>
    </row>
    <row r="454" spans="2:8">
      <c r="B454" s="5"/>
      <c r="H454" s="16"/>
    </row>
    <row r="455" spans="2:8">
      <c r="B455" s="5"/>
      <c r="H455" s="16"/>
    </row>
    <row r="456" spans="2:8">
      <c r="B456" s="5"/>
      <c r="H456" s="16"/>
    </row>
    <row r="457" spans="2:8">
      <c r="B457" s="5"/>
      <c r="H457" s="16"/>
    </row>
    <row r="458" spans="2:8">
      <c r="B458" s="5"/>
      <c r="H458" s="16"/>
    </row>
    <row r="459" spans="2:8">
      <c r="B459" s="5"/>
      <c r="H459" s="16"/>
    </row>
    <row r="460" spans="2:8">
      <c r="B460" s="5"/>
      <c r="H460" s="16"/>
    </row>
    <row r="461" spans="2:8">
      <c r="B461" s="5"/>
      <c r="H461" s="16"/>
    </row>
    <row r="462" spans="2:8">
      <c r="B462" s="5"/>
      <c r="H462" s="16"/>
    </row>
    <row r="463" spans="2:8">
      <c r="B463" s="5"/>
      <c r="H463" s="16"/>
    </row>
    <row r="464" spans="2:8">
      <c r="B464" s="5"/>
      <c r="H464" s="16"/>
    </row>
    <row r="465" spans="2:8">
      <c r="B465" s="5"/>
      <c r="H465" s="16"/>
    </row>
    <row r="466" spans="2:8">
      <c r="B466" s="5"/>
      <c r="H466" s="16"/>
    </row>
    <row r="467" spans="2:8">
      <c r="B467" s="5"/>
      <c r="H467" s="16"/>
    </row>
    <row r="468" spans="2:8">
      <c r="B468" s="5"/>
      <c r="H468" s="16"/>
    </row>
    <row r="469" spans="2:8">
      <c r="B469" s="5"/>
      <c r="H469" s="16"/>
    </row>
    <row r="470" spans="2:8">
      <c r="B470" s="5"/>
      <c r="H470" s="16"/>
    </row>
    <row r="471" spans="2:8">
      <c r="B471" s="5"/>
      <c r="H471" s="16"/>
    </row>
    <row r="472" spans="2:8">
      <c r="B472" s="5"/>
      <c r="H472" s="16"/>
    </row>
    <row r="473" spans="2:8">
      <c r="B473" s="5"/>
      <c r="H473" s="16"/>
    </row>
    <row r="474" spans="2:8">
      <c r="B474" s="5"/>
      <c r="H474" s="16"/>
    </row>
    <row r="475" spans="2:8">
      <c r="B475" s="5"/>
      <c r="H475" s="16"/>
    </row>
    <row r="476" spans="2:8">
      <c r="B476" s="5"/>
      <c r="H476" s="16"/>
    </row>
    <row r="477" spans="2:8">
      <c r="B477" s="5"/>
      <c r="H477" s="16"/>
    </row>
    <row r="478" spans="2:8">
      <c r="B478" s="5"/>
      <c r="H478" s="16"/>
    </row>
    <row r="479" spans="2:8">
      <c r="B479" s="5"/>
      <c r="H479" s="16"/>
    </row>
    <row r="480" spans="2:8">
      <c r="B480" s="5"/>
      <c r="H480" s="16"/>
    </row>
    <row r="481" spans="2:8">
      <c r="B481" s="5"/>
      <c r="H481" s="16"/>
    </row>
    <row r="482" spans="2:8">
      <c r="B482" s="5"/>
      <c r="H482" s="16"/>
    </row>
    <row r="483" spans="2:8">
      <c r="B483" s="5"/>
      <c r="H483" s="16"/>
    </row>
    <row r="484" spans="2:8">
      <c r="B484" s="5"/>
      <c r="H484" s="16"/>
    </row>
    <row r="485" spans="2:8">
      <c r="B485" s="5"/>
      <c r="H485" s="16"/>
    </row>
    <row r="486" spans="2:8">
      <c r="B486" s="5"/>
      <c r="H486" s="16"/>
    </row>
    <row r="487" spans="2:8">
      <c r="B487" s="5"/>
      <c r="H487" s="16"/>
    </row>
    <row r="488" spans="2:8">
      <c r="B488" s="5"/>
      <c r="H488" s="16"/>
    </row>
    <row r="489" spans="2:8">
      <c r="B489" s="5"/>
      <c r="H489" s="16"/>
    </row>
    <row r="490" spans="2:8">
      <c r="B490" s="5"/>
      <c r="H490" s="16"/>
    </row>
    <row r="491" spans="2:8">
      <c r="B491" s="5"/>
      <c r="H491" s="16"/>
    </row>
    <row r="492" spans="2:8">
      <c r="B492" s="5"/>
      <c r="H492" s="16"/>
    </row>
    <row r="493" spans="2:8">
      <c r="B493" s="5"/>
      <c r="H493" s="16"/>
    </row>
    <row r="494" spans="2:8">
      <c r="B494" s="5"/>
      <c r="H494" s="16"/>
    </row>
    <row r="495" spans="2:8">
      <c r="B495" s="5"/>
      <c r="H495" s="16"/>
    </row>
    <row r="496" spans="2:8">
      <c r="B496" s="5"/>
      <c r="H496" s="16"/>
    </row>
    <row r="497" spans="2:8">
      <c r="B497" s="5"/>
      <c r="H497" s="16"/>
    </row>
    <row r="498" spans="2:8">
      <c r="B498" s="5"/>
      <c r="H498" s="16"/>
    </row>
    <row r="499" spans="2:8">
      <c r="B499" s="5"/>
      <c r="H499" s="16"/>
    </row>
    <row r="500" spans="2:8">
      <c r="B500" s="5"/>
      <c r="H500" s="16"/>
    </row>
    <row r="501" spans="2:8">
      <c r="B501" s="5"/>
      <c r="H501" s="16"/>
    </row>
    <row r="502" spans="2:8">
      <c r="B502" s="5"/>
      <c r="H502" s="16"/>
    </row>
    <row r="503" spans="2:8">
      <c r="B503" s="5"/>
      <c r="H503" s="16"/>
    </row>
    <row r="504" spans="2:8">
      <c r="B504" s="5"/>
      <c r="H504" s="16"/>
    </row>
    <row r="505" spans="2:8">
      <c r="B505" s="5"/>
      <c r="H505" s="16"/>
    </row>
    <row r="506" spans="2:8">
      <c r="B506" s="5"/>
      <c r="H506" s="16"/>
    </row>
    <row r="507" spans="2:8">
      <c r="B507" s="5"/>
      <c r="H507" s="16"/>
    </row>
    <row r="508" spans="2:8">
      <c r="B508" s="5"/>
      <c r="H508" s="16"/>
    </row>
    <row r="509" spans="2:8">
      <c r="B509" s="5"/>
      <c r="H509" s="16"/>
    </row>
    <row r="510" spans="2:8">
      <c r="B510" s="5"/>
      <c r="H510" s="16"/>
    </row>
    <row r="511" spans="2:8">
      <c r="B511" s="5"/>
      <c r="H511" s="16"/>
    </row>
    <row r="512" spans="2:8">
      <c r="B512" s="5"/>
      <c r="H512" s="16"/>
    </row>
    <row r="513" spans="2:8">
      <c r="B513" s="5"/>
      <c r="H513" s="16"/>
    </row>
    <row r="514" spans="2:8">
      <c r="B514" s="5"/>
      <c r="H514" s="16"/>
    </row>
    <row r="515" spans="2:8">
      <c r="B515" s="5"/>
      <c r="H515" s="16"/>
    </row>
    <row r="516" spans="2:8">
      <c r="B516" s="5"/>
      <c r="H516" s="16"/>
    </row>
    <row r="517" spans="2:8">
      <c r="B517" s="5"/>
      <c r="H517" s="16"/>
    </row>
    <row r="518" spans="2:8">
      <c r="B518" s="5"/>
      <c r="H518" s="16"/>
    </row>
    <row r="519" spans="2:8">
      <c r="B519" s="5"/>
      <c r="H519" s="16"/>
    </row>
    <row r="520" spans="2:8">
      <c r="B520" s="5"/>
      <c r="H520" s="16"/>
    </row>
    <row r="521" spans="2:8">
      <c r="B521" s="5"/>
      <c r="H521" s="16"/>
    </row>
    <row r="522" spans="2:8">
      <c r="B522" s="5"/>
      <c r="H522" s="16"/>
    </row>
    <row r="523" spans="2:8">
      <c r="B523" s="5"/>
      <c r="H523" s="16"/>
    </row>
    <row r="524" spans="2:8">
      <c r="B524" s="5"/>
      <c r="H524" s="16"/>
    </row>
    <row r="525" spans="2:8">
      <c r="B525" s="5"/>
      <c r="H525" s="16"/>
    </row>
    <row r="526" spans="2:8">
      <c r="B526" s="5"/>
      <c r="H526" s="16"/>
    </row>
    <row r="527" spans="2:8">
      <c r="B527" s="5"/>
      <c r="H527" s="16"/>
    </row>
    <row r="528" spans="2:8">
      <c r="B528" s="5"/>
      <c r="H528" s="16"/>
    </row>
    <row r="529" spans="2:8">
      <c r="B529" s="5"/>
      <c r="H529" s="16"/>
    </row>
    <row r="530" spans="2:8">
      <c r="B530" s="5"/>
      <c r="H530" s="16"/>
    </row>
    <row r="531" spans="2:8">
      <c r="B531" s="5"/>
      <c r="H531" s="16"/>
    </row>
    <row r="532" spans="2:8">
      <c r="B532" s="5"/>
      <c r="H532" s="16"/>
    </row>
    <row r="533" spans="2:8">
      <c r="B533" s="5"/>
      <c r="H533" s="16"/>
    </row>
    <row r="534" spans="2:8">
      <c r="B534" s="5"/>
      <c r="H534" s="16"/>
    </row>
    <row r="535" spans="2:8">
      <c r="B535" s="5"/>
      <c r="H535" s="16"/>
    </row>
    <row r="536" spans="2:8">
      <c r="B536" s="5"/>
      <c r="H536" s="16"/>
    </row>
    <row r="537" spans="2:8">
      <c r="B537" s="5"/>
      <c r="H537" s="16"/>
    </row>
    <row r="538" spans="2:8">
      <c r="B538" s="5"/>
      <c r="H538" s="16"/>
    </row>
    <row r="539" spans="2:8">
      <c r="B539" s="5"/>
      <c r="H539" s="16"/>
    </row>
    <row r="540" spans="2:8">
      <c r="B540" s="5"/>
      <c r="H540" s="16"/>
    </row>
    <row r="541" spans="2:8">
      <c r="B541" s="5"/>
      <c r="H541" s="16"/>
    </row>
    <row r="542" spans="2:8">
      <c r="B542" s="5"/>
      <c r="H542" s="16"/>
    </row>
    <row r="543" spans="2:8">
      <c r="B543" s="5"/>
      <c r="H543" s="16"/>
    </row>
    <row r="544" spans="2:8">
      <c r="B544" s="5"/>
      <c r="H544" s="16"/>
    </row>
    <row r="545" spans="2:8">
      <c r="B545" s="5"/>
      <c r="H545" s="16"/>
    </row>
    <row r="546" spans="2:8">
      <c r="B546" s="5"/>
      <c r="H546" s="16"/>
    </row>
    <row r="547" spans="2:8">
      <c r="B547" s="5"/>
      <c r="H547" s="16"/>
    </row>
    <row r="548" spans="2:8">
      <c r="B548" s="5"/>
      <c r="H548" s="16"/>
    </row>
    <row r="549" spans="2:8">
      <c r="B549" s="5"/>
      <c r="H549" s="16"/>
    </row>
    <row r="550" spans="2:8">
      <c r="B550" s="5"/>
      <c r="H550" s="16"/>
    </row>
    <row r="551" spans="2:8">
      <c r="B551" s="5"/>
      <c r="H551" s="16"/>
    </row>
    <row r="552" spans="2:8">
      <c r="B552" s="5"/>
      <c r="H552" s="16"/>
    </row>
    <row r="553" spans="2:8">
      <c r="B553" s="5"/>
      <c r="H553" s="16"/>
    </row>
    <row r="554" spans="2:8">
      <c r="B554" s="5"/>
      <c r="H554" s="16"/>
    </row>
    <row r="555" spans="2:8">
      <c r="B555" s="5"/>
      <c r="H555" s="16"/>
    </row>
    <row r="556" spans="2:8">
      <c r="B556" s="5"/>
      <c r="H556" s="16"/>
    </row>
    <row r="557" spans="2:8">
      <c r="B557" s="5"/>
      <c r="H557" s="16"/>
    </row>
    <row r="558" spans="2:8">
      <c r="B558" s="5"/>
      <c r="H558" s="16"/>
    </row>
    <row r="559" spans="2:8">
      <c r="B559" s="5"/>
      <c r="H559" s="16"/>
    </row>
    <row r="560" spans="2:8">
      <c r="B560" s="5"/>
      <c r="H560" s="16"/>
    </row>
    <row r="561" spans="2:8">
      <c r="B561" s="5"/>
      <c r="H561" s="16"/>
    </row>
    <row r="562" spans="2:8">
      <c r="B562" s="5"/>
      <c r="H562" s="16"/>
    </row>
    <row r="563" spans="2:8">
      <c r="B563" s="5"/>
      <c r="H563" s="16"/>
    </row>
    <row r="564" spans="2:8">
      <c r="B564" s="5"/>
      <c r="H564" s="16"/>
    </row>
    <row r="565" spans="2:8">
      <c r="B565" s="5"/>
      <c r="H565" s="16"/>
    </row>
    <row r="566" spans="2:8">
      <c r="B566" s="5"/>
      <c r="H566" s="16"/>
    </row>
    <row r="567" spans="2:8">
      <c r="B567" s="5"/>
      <c r="H567" s="16"/>
    </row>
    <row r="568" spans="2:8">
      <c r="B568" s="5"/>
      <c r="H568" s="16"/>
    </row>
    <row r="569" spans="2:8">
      <c r="B569" s="5"/>
      <c r="H569" s="16"/>
    </row>
    <row r="570" spans="2:8">
      <c r="B570" s="5"/>
      <c r="H570" s="16"/>
    </row>
    <row r="571" spans="2:8">
      <c r="B571" s="5"/>
      <c r="H571" s="16"/>
    </row>
    <row r="572" spans="2:8">
      <c r="B572" s="5"/>
      <c r="H572" s="16"/>
    </row>
    <row r="573" spans="2:8">
      <c r="B573" s="5"/>
      <c r="H573" s="16"/>
    </row>
    <row r="574" spans="2:8">
      <c r="B574" s="5"/>
      <c r="H574" s="16"/>
    </row>
    <row r="575" spans="2:8">
      <c r="B575" s="5"/>
      <c r="H575" s="16"/>
    </row>
    <row r="576" spans="2:8">
      <c r="B576" s="5"/>
      <c r="H576" s="16"/>
    </row>
    <row r="577" spans="2:8">
      <c r="B577" s="5"/>
      <c r="H577" s="16"/>
    </row>
    <row r="578" spans="2:8">
      <c r="B578" s="5"/>
      <c r="H578" s="16"/>
    </row>
    <row r="579" spans="2:8">
      <c r="B579" s="5"/>
      <c r="H579" s="16"/>
    </row>
    <row r="580" spans="2:8">
      <c r="B580" s="5"/>
      <c r="H580" s="16"/>
    </row>
    <row r="581" spans="2:8">
      <c r="B581" s="5"/>
      <c r="H581" s="16"/>
    </row>
    <row r="582" spans="2:8">
      <c r="B582" s="5"/>
      <c r="H582" s="16"/>
    </row>
    <row r="583" spans="2:8">
      <c r="B583" s="5"/>
      <c r="H583" s="16"/>
    </row>
    <row r="584" spans="2:8">
      <c r="B584" s="5"/>
      <c r="H584" s="16"/>
    </row>
    <row r="585" spans="2:8">
      <c r="B585" s="5"/>
      <c r="H585" s="16"/>
    </row>
    <row r="586" spans="2:8">
      <c r="B586" s="5"/>
      <c r="H586" s="16"/>
    </row>
    <row r="587" spans="2:8">
      <c r="B587" s="5"/>
      <c r="H587" s="16"/>
    </row>
    <row r="588" spans="2:8">
      <c r="B588" s="5"/>
      <c r="H588" s="16"/>
    </row>
    <row r="589" spans="2:8">
      <c r="B589" s="5"/>
      <c r="H589" s="16"/>
    </row>
    <row r="590" spans="2:8">
      <c r="B590" s="5"/>
      <c r="H590" s="16"/>
    </row>
    <row r="591" spans="2:8">
      <c r="B591" s="5"/>
      <c r="H591" s="16"/>
    </row>
    <row r="592" spans="2:8">
      <c r="B592" s="5"/>
      <c r="H592" s="16"/>
    </row>
    <row r="593" spans="2:8">
      <c r="B593" s="5"/>
      <c r="H593" s="16"/>
    </row>
    <row r="594" spans="2:8">
      <c r="B594" s="5"/>
      <c r="H594" s="16"/>
    </row>
    <row r="595" spans="2:8">
      <c r="B595" s="5"/>
      <c r="H595" s="16"/>
    </row>
    <row r="596" spans="2:8">
      <c r="B596" s="5"/>
      <c r="H596" s="16"/>
    </row>
    <row r="597" spans="2:8">
      <c r="B597" s="5"/>
      <c r="H597" s="16"/>
    </row>
    <row r="598" spans="2:8">
      <c r="B598" s="5"/>
      <c r="H598" s="16"/>
    </row>
    <row r="599" spans="2:8">
      <c r="B599" s="5"/>
      <c r="H599" s="16"/>
    </row>
    <row r="600" spans="2:8">
      <c r="B600" s="5"/>
      <c r="H600" s="16"/>
    </row>
    <row r="601" spans="2:8">
      <c r="B601" s="5"/>
      <c r="H601" s="16"/>
    </row>
    <row r="602" spans="2:8">
      <c r="B602" s="5"/>
      <c r="H602" s="16"/>
    </row>
    <row r="603" spans="2:8">
      <c r="B603" s="5"/>
      <c r="H603" s="16"/>
    </row>
    <row r="604" spans="2:8">
      <c r="B604" s="5"/>
      <c r="H604" s="16"/>
    </row>
    <row r="605" spans="2:8">
      <c r="B605" s="5"/>
      <c r="H605" s="16"/>
    </row>
    <row r="606" spans="2:8">
      <c r="B606" s="5"/>
      <c r="H606" s="16"/>
    </row>
    <row r="607" spans="2:8">
      <c r="B607" s="5"/>
      <c r="H607" s="16"/>
    </row>
    <row r="608" spans="2:8">
      <c r="B608" s="5"/>
      <c r="H608" s="16"/>
    </row>
    <row r="609" spans="2:8">
      <c r="B609" s="5"/>
      <c r="H609" s="16"/>
    </row>
    <row r="610" spans="2:8">
      <c r="B610" s="5"/>
      <c r="H610" s="16"/>
    </row>
    <row r="611" spans="2:8">
      <c r="B611" s="5"/>
      <c r="H611" s="16"/>
    </row>
    <row r="612" spans="2:8">
      <c r="B612" s="5"/>
      <c r="H612" s="16"/>
    </row>
    <row r="613" spans="2:8">
      <c r="B613" s="5"/>
      <c r="H613" s="16"/>
    </row>
    <row r="614" spans="2:8">
      <c r="B614" s="5"/>
      <c r="H614" s="16"/>
    </row>
    <row r="615" spans="2:8">
      <c r="B615" s="5"/>
      <c r="H615" s="16"/>
    </row>
    <row r="616" spans="2:8">
      <c r="B616" s="5"/>
      <c r="H616" s="16"/>
    </row>
    <row r="617" spans="2:8">
      <c r="B617" s="5"/>
      <c r="H617" s="16"/>
    </row>
    <row r="618" spans="2:8">
      <c r="B618" s="5"/>
      <c r="H618" s="16"/>
    </row>
    <row r="619" spans="2:8">
      <c r="B619" s="5"/>
      <c r="H619" s="16"/>
    </row>
    <row r="620" spans="2:8">
      <c r="B620" s="5"/>
      <c r="H620" s="16"/>
    </row>
    <row r="621" spans="2:8">
      <c r="B621" s="5"/>
      <c r="H621" s="16"/>
    </row>
    <row r="622" spans="2:8">
      <c r="B622" s="5"/>
      <c r="H622" s="16"/>
    </row>
    <row r="623" spans="2:8">
      <c r="B623" s="5"/>
      <c r="H623" s="16"/>
    </row>
    <row r="624" spans="2:8">
      <c r="B624" s="5"/>
      <c r="H624" s="16"/>
    </row>
    <row r="625" spans="2:8">
      <c r="B625" s="5"/>
      <c r="H625" s="16"/>
    </row>
    <row r="626" spans="2:8">
      <c r="B626" s="5"/>
      <c r="H626" s="16"/>
    </row>
    <row r="627" spans="2:8">
      <c r="B627" s="5"/>
      <c r="H627" s="16"/>
    </row>
    <row r="628" spans="2:8">
      <c r="B628" s="5"/>
      <c r="H628" s="16"/>
    </row>
    <row r="629" spans="2:8">
      <c r="B629" s="5"/>
      <c r="H629" s="16"/>
    </row>
    <row r="630" spans="2:8">
      <c r="B630" s="5"/>
      <c r="H630" s="16"/>
    </row>
    <row r="631" spans="2:8">
      <c r="B631" s="5"/>
      <c r="H631" s="16"/>
    </row>
    <row r="632" spans="2:8">
      <c r="B632" s="5"/>
      <c r="H632" s="16"/>
    </row>
    <row r="633" spans="2:8">
      <c r="B633" s="5"/>
      <c r="H633" s="16"/>
    </row>
    <row r="634" spans="2:8">
      <c r="B634" s="5"/>
      <c r="H634" s="16"/>
    </row>
    <row r="635" spans="2:8">
      <c r="B635" s="5"/>
      <c r="H635" s="16"/>
    </row>
    <row r="636" spans="2:8">
      <c r="B636" s="5"/>
      <c r="H636" s="16"/>
    </row>
    <row r="637" spans="2:8">
      <c r="B637" s="5"/>
      <c r="H637" s="16"/>
    </row>
    <row r="638" spans="2:8">
      <c r="B638" s="5"/>
      <c r="H638" s="16"/>
    </row>
    <row r="639" spans="2:8">
      <c r="B639" s="5"/>
      <c r="H639" s="16"/>
    </row>
    <row r="640" spans="2:8">
      <c r="B640" s="5"/>
      <c r="H640" s="16"/>
    </row>
    <row r="641" spans="2:8">
      <c r="B641" s="5"/>
      <c r="H641" s="16"/>
    </row>
    <row r="642" spans="2:8">
      <c r="B642" s="5"/>
      <c r="H642" s="16"/>
    </row>
    <row r="643" spans="2:8">
      <c r="B643" s="5"/>
      <c r="H643" s="16"/>
    </row>
    <row r="644" spans="2:8">
      <c r="B644" s="5"/>
      <c r="H644" s="16"/>
    </row>
    <row r="645" spans="2:8">
      <c r="B645" s="5"/>
      <c r="H645" s="16"/>
    </row>
    <row r="646" spans="2:8">
      <c r="B646" s="5"/>
      <c r="H646" s="16"/>
    </row>
    <row r="647" spans="2:8">
      <c r="B647" s="5"/>
      <c r="H647" s="16"/>
    </row>
    <row r="648" spans="2:8">
      <c r="B648" s="5"/>
      <c r="H648" s="16"/>
    </row>
    <row r="649" spans="2:8">
      <c r="B649" s="5"/>
      <c r="H649" s="16"/>
    </row>
    <row r="650" spans="2:8">
      <c r="B650" s="5"/>
      <c r="H650" s="16"/>
    </row>
    <row r="651" spans="2:8">
      <c r="B651" s="5"/>
      <c r="H651" s="16"/>
    </row>
    <row r="652" spans="2:8">
      <c r="B652" s="5"/>
      <c r="H652" s="16"/>
    </row>
    <row r="653" spans="2:8">
      <c r="B653" s="5"/>
      <c r="H653" s="16"/>
    </row>
    <row r="654" spans="2:8">
      <c r="B654" s="5"/>
      <c r="H654" s="16"/>
    </row>
    <row r="655" spans="2:8">
      <c r="B655" s="5"/>
      <c r="H655" s="16"/>
    </row>
    <row r="656" spans="2:8">
      <c r="B656" s="5"/>
      <c r="H656" s="16"/>
    </row>
    <row r="657" spans="2:8">
      <c r="B657" s="5"/>
      <c r="H657" s="16"/>
    </row>
    <row r="658" spans="2:8">
      <c r="B658" s="5"/>
      <c r="H658" s="16"/>
    </row>
    <row r="659" spans="2:8">
      <c r="B659" s="5"/>
      <c r="H659" s="16"/>
    </row>
    <row r="660" spans="2:8">
      <c r="B660" s="5"/>
      <c r="H660" s="16"/>
    </row>
    <row r="661" spans="2:8">
      <c r="B661" s="5"/>
      <c r="H661" s="16"/>
    </row>
    <row r="662" spans="2:8">
      <c r="B662" s="5"/>
      <c r="H662" s="16"/>
    </row>
    <row r="663" spans="2:8">
      <c r="B663" s="5"/>
      <c r="H663" s="16"/>
    </row>
    <row r="664" spans="2:8">
      <c r="B664" s="5"/>
      <c r="H664" s="16"/>
    </row>
    <row r="665" spans="2:8">
      <c r="B665" s="5"/>
      <c r="H665" s="16"/>
    </row>
    <row r="666" spans="2:8">
      <c r="B666" s="5"/>
      <c r="H666" s="16"/>
    </row>
    <row r="667" spans="2:8">
      <c r="B667" s="5"/>
      <c r="H667" s="16"/>
    </row>
    <row r="668" spans="2:8">
      <c r="B668" s="5"/>
      <c r="H668" s="16"/>
    </row>
    <row r="669" spans="2:8">
      <c r="B669" s="5"/>
      <c r="H669" s="16"/>
    </row>
    <row r="670" spans="2:8">
      <c r="B670" s="5"/>
      <c r="H670" s="16"/>
    </row>
    <row r="671" spans="2:8">
      <c r="B671" s="5"/>
      <c r="H671" s="16"/>
    </row>
    <row r="672" spans="2:8">
      <c r="B672" s="5"/>
      <c r="H672" s="16"/>
    </row>
    <row r="673" spans="2:8">
      <c r="B673" s="5"/>
      <c r="H673" s="16"/>
    </row>
    <row r="674" spans="2:8">
      <c r="B674" s="5"/>
      <c r="H674" s="16"/>
    </row>
    <row r="675" spans="2:8">
      <c r="B675" s="5"/>
      <c r="H675" s="16"/>
    </row>
    <row r="676" spans="2:8">
      <c r="B676" s="5"/>
      <c r="H676" s="16"/>
    </row>
    <row r="677" spans="2:8">
      <c r="B677" s="5"/>
      <c r="H677" s="16"/>
    </row>
    <row r="678" spans="2:8">
      <c r="B678" s="5"/>
      <c r="H678" s="16"/>
    </row>
    <row r="679" spans="2:8">
      <c r="B679" s="5"/>
      <c r="H679" s="16"/>
    </row>
    <row r="680" spans="2:8">
      <c r="B680" s="5"/>
      <c r="H680" s="16"/>
    </row>
    <row r="681" spans="2:8">
      <c r="B681" s="5"/>
      <c r="H681" s="16"/>
    </row>
    <row r="682" spans="2:8">
      <c r="B682" s="5"/>
      <c r="H682" s="16"/>
    </row>
    <row r="683" spans="2:8">
      <c r="B683" s="5"/>
      <c r="H683" s="16"/>
    </row>
    <row r="684" spans="2:8">
      <c r="B684" s="5"/>
      <c r="H684" s="16"/>
    </row>
    <row r="685" spans="2:8">
      <c r="B685" s="5"/>
      <c r="H685" s="16"/>
    </row>
    <row r="686" spans="2:8">
      <c r="B686" s="5"/>
      <c r="H686" s="16"/>
    </row>
    <row r="687" spans="2:8">
      <c r="B687" s="5"/>
      <c r="H687" s="16"/>
    </row>
    <row r="688" spans="2:8">
      <c r="B688" s="5"/>
      <c r="H688" s="16"/>
    </row>
    <row r="689" spans="2:8">
      <c r="B689" s="5"/>
      <c r="H689" s="16"/>
    </row>
    <row r="690" spans="2:8">
      <c r="B690" s="5"/>
      <c r="H690" s="16"/>
    </row>
    <row r="691" spans="2:8">
      <c r="B691" s="5"/>
      <c r="H691" s="16"/>
    </row>
    <row r="692" spans="2:8">
      <c r="B692" s="5"/>
      <c r="H692" s="16"/>
    </row>
    <row r="693" spans="2:8">
      <c r="B693" s="5"/>
      <c r="H693" s="16"/>
    </row>
    <row r="694" spans="2:8">
      <c r="B694" s="5"/>
      <c r="H694" s="16"/>
    </row>
    <row r="695" spans="2:8">
      <c r="B695" s="5"/>
      <c r="H695" s="16"/>
    </row>
    <row r="696" spans="2:8">
      <c r="B696" s="5"/>
      <c r="H696" s="16"/>
    </row>
    <row r="697" spans="2:8">
      <c r="B697" s="5"/>
      <c r="H697" s="16"/>
    </row>
    <row r="698" spans="2:8">
      <c r="B698" s="5"/>
      <c r="H698" s="16"/>
    </row>
    <row r="699" spans="2:8">
      <c r="B699" s="5"/>
      <c r="H699" s="16"/>
    </row>
    <row r="700" spans="2:8">
      <c r="B700" s="5"/>
      <c r="H700" s="16"/>
    </row>
    <row r="701" spans="2:8">
      <c r="B701" s="5"/>
      <c r="H701" s="16"/>
    </row>
    <row r="702" spans="2:8">
      <c r="B702" s="5"/>
      <c r="H702" s="16"/>
    </row>
    <row r="703" spans="2:8">
      <c r="B703" s="5"/>
      <c r="H703" s="16"/>
    </row>
    <row r="704" spans="2:8">
      <c r="B704" s="5"/>
      <c r="H704" s="16"/>
    </row>
    <row r="705" spans="2:8">
      <c r="B705" s="5"/>
      <c r="H705" s="16"/>
    </row>
    <row r="706" spans="2:8">
      <c r="B706" s="5"/>
      <c r="H706" s="16"/>
    </row>
    <row r="707" spans="2:8">
      <c r="B707" s="5"/>
      <c r="H707" s="16"/>
    </row>
    <row r="708" spans="2:8">
      <c r="B708" s="5"/>
      <c r="H708" s="16"/>
    </row>
    <row r="709" spans="2:8">
      <c r="B709" s="5"/>
      <c r="H709" s="16"/>
    </row>
    <row r="710" spans="2:8">
      <c r="B710" s="5"/>
      <c r="H710" s="16"/>
    </row>
    <row r="711" spans="2:8">
      <c r="B711" s="5"/>
      <c r="H711" s="16"/>
    </row>
    <row r="712" spans="2:8">
      <c r="B712" s="5"/>
      <c r="H712" s="16"/>
    </row>
    <row r="713" spans="2:8">
      <c r="B713" s="5"/>
      <c r="H713" s="16"/>
    </row>
    <row r="714" spans="2:8">
      <c r="B714" s="5"/>
      <c r="H714" s="16"/>
    </row>
    <row r="715" spans="2:8">
      <c r="B715" s="5"/>
      <c r="H715" s="16"/>
    </row>
    <row r="716" spans="2:8">
      <c r="B716" s="5"/>
      <c r="H716" s="16"/>
    </row>
    <row r="717" spans="2:8">
      <c r="B717" s="5"/>
      <c r="H717" s="16"/>
    </row>
    <row r="718" spans="2:8">
      <c r="B718" s="5"/>
      <c r="H718" s="16"/>
    </row>
    <row r="719" spans="2:8">
      <c r="B719" s="5"/>
      <c r="H719" s="16"/>
    </row>
    <row r="720" spans="2:8">
      <c r="B720" s="5"/>
      <c r="H720" s="16"/>
    </row>
    <row r="721" spans="2:8">
      <c r="B721" s="5"/>
      <c r="H721" s="16"/>
    </row>
    <row r="722" spans="2:8">
      <c r="B722" s="5"/>
      <c r="H722" s="16"/>
    </row>
    <row r="723" spans="2:8">
      <c r="B723" s="5"/>
      <c r="H723" s="16"/>
    </row>
    <row r="724" spans="2:8">
      <c r="B724" s="5"/>
      <c r="H724" s="16"/>
    </row>
    <row r="725" spans="2:8">
      <c r="B725" s="5"/>
      <c r="H725" s="16"/>
    </row>
    <row r="726" spans="2:8">
      <c r="B726" s="5"/>
      <c r="H726" s="16"/>
    </row>
    <row r="727" spans="2:8">
      <c r="B727" s="5"/>
      <c r="H727" s="16"/>
    </row>
    <row r="728" spans="2:8">
      <c r="B728" s="5"/>
      <c r="H728" s="16"/>
    </row>
    <row r="729" spans="2:8">
      <c r="B729" s="5"/>
      <c r="H729" s="16"/>
    </row>
    <row r="730" spans="2:8">
      <c r="B730" s="5"/>
      <c r="H730" s="16"/>
    </row>
    <row r="731" spans="2:8">
      <c r="B731" s="5"/>
      <c r="H731" s="16"/>
    </row>
    <row r="732" spans="2:8">
      <c r="B732" s="5"/>
      <c r="H732" s="16"/>
    </row>
    <row r="733" spans="2:8">
      <c r="B733" s="5"/>
      <c r="H733" s="16"/>
    </row>
    <row r="734" spans="2:8">
      <c r="B734" s="5"/>
      <c r="H734" s="16"/>
    </row>
    <row r="735" spans="2:8">
      <c r="B735" s="5"/>
      <c r="H735" s="16"/>
    </row>
    <row r="736" spans="2:8">
      <c r="B736" s="5"/>
      <c r="H736" s="16"/>
    </row>
    <row r="737" spans="2:8">
      <c r="B737" s="5"/>
      <c r="H737" s="16"/>
    </row>
    <row r="738" spans="2:8">
      <c r="B738" s="5"/>
      <c r="H738" s="16"/>
    </row>
    <row r="739" spans="2:8">
      <c r="B739" s="5"/>
      <c r="H739" s="16"/>
    </row>
    <row r="740" spans="2:8">
      <c r="B740" s="5"/>
      <c r="H740" s="16"/>
    </row>
    <row r="741" spans="2:8">
      <c r="B741" s="5"/>
      <c r="H741" s="16"/>
    </row>
    <row r="742" spans="2:8">
      <c r="B742" s="5"/>
      <c r="H742" s="16"/>
    </row>
    <row r="743" spans="2:8">
      <c r="B743" s="5"/>
      <c r="H743" s="16"/>
    </row>
    <row r="744" spans="2:8">
      <c r="B744" s="5"/>
      <c r="H744" s="16"/>
    </row>
    <row r="745" spans="2:8">
      <c r="B745" s="5"/>
      <c r="H745" s="16"/>
    </row>
    <row r="746" spans="2:8">
      <c r="B746" s="5"/>
      <c r="H746" s="16"/>
    </row>
    <row r="747" spans="2:8">
      <c r="B747" s="5"/>
      <c r="H747" s="16"/>
    </row>
    <row r="748" spans="2:8">
      <c r="B748" s="5"/>
      <c r="H748" s="16"/>
    </row>
    <row r="749" spans="2:8">
      <c r="B749" s="5"/>
      <c r="H749" s="16"/>
    </row>
    <row r="750" spans="2:8">
      <c r="B750" s="5"/>
      <c r="H750" s="16"/>
    </row>
    <row r="751" spans="2:8">
      <c r="B751" s="5"/>
      <c r="H751" s="16"/>
    </row>
    <row r="752" spans="2:8">
      <c r="B752" s="5"/>
      <c r="H752" s="16"/>
    </row>
    <row r="753" spans="2:8">
      <c r="B753" s="5"/>
      <c r="H753" s="16"/>
    </row>
    <row r="754" spans="2:8">
      <c r="B754" s="5"/>
      <c r="H754" s="16"/>
    </row>
    <row r="755" spans="2:8">
      <c r="B755" s="5"/>
      <c r="H755" s="16"/>
    </row>
    <row r="756" spans="2:8">
      <c r="B756" s="5"/>
      <c r="H756" s="16"/>
    </row>
    <row r="757" spans="2:8">
      <c r="B757" s="5"/>
      <c r="H757" s="16"/>
    </row>
    <row r="758" spans="2:8">
      <c r="B758" s="5"/>
      <c r="H758" s="16"/>
    </row>
    <row r="759" spans="2:8">
      <c r="B759" s="5"/>
      <c r="H759" s="16"/>
    </row>
    <row r="760" spans="2:8">
      <c r="B760" s="5"/>
      <c r="H760" s="16"/>
    </row>
    <row r="761" spans="2:8">
      <c r="B761" s="5"/>
      <c r="H761" s="16"/>
    </row>
    <row r="762" spans="2:8">
      <c r="B762" s="5"/>
      <c r="H762" s="16"/>
    </row>
    <row r="763" spans="2:8">
      <c r="B763" s="5"/>
      <c r="H763" s="16"/>
    </row>
    <row r="764" spans="2:8">
      <c r="B764" s="5"/>
      <c r="H764" s="16"/>
    </row>
    <row r="765" spans="2:8">
      <c r="B765" s="5"/>
      <c r="H765" s="16"/>
    </row>
    <row r="766" spans="2:8">
      <c r="B766" s="5"/>
      <c r="H766" s="16"/>
    </row>
    <row r="767" spans="2:8">
      <c r="B767" s="5"/>
      <c r="H767" s="16"/>
    </row>
    <row r="768" spans="2:8">
      <c r="B768" s="5"/>
      <c r="H768" s="16"/>
    </row>
    <row r="769" spans="2:8">
      <c r="B769" s="5"/>
      <c r="H769" s="16"/>
    </row>
    <row r="770" spans="2:8">
      <c r="B770" s="5"/>
      <c r="H770" s="16"/>
    </row>
    <row r="771" spans="2:8">
      <c r="B771" s="5"/>
      <c r="H771" s="16"/>
    </row>
    <row r="772" spans="2:8">
      <c r="B772" s="5"/>
      <c r="H772" s="16"/>
    </row>
    <row r="773" spans="2:8">
      <c r="B773" s="5"/>
      <c r="H773" s="16"/>
    </row>
    <row r="774" spans="2:8">
      <c r="B774" s="5"/>
      <c r="H774" s="16"/>
    </row>
    <row r="775" spans="2:8">
      <c r="B775" s="5"/>
      <c r="H775" s="16"/>
    </row>
    <row r="776" spans="2:8">
      <c r="B776" s="5"/>
      <c r="H776" s="16"/>
    </row>
    <row r="777" spans="2:8">
      <c r="B777" s="5"/>
      <c r="H777" s="16"/>
    </row>
    <row r="778" spans="2:8">
      <c r="B778" s="5"/>
      <c r="H778" s="16"/>
    </row>
    <row r="779" spans="2:8">
      <c r="B779" s="5"/>
      <c r="H779" s="16"/>
    </row>
    <row r="780" spans="2:8">
      <c r="B780" s="5"/>
      <c r="H780" s="16"/>
    </row>
    <row r="781" spans="2:8">
      <c r="B781" s="5"/>
      <c r="H781" s="16"/>
    </row>
    <row r="782" spans="2:8">
      <c r="B782" s="5"/>
      <c r="H782" s="16"/>
    </row>
    <row r="783" spans="2:8">
      <c r="B783" s="5"/>
      <c r="H783" s="16"/>
    </row>
    <row r="784" spans="2:8">
      <c r="B784" s="5"/>
      <c r="H784" s="16"/>
    </row>
    <row r="785" spans="2:8">
      <c r="B785" s="5"/>
      <c r="H785" s="16"/>
    </row>
    <row r="786" spans="2:8">
      <c r="B786" s="5"/>
      <c r="H786" s="16"/>
    </row>
    <row r="787" spans="2:8">
      <c r="B787" s="5"/>
      <c r="H787" s="16"/>
    </row>
    <row r="788" spans="2:8">
      <c r="B788" s="5"/>
      <c r="H788" s="16"/>
    </row>
    <row r="789" spans="2:8">
      <c r="B789" s="5"/>
      <c r="H789" s="16"/>
    </row>
    <row r="790" spans="2:8">
      <c r="B790" s="5"/>
      <c r="H790" s="16"/>
    </row>
    <row r="791" spans="2:8">
      <c r="B791" s="5"/>
      <c r="H791" s="16"/>
    </row>
    <row r="792" spans="2:8">
      <c r="B792" s="5"/>
      <c r="H792" s="16"/>
    </row>
    <row r="793" spans="2:8">
      <c r="B793" s="5"/>
      <c r="H793" s="16"/>
    </row>
    <row r="794" spans="2:8">
      <c r="B794" s="5"/>
      <c r="H794" s="16"/>
    </row>
    <row r="795" spans="2:8">
      <c r="B795" s="5"/>
      <c r="H795" s="16"/>
    </row>
    <row r="796" spans="2:8">
      <c r="B796" s="5"/>
      <c r="H796" s="16"/>
    </row>
    <row r="797" spans="2:8">
      <c r="B797" s="5"/>
      <c r="H797" s="16"/>
    </row>
    <row r="798" spans="2:8">
      <c r="B798" s="5"/>
      <c r="H798" s="16"/>
    </row>
    <row r="799" spans="2:8">
      <c r="B799" s="5"/>
      <c r="H799" s="16"/>
    </row>
    <row r="800" spans="2:8">
      <c r="B800" s="5"/>
      <c r="H800" s="16"/>
    </row>
    <row r="801" spans="2:8">
      <c r="B801" s="5"/>
      <c r="H801" s="16"/>
    </row>
    <row r="802" spans="2:8">
      <c r="B802" s="5"/>
      <c r="H802" s="16"/>
    </row>
    <row r="803" spans="2:8">
      <c r="B803" s="5"/>
      <c r="H803" s="16"/>
    </row>
    <row r="804" spans="2:8">
      <c r="B804" s="5"/>
      <c r="H804" s="16"/>
    </row>
    <row r="805" spans="2:8">
      <c r="B805" s="5"/>
      <c r="H805" s="16"/>
    </row>
    <row r="806" spans="2:8">
      <c r="B806" s="5"/>
      <c r="H806" s="16"/>
    </row>
    <row r="807" spans="2:8">
      <c r="B807" s="5"/>
      <c r="H807" s="16"/>
    </row>
    <row r="808" spans="2:8">
      <c r="B808" s="5"/>
      <c r="H808" s="16"/>
    </row>
    <row r="809" spans="2:8">
      <c r="B809" s="5"/>
      <c r="H809" s="16"/>
    </row>
    <row r="810" spans="2:8">
      <c r="B810" s="5"/>
      <c r="H810" s="16"/>
    </row>
    <row r="811" spans="2:8">
      <c r="B811" s="5"/>
      <c r="H811" s="16"/>
    </row>
    <row r="812" spans="2:8">
      <c r="B812" s="5"/>
      <c r="H812" s="16"/>
    </row>
    <row r="813" spans="2:8">
      <c r="B813" s="5"/>
      <c r="H813" s="16"/>
    </row>
    <row r="814" spans="2:8">
      <c r="B814" s="5"/>
      <c r="H814" s="16"/>
    </row>
    <row r="815" spans="2:8">
      <c r="B815" s="5"/>
      <c r="H815" s="16"/>
    </row>
    <row r="816" spans="2:8">
      <c r="B816" s="5"/>
      <c r="H816" s="16"/>
    </row>
    <row r="817" spans="2:8">
      <c r="B817" s="5"/>
      <c r="H817" s="16"/>
    </row>
    <row r="818" spans="2:8">
      <c r="B818" s="5"/>
      <c r="H818" s="16"/>
    </row>
    <row r="819" spans="2:8">
      <c r="B819" s="5"/>
      <c r="H819" s="16"/>
    </row>
    <row r="820" spans="2:8">
      <c r="B820" s="5"/>
      <c r="H820" s="16"/>
    </row>
    <row r="821" spans="2:8">
      <c r="B821" s="5"/>
      <c r="H821" s="16"/>
    </row>
    <row r="822" spans="2:8">
      <c r="B822" s="5"/>
      <c r="H822" s="16"/>
    </row>
    <row r="823" spans="2:8">
      <c r="B823" s="5"/>
      <c r="H823" s="16"/>
    </row>
    <row r="824" spans="2:8">
      <c r="B824" s="5"/>
      <c r="H824" s="16"/>
    </row>
    <row r="825" spans="2:8">
      <c r="B825" s="5"/>
      <c r="H825" s="16"/>
    </row>
    <row r="826" spans="2:8">
      <c r="B826" s="5"/>
      <c r="H826" s="16"/>
    </row>
    <row r="827" spans="2:8">
      <c r="B827" s="5"/>
      <c r="H827" s="16"/>
    </row>
    <row r="828" spans="2:8">
      <c r="B828" s="5"/>
      <c r="H828" s="16"/>
    </row>
    <row r="829" spans="2:8">
      <c r="B829" s="5"/>
      <c r="H829" s="16"/>
    </row>
    <row r="830" spans="2:8">
      <c r="B830" s="5"/>
      <c r="H830" s="16"/>
    </row>
    <row r="831" spans="2:8">
      <c r="B831" s="5"/>
      <c r="H831" s="16"/>
    </row>
    <row r="832" spans="2:8">
      <c r="B832" s="5"/>
      <c r="H832" s="16"/>
    </row>
    <row r="833" spans="2:8">
      <c r="B833" s="5"/>
      <c r="H833" s="16"/>
    </row>
    <row r="834" spans="2:8">
      <c r="B834" s="5"/>
      <c r="H834" s="16"/>
    </row>
    <row r="835" spans="2:8">
      <c r="B835" s="5"/>
      <c r="H835" s="16"/>
    </row>
    <row r="836" spans="2:8">
      <c r="B836" s="5"/>
      <c r="H836" s="16"/>
    </row>
    <row r="837" spans="2:8">
      <c r="B837" s="5"/>
      <c r="H837" s="16"/>
    </row>
    <row r="838" spans="2:8">
      <c r="B838" s="5"/>
      <c r="H838" s="16"/>
    </row>
    <row r="839" spans="2:8">
      <c r="B839" s="5"/>
      <c r="H839" s="16"/>
    </row>
    <row r="840" spans="2:8">
      <c r="B840" s="5"/>
      <c r="H840" s="16"/>
    </row>
    <row r="841" spans="2:8">
      <c r="B841" s="5"/>
      <c r="H841" s="16"/>
    </row>
    <row r="842" spans="2:8">
      <c r="B842" s="5"/>
      <c r="H842" s="16"/>
    </row>
    <row r="843" spans="2:8">
      <c r="B843" s="5"/>
      <c r="H843" s="16"/>
    </row>
    <row r="844" spans="2:8">
      <c r="B844" s="5"/>
      <c r="H844" s="16"/>
    </row>
    <row r="845" spans="2:8">
      <c r="B845" s="5"/>
      <c r="H845" s="16"/>
    </row>
    <row r="846" spans="2:8">
      <c r="B846" s="5"/>
      <c r="H846" s="16"/>
    </row>
    <row r="847" spans="2:8">
      <c r="B847" s="5"/>
      <c r="H847" s="16"/>
    </row>
    <row r="848" spans="2:8">
      <c r="B848" s="5"/>
      <c r="H848" s="16"/>
    </row>
    <row r="849" spans="2:8">
      <c r="B849" s="5"/>
      <c r="H849" s="16"/>
    </row>
    <row r="850" spans="2:8">
      <c r="B850" s="5"/>
      <c r="H850" s="16"/>
    </row>
    <row r="851" spans="2:8">
      <c r="B851" s="5"/>
      <c r="H851" s="16"/>
    </row>
    <row r="852" spans="2:8">
      <c r="B852" s="5"/>
      <c r="H852" s="16"/>
    </row>
    <row r="853" spans="2:8">
      <c r="B853" s="5"/>
      <c r="H853" s="16"/>
    </row>
    <row r="854" spans="2:8">
      <c r="B854" s="5"/>
      <c r="H854" s="16"/>
    </row>
    <row r="855" spans="2:8">
      <c r="B855" s="5"/>
      <c r="H855" s="16"/>
    </row>
    <row r="856" spans="2:8">
      <c r="B856" s="5"/>
      <c r="H856" s="16"/>
    </row>
    <row r="857" spans="2:8">
      <c r="B857" s="5"/>
      <c r="H857" s="16"/>
    </row>
    <row r="858" spans="2:8">
      <c r="B858" s="5"/>
      <c r="H858" s="16"/>
    </row>
    <row r="859" spans="2:8">
      <c r="B859" s="5"/>
      <c r="H859" s="16"/>
    </row>
    <row r="860" spans="2:8">
      <c r="B860" s="5"/>
      <c r="H860" s="16"/>
    </row>
    <row r="861" spans="2:8">
      <c r="B861" s="5"/>
      <c r="H861" s="16"/>
    </row>
    <row r="862" spans="2:8">
      <c r="B862" s="5"/>
      <c r="H862" s="16"/>
    </row>
    <row r="863" spans="2:8">
      <c r="B863" s="5"/>
      <c r="H863" s="16"/>
    </row>
    <row r="864" spans="2:8">
      <c r="B864" s="5"/>
      <c r="H864" s="16"/>
    </row>
    <row r="865" spans="2:8">
      <c r="B865" s="5"/>
      <c r="H865" s="16"/>
    </row>
    <row r="866" spans="2:8">
      <c r="B866" s="5"/>
      <c r="H866" s="16"/>
    </row>
    <row r="867" spans="2:8">
      <c r="B867" s="5"/>
      <c r="H867" s="16"/>
    </row>
    <row r="868" spans="2:8">
      <c r="B868" s="5"/>
      <c r="H868" s="16"/>
    </row>
    <row r="869" spans="2:8">
      <c r="B869" s="5"/>
      <c r="H869" s="16"/>
    </row>
    <row r="870" spans="2:8">
      <c r="B870" s="5"/>
      <c r="H870" s="16"/>
    </row>
    <row r="871" spans="2:8">
      <c r="B871" s="5"/>
      <c r="H871" s="16"/>
    </row>
    <row r="872" spans="2:8">
      <c r="B872" s="5"/>
      <c r="H872" s="16"/>
    </row>
    <row r="873" spans="2:8">
      <c r="B873" s="5"/>
      <c r="H873" s="16"/>
    </row>
    <row r="874" spans="2:8">
      <c r="B874" s="5"/>
      <c r="H874" s="16"/>
    </row>
    <row r="875" spans="2:8">
      <c r="B875" s="5"/>
      <c r="H875" s="16"/>
    </row>
    <row r="876" spans="2:8">
      <c r="B876" s="5"/>
      <c r="H876" s="16"/>
    </row>
    <row r="877" spans="2:8">
      <c r="B877" s="5"/>
      <c r="H877" s="16"/>
    </row>
    <row r="878" spans="2:8">
      <c r="B878" s="5"/>
      <c r="H878" s="16"/>
    </row>
    <row r="879" spans="2:8">
      <c r="B879" s="5"/>
      <c r="H879" s="16"/>
    </row>
    <row r="880" spans="2:8">
      <c r="B880" s="5"/>
      <c r="H880" s="16"/>
    </row>
    <row r="881" spans="2:8">
      <c r="B881" s="5"/>
      <c r="H881" s="16"/>
    </row>
    <row r="882" spans="2:8">
      <c r="B882" s="5"/>
      <c r="H882" s="16"/>
    </row>
    <row r="883" spans="2:8">
      <c r="B883" s="5"/>
      <c r="H883" s="16"/>
    </row>
    <row r="884" spans="2:8">
      <c r="B884" s="5"/>
      <c r="H884" s="16"/>
    </row>
    <row r="885" spans="2:8">
      <c r="B885" s="5"/>
      <c r="H885" s="16"/>
    </row>
    <row r="886" spans="2:8">
      <c r="B886" s="5"/>
      <c r="H886" s="16"/>
    </row>
    <row r="887" spans="2:8">
      <c r="B887" s="5"/>
      <c r="H887" s="16"/>
    </row>
    <row r="888" spans="2:8">
      <c r="B888" s="5"/>
      <c r="H888" s="16"/>
    </row>
    <row r="889" spans="2:8">
      <c r="B889" s="5"/>
      <c r="H889" s="16"/>
    </row>
    <row r="890" spans="2:8">
      <c r="B890" s="5"/>
      <c r="H890" s="16"/>
    </row>
    <row r="891" spans="2:8">
      <c r="B891" s="5"/>
      <c r="H891" s="16"/>
    </row>
    <row r="892" spans="2:8">
      <c r="B892" s="5"/>
      <c r="H892" s="16"/>
    </row>
  </sheetData>
  <mergeCells count="27">
    <mergeCell ref="C50:F50"/>
    <mergeCell ref="G50:H50"/>
    <mergeCell ref="C47:F47"/>
    <mergeCell ref="G47:H47"/>
    <mergeCell ref="C48:F48"/>
    <mergeCell ref="G48:H48"/>
    <mergeCell ref="C49:F49"/>
    <mergeCell ref="G49:H49"/>
    <mergeCell ref="C44:F44"/>
    <mergeCell ref="G44:H44"/>
    <mergeCell ref="C45:F45"/>
    <mergeCell ref="G45:H45"/>
    <mergeCell ref="C46:F46"/>
    <mergeCell ref="G46:H46"/>
    <mergeCell ref="C43:F43"/>
    <mergeCell ref="G43:H43"/>
    <mergeCell ref="A4:H4"/>
    <mergeCell ref="A10:F10"/>
    <mergeCell ref="A17:F17"/>
    <mergeCell ref="A23:F23"/>
    <mergeCell ref="A29:F29"/>
    <mergeCell ref="A35:F35"/>
    <mergeCell ref="A38:F38"/>
    <mergeCell ref="C41:F41"/>
    <mergeCell ref="G41:H41"/>
    <mergeCell ref="C42:F42"/>
    <mergeCell ref="G42:H42"/>
  </mergeCells>
  <phoneticPr fontId="24" type="noConversion"/>
  <dataValidations count="1">
    <dataValidation type="list" allowBlank="1" showInputMessage="1" showErrorMessage="1" sqref="B42:B48" xr:uid="{AE4D46FE-847F-49C5-9EAD-41D2846D6AF7}">
      <formula1>$L$41:$L$45</formula1>
    </dataValidation>
  </dataValidations>
  <pageMargins left="0.7" right="0.7" top="0.75" bottom="0.75" header="0.3" footer="0.3"/>
  <pageSetup scale="52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C8F8E-853F-4416-B5CC-F64F3821732F}">
  <sheetPr>
    <pageSetUpPr fitToPage="1"/>
  </sheetPr>
  <dimension ref="A1:L892"/>
  <sheetViews>
    <sheetView showZeros="0" view="pageBreakPreview" zoomScale="60" zoomScaleNormal="70" workbookViewId="0">
      <selection activeCell="A11" sqref="A11"/>
    </sheetView>
  </sheetViews>
  <sheetFormatPr defaultColWidth="10.875" defaultRowHeight="18.75"/>
  <cols>
    <col min="1" max="1" width="35.625" customWidth="1"/>
    <col min="2" max="2" width="14.625" style="16" customWidth="1"/>
    <col min="3" max="7" width="15.875" style="5" customWidth="1"/>
    <col min="8" max="8" width="15.875" style="17" customWidth="1"/>
    <col min="9" max="9" width="9" style="5"/>
    <col min="10" max="12" width="0" style="5" hidden="1" customWidth="1"/>
    <col min="13" max="16384" width="10.875" style="5"/>
  </cols>
  <sheetData>
    <row r="1" spans="1:10" customFormat="1" ht="15.75">
      <c r="A1" s="41"/>
      <c r="B1" s="42"/>
      <c r="C1" s="43"/>
      <c r="D1" s="43"/>
      <c r="E1" s="45" t="s">
        <v>25</v>
      </c>
      <c r="F1" s="43"/>
      <c r="G1" s="45" t="s">
        <v>26</v>
      </c>
      <c r="H1" s="44">
        <v>6</v>
      </c>
    </row>
    <row r="2" spans="1:10">
      <c r="A2" s="30"/>
      <c r="B2" s="18" t="s">
        <v>27</v>
      </c>
      <c r="C2" s="19" t="s">
        <v>28</v>
      </c>
      <c r="D2" s="19" t="s">
        <v>29</v>
      </c>
      <c r="E2" s="18" t="s">
        <v>30</v>
      </c>
      <c r="F2" s="18" t="s">
        <v>31</v>
      </c>
      <c r="G2" s="18" t="s">
        <v>32</v>
      </c>
      <c r="H2" s="18" t="s">
        <v>33</v>
      </c>
    </row>
    <row r="3" spans="1:10" ht="21" customHeight="1">
      <c r="A3" s="31" t="s">
        <v>7</v>
      </c>
      <c r="B3" s="6">
        <f>'Week. 7'!H3+1</f>
        <v>46075</v>
      </c>
      <c r="C3" s="6">
        <f>B3+1</f>
        <v>46076</v>
      </c>
      <c r="D3" s="6">
        <f>C3+1</f>
        <v>46077</v>
      </c>
      <c r="E3" s="6">
        <f>D3+1</f>
        <v>46078</v>
      </c>
      <c r="F3" s="6">
        <f t="shared" ref="D3:H3" si="0">E3+1</f>
        <v>46079</v>
      </c>
      <c r="G3" s="6">
        <f t="shared" si="0"/>
        <v>46080</v>
      </c>
      <c r="H3" s="6">
        <f t="shared" si="0"/>
        <v>46081</v>
      </c>
    </row>
    <row r="4" spans="1:10" s="7" customFormat="1">
      <c r="A4" s="181" t="s">
        <v>135</v>
      </c>
      <c r="B4" s="181"/>
      <c r="C4" s="181"/>
      <c r="D4" s="181"/>
      <c r="E4" s="181"/>
      <c r="F4" s="181"/>
      <c r="G4" s="181"/>
      <c r="H4" s="181"/>
    </row>
    <row r="5" spans="1:10" s="7" customFormat="1" ht="26.1" customHeight="1">
      <c r="A5" s="32" t="s">
        <v>8</v>
      </c>
      <c r="B5" s="27"/>
      <c r="C5" s="27"/>
      <c r="D5" s="27"/>
      <c r="E5" s="27"/>
      <c r="F5" s="27"/>
      <c r="G5" s="27"/>
      <c r="H5" s="27"/>
    </row>
    <row r="6" spans="1:10" s="7" customFormat="1" ht="26.1" customHeight="1">
      <c r="A6" s="4" t="s">
        <v>23</v>
      </c>
      <c r="B6" s="62"/>
      <c r="C6" s="62"/>
      <c r="D6" s="62"/>
      <c r="E6" s="62"/>
      <c r="F6" s="62"/>
      <c r="G6" s="62"/>
      <c r="H6" s="62"/>
    </row>
    <row r="7" spans="1:10" s="7" customFormat="1" ht="21.95" customHeight="1">
      <c r="A7" s="32" t="s">
        <v>35</v>
      </c>
      <c r="B7" s="27"/>
      <c r="C7" s="28"/>
      <c r="D7" s="28"/>
      <c r="E7" s="28"/>
      <c r="F7" s="28"/>
      <c r="G7" s="28"/>
      <c r="H7" s="27"/>
    </row>
    <row r="8" spans="1:10" s="7" customFormat="1" ht="24.95" customHeight="1">
      <c r="A8" s="83" t="s">
        <v>36</v>
      </c>
      <c r="B8" s="84">
        <f t="shared" ref="B8:H8" si="1">B5+B6+B7</f>
        <v>0</v>
      </c>
      <c r="C8" s="84">
        <f t="shared" si="1"/>
        <v>0</v>
      </c>
      <c r="D8" s="84">
        <f t="shared" si="1"/>
        <v>0</v>
      </c>
      <c r="E8" s="84">
        <f t="shared" si="1"/>
        <v>0</v>
      </c>
      <c r="F8" s="84">
        <f t="shared" si="1"/>
        <v>0</v>
      </c>
      <c r="G8" s="84">
        <f t="shared" si="1"/>
        <v>0</v>
      </c>
      <c r="H8" s="84">
        <f t="shared" si="1"/>
        <v>0</v>
      </c>
    </row>
    <row r="9" spans="1:10" s="7" customFormat="1" ht="24.95" customHeight="1">
      <c r="A9" s="33"/>
      <c r="B9" s="29"/>
      <c r="C9" s="29"/>
      <c r="D9" s="29"/>
      <c r="E9" s="29"/>
      <c r="F9" s="29"/>
      <c r="G9" s="63" t="s">
        <v>37</v>
      </c>
      <c r="H9" s="64">
        <f>SUM(B8:H8)</f>
        <v>0</v>
      </c>
    </row>
    <row r="10" spans="1:10" s="7" customFormat="1">
      <c r="A10" s="182" t="s">
        <v>136</v>
      </c>
      <c r="B10" s="183"/>
      <c r="C10" s="183"/>
      <c r="D10" s="183"/>
      <c r="E10" s="183"/>
      <c r="F10" s="183"/>
      <c r="G10" s="65" t="s">
        <v>39</v>
      </c>
      <c r="H10" s="66">
        <v>-0.15</v>
      </c>
      <c r="I10" s="5"/>
      <c r="J10" s="26"/>
    </row>
    <row r="11" spans="1:10" s="7" customFormat="1" ht="30" customHeight="1">
      <c r="A11" s="39" t="s">
        <v>8</v>
      </c>
      <c r="B11" s="9"/>
      <c r="C11" s="9"/>
      <c r="D11" s="67"/>
      <c r="E11" s="67"/>
      <c r="F11" s="9"/>
      <c r="G11" s="68"/>
      <c r="H11" s="69"/>
    </row>
    <row r="12" spans="1:10" s="7" customFormat="1" ht="30" customHeight="1">
      <c r="A12" s="70" t="s">
        <v>23</v>
      </c>
      <c r="B12" s="59"/>
      <c r="C12" s="58"/>
      <c r="D12" s="58"/>
      <c r="E12" s="58"/>
      <c r="F12" s="58"/>
      <c r="G12" s="58"/>
      <c r="H12" s="58"/>
    </row>
    <row r="13" spans="1:10" s="7" customFormat="1" ht="30" customHeight="1">
      <c r="A13" s="3" t="s">
        <v>35</v>
      </c>
      <c r="B13" s="8"/>
      <c r="C13" s="8"/>
      <c r="D13" s="8"/>
      <c r="E13" s="8"/>
      <c r="F13" s="8"/>
      <c r="G13" s="8"/>
      <c r="H13" s="8"/>
    </row>
    <row r="14" spans="1:10" s="7" customFormat="1" ht="27" customHeight="1">
      <c r="A14" s="85" t="s">
        <v>36</v>
      </c>
      <c r="B14" s="87">
        <f t="shared" ref="B14:H14" si="2">B11+B12+B13</f>
        <v>0</v>
      </c>
      <c r="C14" s="87">
        <f t="shared" si="2"/>
        <v>0</v>
      </c>
      <c r="D14" s="87">
        <f t="shared" si="2"/>
        <v>0</v>
      </c>
      <c r="E14" s="87">
        <f t="shared" si="2"/>
        <v>0</v>
      </c>
      <c r="F14" s="87">
        <f t="shared" si="2"/>
        <v>0</v>
      </c>
      <c r="G14" s="87">
        <f t="shared" si="2"/>
        <v>0</v>
      </c>
      <c r="H14" s="87">
        <f t="shared" si="2"/>
        <v>0</v>
      </c>
    </row>
    <row r="15" spans="1:10" s="7" customFormat="1" ht="24.95" customHeight="1">
      <c r="A15" s="86" t="s">
        <v>40</v>
      </c>
      <c r="B15" s="92" t="e">
        <f t="shared" ref="B15:H15" si="3">(B14-B8)/B8</f>
        <v>#DIV/0!</v>
      </c>
      <c r="C15" s="93" t="e">
        <f t="shared" si="3"/>
        <v>#DIV/0!</v>
      </c>
      <c r="D15" s="93" t="e">
        <f t="shared" si="3"/>
        <v>#DIV/0!</v>
      </c>
      <c r="E15" s="93" t="e">
        <f t="shared" si="3"/>
        <v>#DIV/0!</v>
      </c>
      <c r="F15" s="93" t="e">
        <f t="shared" si="3"/>
        <v>#DIV/0!</v>
      </c>
      <c r="G15" s="93" t="e">
        <f t="shared" si="3"/>
        <v>#DIV/0!</v>
      </c>
      <c r="H15" s="94" t="e">
        <f t="shared" si="3"/>
        <v>#DIV/0!</v>
      </c>
      <c r="I15" s="71"/>
    </row>
    <row r="16" spans="1:10" ht="30" customHeight="1">
      <c r="B16" s="88"/>
      <c r="C16" s="88"/>
      <c r="D16" s="88"/>
      <c r="E16" s="88"/>
      <c r="F16" s="89"/>
      <c r="G16" s="90" t="s">
        <v>37</v>
      </c>
      <c r="H16" s="91">
        <f>SUM(B14:H14)</f>
        <v>0</v>
      </c>
    </row>
    <row r="17" spans="1:8" s="7" customFormat="1">
      <c r="A17" s="184" t="s">
        <v>41</v>
      </c>
      <c r="B17" s="185"/>
      <c r="C17" s="185"/>
      <c r="D17" s="185"/>
      <c r="E17" s="185"/>
      <c r="F17" s="185"/>
      <c r="G17" s="72" t="s">
        <v>42</v>
      </c>
      <c r="H17" s="66" t="e">
        <f>(H16-H9)/H9</f>
        <v>#DIV/0!</v>
      </c>
    </row>
    <row r="18" spans="1:8" s="7" customFormat="1" ht="30" customHeight="1">
      <c r="A18" s="35" t="s">
        <v>43</v>
      </c>
      <c r="B18" s="12"/>
      <c r="C18" s="12"/>
      <c r="D18" s="73"/>
      <c r="E18" s="73"/>
      <c r="F18" s="12"/>
      <c r="G18" s="24"/>
      <c r="H18" s="74"/>
    </row>
    <row r="19" spans="1:8" s="7" customFormat="1" ht="30" customHeight="1">
      <c r="A19" s="35" t="str">
        <f>'Week. 7'!A25</f>
        <v>Non Meal Plan Meals</v>
      </c>
      <c r="B19" s="12"/>
      <c r="C19" s="12"/>
      <c r="D19" s="73"/>
      <c r="E19" s="73"/>
      <c r="F19" s="12"/>
      <c r="G19" s="24"/>
      <c r="H19" s="74"/>
    </row>
    <row r="20" spans="1:8" s="7" customFormat="1" ht="30" customHeight="1">
      <c r="A20" s="35" t="str">
        <f>'Week. 7'!A26</f>
        <v xml:space="preserve">Meal numbers </v>
      </c>
      <c r="B20" s="95"/>
      <c r="C20" s="95"/>
      <c r="D20" s="67"/>
      <c r="E20" s="67"/>
      <c r="F20" s="95"/>
      <c r="G20" s="95"/>
      <c r="H20" s="75"/>
    </row>
    <row r="21" spans="1:8" s="7" customFormat="1" ht="24.95" customHeight="1">
      <c r="A21" s="36" t="s">
        <v>45</v>
      </c>
      <c r="B21" s="77">
        <f t="shared" ref="B21:G21" si="4">B18+B20</f>
        <v>0</v>
      </c>
      <c r="C21" s="77">
        <f t="shared" si="4"/>
        <v>0</v>
      </c>
      <c r="D21" s="96"/>
      <c r="E21" s="96"/>
      <c r="F21" s="77">
        <f t="shared" si="4"/>
        <v>0</v>
      </c>
      <c r="G21" s="77">
        <f t="shared" si="4"/>
        <v>0</v>
      </c>
      <c r="H21" s="77">
        <f>H18+H20</f>
        <v>0</v>
      </c>
    </row>
    <row r="22" spans="1:8" s="7" customFormat="1" ht="24.95" customHeight="1">
      <c r="A22" s="34" t="s">
        <v>40</v>
      </c>
      <c r="B22" s="92" t="e">
        <f>(B21-B5)/B5</f>
        <v>#DIV/0!</v>
      </c>
      <c r="C22" s="93" t="e">
        <f>(C21-C5)/C5</f>
        <v>#DIV/0!</v>
      </c>
      <c r="D22" s="99"/>
      <c r="E22" s="99"/>
      <c r="F22" s="93" t="e">
        <f>(F21-F5)/F5</f>
        <v>#DIV/0!</v>
      </c>
      <c r="G22" s="93" t="e">
        <f>(G21-G5)/G5</f>
        <v>#DIV/0!</v>
      </c>
      <c r="H22" s="94" t="e">
        <f>(H21-H5)/H5</f>
        <v>#DIV/0!</v>
      </c>
    </row>
    <row r="23" spans="1:8" s="7" customFormat="1">
      <c r="A23" s="186" t="s">
        <v>46</v>
      </c>
      <c r="B23" s="187"/>
      <c r="C23" s="187"/>
      <c r="D23" s="187"/>
      <c r="E23" s="187"/>
      <c r="F23" s="188" t="s">
        <v>47</v>
      </c>
      <c r="G23" s="97"/>
      <c r="H23" s="98"/>
    </row>
    <row r="24" spans="1:8" s="7" customFormat="1" ht="30" customHeight="1">
      <c r="A24" s="35" t="s">
        <v>43</v>
      </c>
      <c r="B24" s="11"/>
      <c r="C24" s="12"/>
      <c r="D24" s="12"/>
      <c r="E24" s="12"/>
      <c r="F24" s="12"/>
      <c r="G24" s="12"/>
      <c r="H24" s="11"/>
    </row>
    <row r="25" spans="1:8" s="7" customFormat="1" ht="30" customHeight="1">
      <c r="A25" s="35" t="str">
        <f>A19</f>
        <v>Non Meal Plan Meals</v>
      </c>
      <c r="B25" s="117"/>
      <c r="C25" s="117"/>
      <c r="D25" s="117"/>
      <c r="E25" s="117"/>
      <c r="F25" s="117"/>
      <c r="G25" s="117"/>
      <c r="H25" s="117"/>
    </row>
    <row r="26" spans="1:8" s="7" customFormat="1" ht="30" customHeight="1">
      <c r="A26" s="35" t="str">
        <f>A20</f>
        <v xml:space="preserve">Meal numbers </v>
      </c>
      <c r="B26" s="11"/>
      <c r="C26" s="11"/>
      <c r="D26" s="11"/>
      <c r="E26" s="11"/>
      <c r="F26" s="11"/>
      <c r="G26" s="11"/>
      <c r="H26" s="11"/>
    </row>
    <row r="27" spans="1:8" s="7" customFormat="1" ht="27.95" customHeight="1">
      <c r="A27" s="36" t="s">
        <v>50</v>
      </c>
      <c r="B27" s="100">
        <f>B24+B25+B26</f>
        <v>0</v>
      </c>
      <c r="C27" s="100">
        <f t="shared" ref="C27:G27" si="5">C24+C25+C26</f>
        <v>0</v>
      </c>
      <c r="D27" s="100">
        <f t="shared" si="5"/>
        <v>0</v>
      </c>
      <c r="E27" s="100">
        <f t="shared" si="5"/>
        <v>0</v>
      </c>
      <c r="F27" s="100">
        <f t="shared" si="5"/>
        <v>0</v>
      </c>
      <c r="G27" s="100">
        <f t="shared" si="5"/>
        <v>0</v>
      </c>
      <c r="H27" s="100">
        <f>H24+H25+H26</f>
        <v>0</v>
      </c>
    </row>
    <row r="28" spans="1:8" s="7" customFormat="1" ht="24.95" customHeight="1">
      <c r="A28" s="34" t="s">
        <v>40</v>
      </c>
      <c r="B28" s="92" t="e">
        <f t="shared" ref="B28:H28" si="6">(B27-B6)/B6</f>
        <v>#DIV/0!</v>
      </c>
      <c r="C28" s="93" t="e">
        <f t="shared" si="6"/>
        <v>#DIV/0!</v>
      </c>
      <c r="D28" s="93" t="e">
        <f t="shared" si="6"/>
        <v>#DIV/0!</v>
      </c>
      <c r="E28" s="93" t="e">
        <f t="shared" si="6"/>
        <v>#DIV/0!</v>
      </c>
      <c r="F28" s="93" t="e">
        <f t="shared" si="6"/>
        <v>#DIV/0!</v>
      </c>
      <c r="G28" s="93" t="e">
        <f t="shared" si="6"/>
        <v>#DIV/0!</v>
      </c>
      <c r="H28" s="94" t="e">
        <f t="shared" si="6"/>
        <v>#DIV/0!</v>
      </c>
    </row>
    <row r="29" spans="1:8" s="7" customFormat="1">
      <c r="A29" s="189" t="s">
        <v>51</v>
      </c>
      <c r="B29" s="190"/>
      <c r="C29" s="190"/>
      <c r="D29" s="190"/>
      <c r="E29" s="190"/>
      <c r="F29" s="191" t="s">
        <v>35</v>
      </c>
      <c r="G29" s="101"/>
      <c r="H29" s="102"/>
    </row>
    <row r="30" spans="1:8" s="7" customFormat="1" ht="30" customHeight="1">
      <c r="A30" s="35" t="s">
        <v>43</v>
      </c>
      <c r="B30" s="10"/>
      <c r="C30" s="9"/>
      <c r="D30" s="9"/>
      <c r="E30" s="9"/>
      <c r="F30" s="9"/>
      <c r="G30" s="9"/>
      <c r="H30" s="10"/>
    </row>
    <row r="31" spans="1:8" s="7" customFormat="1" ht="30" customHeight="1">
      <c r="A31" s="35" t="str">
        <f>A25</f>
        <v>Non Meal Plan Meals</v>
      </c>
      <c r="B31" s="60"/>
      <c r="C31" s="60"/>
      <c r="D31" s="60"/>
      <c r="E31" s="60"/>
      <c r="F31" s="60"/>
      <c r="G31" s="60"/>
      <c r="H31" s="60"/>
    </row>
    <row r="32" spans="1:8" s="7" customFormat="1" ht="30" customHeight="1">
      <c r="A32" s="35" t="str">
        <f>A26</f>
        <v xml:space="preserve">Meal numbers </v>
      </c>
      <c r="B32" s="10"/>
      <c r="C32" s="10"/>
      <c r="D32" s="10"/>
      <c r="E32" s="10"/>
      <c r="F32" s="10"/>
      <c r="G32" s="10"/>
      <c r="H32" s="10"/>
    </row>
    <row r="33" spans="1:12" s="7" customFormat="1" ht="30.95" customHeight="1">
      <c r="A33" s="36" t="s">
        <v>53</v>
      </c>
      <c r="B33" s="103">
        <f>B30+B31+B32</f>
        <v>0</v>
      </c>
      <c r="C33" s="103">
        <f t="shared" ref="C33:G33" si="7">C30+C31+C32</f>
        <v>0</v>
      </c>
      <c r="D33" s="103">
        <f t="shared" si="7"/>
        <v>0</v>
      </c>
      <c r="E33" s="103">
        <f t="shared" si="7"/>
        <v>0</v>
      </c>
      <c r="F33" s="103">
        <f t="shared" si="7"/>
        <v>0</v>
      </c>
      <c r="G33" s="103">
        <f t="shared" si="7"/>
        <v>0</v>
      </c>
      <c r="H33" s="103">
        <f>H30+H31+H32</f>
        <v>0</v>
      </c>
    </row>
    <row r="34" spans="1:12" s="7" customFormat="1" ht="24.95" customHeight="1">
      <c r="A34" s="34" t="s">
        <v>40</v>
      </c>
      <c r="B34" s="92" t="e">
        <f t="shared" ref="B34:H34" si="8">(B33-B7)/B7</f>
        <v>#DIV/0!</v>
      </c>
      <c r="C34" s="93" t="e">
        <f t="shared" si="8"/>
        <v>#DIV/0!</v>
      </c>
      <c r="D34" s="93" t="e">
        <f t="shared" si="8"/>
        <v>#DIV/0!</v>
      </c>
      <c r="E34" s="93" t="e">
        <f t="shared" si="8"/>
        <v>#DIV/0!</v>
      </c>
      <c r="F34" s="93" t="e">
        <f t="shared" si="8"/>
        <v>#DIV/0!</v>
      </c>
      <c r="G34" s="93" t="e">
        <f t="shared" si="8"/>
        <v>#DIV/0!</v>
      </c>
      <c r="H34" s="94" t="e">
        <f t="shared" si="8"/>
        <v>#DIV/0!</v>
      </c>
    </row>
    <row r="35" spans="1:12" s="7" customFormat="1">
      <c r="A35" s="192" t="s">
        <v>54</v>
      </c>
      <c r="B35" s="193"/>
      <c r="C35" s="193"/>
      <c r="D35" s="193"/>
      <c r="E35" s="193"/>
      <c r="F35" s="194" t="s">
        <v>35</v>
      </c>
      <c r="G35" s="104"/>
      <c r="H35" s="105"/>
    </row>
    <row r="36" spans="1:12" s="7" customFormat="1" ht="30.95" customHeight="1">
      <c r="A36" s="78" t="s">
        <v>55</v>
      </c>
      <c r="B36" s="77">
        <f>B33+B27+B21</f>
        <v>0</v>
      </c>
      <c r="C36" s="77">
        <f t="shared" ref="C36:H36" si="9">C33+C27+C21</f>
        <v>0</v>
      </c>
      <c r="D36" s="77">
        <f t="shared" si="9"/>
        <v>0</v>
      </c>
      <c r="E36" s="77">
        <f t="shared" si="9"/>
        <v>0</v>
      </c>
      <c r="F36" s="77">
        <f t="shared" si="9"/>
        <v>0</v>
      </c>
      <c r="G36" s="77">
        <f t="shared" si="9"/>
        <v>0</v>
      </c>
      <c r="H36" s="77">
        <f t="shared" si="9"/>
        <v>0</v>
      </c>
    </row>
    <row r="37" spans="1:12" s="7" customFormat="1" ht="24.95" customHeight="1">
      <c r="A37" s="34" t="s">
        <v>40</v>
      </c>
      <c r="B37" s="92" t="e">
        <f t="shared" ref="B37:H37" si="10">(B36-B8)/B8</f>
        <v>#DIV/0!</v>
      </c>
      <c r="C37" s="93" t="e">
        <f t="shared" si="10"/>
        <v>#DIV/0!</v>
      </c>
      <c r="D37" s="93" t="e">
        <f t="shared" si="10"/>
        <v>#DIV/0!</v>
      </c>
      <c r="E37" s="93" t="e">
        <f t="shared" si="10"/>
        <v>#DIV/0!</v>
      </c>
      <c r="F37" s="93" t="e">
        <f t="shared" si="10"/>
        <v>#DIV/0!</v>
      </c>
      <c r="G37" s="93" t="e">
        <f t="shared" si="10"/>
        <v>#DIV/0!</v>
      </c>
      <c r="H37" s="94" t="e">
        <f t="shared" si="10"/>
        <v>#DIV/0!</v>
      </c>
    </row>
    <row r="38" spans="1:12" ht="30" customHeight="1">
      <c r="A38" s="195"/>
      <c r="B38" s="196"/>
      <c r="C38" s="196"/>
      <c r="D38" s="196"/>
      <c r="E38" s="196"/>
      <c r="F38" s="196"/>
      <c r="G38" s="106" t="s">
        <v>37</v>
      </c>
      <c r="H38" s="107">
        <f>SUM(B36:H36)</f>
        <v>0</v>
      </c>
    </row>
    <row r="39" spans="1:12" s="7" customFormat="1" ht="24.95" customHeight="1">
      <c r="A39" s="37"/>
      <c r="B39" s="25"/>
      <c r="C39" s="25"/>
      <c r="D39" s="25"/>
      <c r="E39" s="25"/>
      <c r="F39" s="25"/>
      <c r="G39" s="79" t="s">
        <v>40</v>
      </c>
      <c r="H39" s="80" t="e">
        <f>(H38-H9)/H9</f>
        <v>#DIV/0!</v>
      </c>
    </row>
    <row r="40" spans="1:12" s="7" customFormat="1" ht="24.95" customHeight="1">
      <c r="A40" s="37"/>
      <c r="B40" s="25"/>
      <c r="C40" s="25"/>
      <c r="D40" s="25"/>
      <c r="E40" s="25"/>
      <c r="F40" s="25"/>
      <c r="G40" s="81" t="s">
        <v>56</v>
      </c>
      <c r="H40" s="82" t="e">
        <f>(H38-H16)/H16</f>
        <v>#DIV/0!</v>
      </c>
    </row>
    <row r="41" spans="1:12" s="46" customFormat="1" ht="23.1" customHeight="1">
      <c r="A41" s="40"/>
      <c r="B41" s="47" t="s">
        <v>57</v>
      </c>
      <c r="C41" s="197" t="s">
        <v>58</v>
      </c>
      <c r="D41" s="197"/>
      <c r="E41" s="197"/>
      <c r="F41" s="197"/>
      <c r="G41" s="198">
        <v>2022</v>
      </c>
      <c r="H41" s="199"/>
    </row>
    <row r="42" spans="1:12" ht="30" customHeight="1">
      <c r="A42" s="1" t="s">
        <v>60</v>
      </c>
      <c r="B42" s="57" t="s">
        <v>59</v>
      </c>
      <c r="C42" s="180"/>
      <c r="D42" s="180"/>
      <c r="E42" s="180"/>
      <c r="F42" s="180"/>
      <c r="G42" s="178"/>
      <c r="H42" s="179"/>
      <c r="L42" s="7" t="s">
        <v>61</v>
      </c>
    </row>
    <row r="43" spans="1:12" ht="30" customHeight="1">
      <c r="A43" s="1" t="s">
        <v>1</v>
      </c>
      <c r="B43" s="57" t="s">
        <v>59</v>
      </c>
      <c r="C43" s="180"/>
      <c r="D43" s="180"/>
      <c r="E43" s="180"/>
      <c r="F43" s="180"/>
      <c r="G43" s="178"/>
      <c r="H43" s="179"/>
      <c r="L43" s="5" t="s">
        <v>62</v>
      </c>
    </row>
    <row r="44" spans="1:12" ht="30" customHeight="1">
      <c r="A44" s="1" t="s">
        <v>2</v>
      </c>
      <c r="B44" s="57" t="s">
        <v>59</v>
      </c>
      <c r="C44" s="175"/>
      <c r="D44" s="175"/>
      <c r="E44" s="175"/>
      <c r="F44" s="175"/>
      <c r="G44" s="176"/>
      <c r="H44" s="177"/>
      <c r="L44" s="5" t="s">
        <v>63</v>
      </c>
    </row>
    <row r="45" spans="1:12" ht="30" customHeight="1">
      <c r="A45" s="1" t="s">
        <v>3</v>
      </c>
      <c r="B45" s="57" t="s">
        <v>59</v>
      </c>
      <c r="C45" s="175"/>
      <c r="D45" s="175"/>
      <c r="E45" s="175"/>
      <c r="F45" s="175"/>
      <c r="G45" s="176"/>
      <c r="H45" s="177"/>
      <c r="L45" s="5" t="s">
        <v>64</v>
      </c>
    </row>
    <row r="46" spans="1:12" ht="30.95" customHeight="1">
      <c r="A46" s="1" t="s">
        <v>4</v>
      </c>
      <c r="B46" s="57" t="s">
        <v>59</v>
      </c>
      <c r="C46" s="175"/>
      <c r="D46" s="175"/>
      <c r="E46" s="175"/>
      <c r="F46" s="175"/>
      <c r="G46" s="176"/>
      <c r="H46" s="177"/>
    </row>
    <row r="47" spans="1:12" ht="30" customHeight="1">
      <c r="A47" s="1" t="s">
        <v>5</v>
      </c>
      <c r="B47" s="57" t="s">
        <v>59</v>
      </c>
      <c r="C47" s="175"/>
      <c r="D47" s="175"/>
      <c r="E47" s="175"/>
      <c r="F47" s="175"/>
      <c r="G47" s="176"/>
      <c r="H47" s="177"/>
    </row>
    <row r="48" spans="1:12" ht="30" customHeight="1">
      <c r="A48" s="1" t="s">
        <v>6</v>
      </c>
      <c r="B48" s="57" t="s">
        <v>59</v>
      </c>
      <c r="C48" s="175"/>
      <c r="D48" s="175"/>
      <c r="E48" s="175"/>
      <c r="F48" s="175"/>
      <c r="G48" s="176"/>
      <c r="H48" s="177"/>
    </row>
    <row r="49" spans="1:8" ht="30" customHeight="1">
      <c r="A49" s="1"/>
      <c r="B49" s="14"/>
      <c r="C49" s="175"/>
      <c r="D49" s="175"/>
      <c r="E49" s="175"/>
      <c r="F49" s="175"/>
      <c r="G49" s="176"/>
      <c r="H49" s="177"/>
    </row>
    <row r="50" spans="1:8" ht="30" customHeight="1">
      <c r="A50" s="2"/>
      <c r="B50" s="14"/>
      <c r="C50" s="175"/>
      <c r="D50" s="175"/>
      <c r="E50" s="175"/>
      <c r="F50" s="175"/>
      <c r="G50" s="176"/>
      <c r="H50" s="177"/>
    </row>
    <row r="51" spans="1:8">
      <c r="A51" s="30"/>
      <c r="B51" s="18" t="s">
        <v>27</v>
      </c>
      <c r="C51" s="18" t="s">
        <v>28</v>
      </c>
      <c r="D51" s="18" t="s">
        <v>65</v>
      </c>
      <c r="E51" s="18" t="s">
        <v>30</v>
      </c>
      <c r="F51" s="18" t="s">
        <v>66</v>
      </c>
      <c r="G51" s="18" t="s">
        <v>32</v>
      </c>
      <c r="H51" s="18" t="s">
        <v>33</v>
      </c>
    </row>
    <row r="52" spans="1:8">
      <c r="A52" s="38" t="s">
        <v>67</v>
      </c>
      <c r="B52" s="15"/>
      <c r="C52" s="20"/>
      <c r="D52" s="20"/>
      <c r="E52" s="20"/>
      <c r="F52" s="20"/>
      <c r="G52" s="20"/>
      <c r="H52" s="15"/>
    </row>
    <row r="53" spans="1:8" customFormat="1" ht="15.75">
      <c r="A53" s="48" t="s">
        <v>68</v>
      </c>
      <c r="B53" s="22"/>
      <c r="C53" s="21"/>
      <c r="D53" s="21"/>
      <c r="E53" s="21"/>
      <c r="F53" s="21"/>
      <c r="G53" s="23" t="s">
        <v>37</v>
      </c>
      <c r="H53" s="23">
        <f>SUM(B52:H52)</f>
        <v>0</v>
      </c>
    </row>
    <row r="54" spans="1:8">
      <c r="A54" s="30"/>
      <c r="B54" s="18" t="s">
        <v>27</v>
      </c>
      <c r="C54" s="18" t="s">
        <v>28</v>
      </c>
      <c r="D54" s="18" t="s">
        <v>65</v>
      </c>
      <c r="E54" s="18" t="s">
        <v>30</v>
      </c>
      <c r="F54" s="18" t="s">
        <v>66</v>
      </c>
      <c r="G54" s="18" t="s">
        <v>32</v>
      </c>
      <c r="H54" s="18" t="s">
        <v>33</v>
      </c>
    </row>
    <row r="55" spans="1:8">
      <c r="A55" s="38" t="s">
        <v>69</v>
      </c>
      <c r="B55" s="51"/>
      <c r="C55" s="52"/>
      <c r="D55" s="52"/>
      <c r="E55" s="52"/>
      <c r="F55" s="52"/>
      <c r="G55" s="20"/>
      <c r="H55" s="15"/>
    </row>
    <row r="56" spans="1:8" customFormat="1" ht="15.75">
      <c r="A56" s="49" t="s">
        <v>70</v>
      </c>
      <c r="B56" s="53"/>
      <c r="C56" s="53" t="s">
        <v>71</v>
      </c>
      <c r="D56" s="54"/>
      <c r="E56" s="54"/>
      <c r="F56" s="55"/>
      <c r="G56" s="50" t="s">
        <v>37</v>
      </c>
      <c r="H56" s="23"/>
    </row>
    <row r="57" spans="1:8">
      <c r="H57" s="16"/>
    </row>
    <row r="58" spans="1:8">
      <c r="H58" s="16"/>
    </row>
    <row r="59" spans="1:8">
      <c r="H59" s="16"/>
    </row>
    <row r="60" spans="1:8">
      <c r="H60" s="16"/>
    </row>
    <row r="61" spans="1:8">
      <c r="H61" s="16"/>
    </row>
    <row r="62" spans="1:8">
      <c r="H62" s="16"/>
    </row>
    <row r="63" spans="1:8">
      <c r="H63" s="16"/>
    </row>
    <row r="64" spans="1:8">
      <c r="B64" s="5"/>
      <c r="H64" s="16"/>
    </row>
    <row r="65" spans="2:8">
      <c r="B65" s="5"/>
      <c r="H65" s="16"/>
    </row>
    <row r="66" spans="2:8">
      <c r="B66" s="5"/>
      <c r="H66" s="16"/>
    </row>
    <row r="67" spans="2:8">
      <c r="B67" s="5"/>
      <c r="H67" s="16"/>
    </row>
    <row r="68" spans="2:8">
      <c r="B68" s="5"/>
      <c r="H68" s="16"/>
    </row>
    <row r="69" spans="2:8">
      <c r="B69" s="5"/>
      <c r="H69" s="16"/>
    </row>
    <row r="70" spans="2:8">
      <c r="B70" s="5"/>
      <c r="H70" s="16"/>
    </row>
    <row r="71" spans="2:8">
      <c r="B71" s="5"/>
      <c r="H71" s="16"/>
    </row>
    <row r="72" spans="2:8">
      <c r="B72" s="5"/>
      <c r="H72" s="16"/>
    </row>
    <row r="73" spans="2:8">
      <c r="B73" s="5"/>
      <c r="H73" s="16"/>
    </row>
    <row r="74" spans="2:8">
      <c r="B74" s="5"/>
      <c r="H74" s="16"/>
    </row>
    <row r="75" spans="2:8">
      <c r="B75" s="5"/>
      <c r="H75" s="16"/>
    </row>
    <row r="76" spans="2:8">
      <c r="B76" s="5"/>
      <c r="H76" s="16"/>
    </row>
    <row r="77" spans="2:8">
      <c r="B77" s="5"/>
      <c r="H77" s="16"/>
    </row>
    <row r="78" spans="2:8">
      <c r="B78" s="5"/>
      <c r="H78" s="16"/>
    </row>
    <row r="79" spans="2:8">
      <c r="B79" s="5"/>
      <c r="H79" s="16"/>
    </row>
    <row r="80" spans="2:8">
      <c r="B80" s="5"/>
      <c r="H80" s="16"/>
    </row>
    <row r="81" spans="2:8">
      <c r="B81" s="5"/>
      <c r="H81" s="16"/>
    </row>
    <row r="82" spans="2:8">
      <c r="B82" s="5"/>
      <c r="H82" s="16"/>
    </row>
    <row r="83" spans="2:8">
      <c r="B83" s="5"/>
      <c r="H83" s="16"/>
    </row>
    <row r="84" spans="2:8">
      <c r="B84" s="5"/>
      <c r="H84" s="16"/>
    </row>
    <row r="85" spans="2:8">
      <c r="B85" s="5"/>
      <c r="H85" s="16"/>
    </row>
    <row r="86" spans="2:8">
      <c r="B86" s="5"/>
      <c r="H86" s="16"/>
    </row>
    <row r="87" spans="2:8">
      <c r="B87" s="5"/>
      <c r="H87" s="16"/>
    </row>
    <row r="88" spans="2:8">
      <c r="B88" s="5"/>
      <c r="H88" s="16"/>
    </row>
    <row r="89" spans="2:8">
      <c r="B89" s="5"/>
      <c r="H89" s="16"/>
    </row>
    <row r="90" spans="2:8">
      <c r="B90" s="5"/>
      <c r="H90" s="16"/>
    </row>
    <row r="91" spans="2:8">
      <c r="B91" s="5"/>
      <c r="H91" s="16"/>
    </row>
    <row r="92" spans="2:8">
      <c r="B92" s="5"/>
      <c r="H92" s="16"/>
    </row>
    <row r="93" spans="2:8">
      <c r="B93" s="5"/>
      <c r="H93" s="16"/>
    </row>
    <row r="94" spans="2:8">
      <c r="B94" s="5"/>
      <c r="H94" s="16"/>
    </row>
    <row r="95" spans="2:8">
      <c r="B95" s="5"/>
      <c r="H95" s="16"/>
    </row>
    <row r="96" spans="2:8">
      <c r="B96" s="5"/>
      <c r="H96" s="16"/>
    </row>
    <row r="97" spans="2:8">
      <c r="B97" s="5"/>
      <c r="H97" s="16"/>
    </row>
    <row r="98" spans="2:8">
      <c r="B98" s="5"/>
      <c r="H98" s="16"/>
    </row>
    <row r="99" spans="2:8">
      <c r="B99" s="5"/>
      <c r="H99" s="16"/>
    </row>
    <row r="100" spans="2:8">
      <c r="B100" s="5"/>
      <c r="H100" s="16"/>
    </row>
    <row r="101" spans="2:8">
      <c r="B101" s="5"/>
      <c r="H101" s="16"/>
    </row>
    <row r="102" spans="2:8">
      <c r="B102" s="5"/>
      <c r="H102" s="16"/>
    </row>
    <row r="103" spans="2:8">
      <c r="B103" s="5"/>
      <c r="H103" s="16"/>
    </row>
    <row r="104" spans="2:8">
      <c r="B104" s="5"/>
      <c r="H104" s="16"/>
    </row>
    <row r="105" spans="2:8">
      <c r="B105" s="5"/>
      <c r="H105" s="16"/>
    </row>
    <row r="106" spans="2:8">
      <c r="B106" s="5"/>
      <c r="H106" s="16"/>
    </row>
    <row r="107" spans="2:8">
      <c r="B107" s="5"/>
      <c r="H107" s="16"/>
    </row>
    <row r="108" spans="2:8">
      <c r="B108" s="5"/>
      <c r="H108" s="16"/>
    </row>
    <row r="109" spans="2:8">
      <c r="B109" s="5"/>
      <c r="H109" s="16"/>
    </row>
    <row r="110" spans="2:8">
      <c r="B110" s="5"/>
      <c r="H110" s="16"/>
    </row>
    <row r="111" spans="2:8">
      <c r="B111" s="5"/>
      <c r="H111" s="16"/>
    </row>
    <row r="112" spans="2:8">
      <c r="B112" s="5"/>
      <c r="H112" s="16"/>
    </row>
    <row r="113" spans="2:8">
      <c r="B113" s="5"/>
      <c r="H113" s="16"/>
    </row>
    <row r="114" spans="2:8">
      <c r="B114" s="5"/>
      <c r="H114" s="16"/>
    </row>
    <row r="115" spans="2:8">
      <c r="B115" s="5"/>
      <c r="H115" s="16"/>
    </row>
    <row r="116" spans="2:8">
      <c r="B116" s="5"/>
      <c r="H116" s="16"/>
    </row>
    <row r="117" spans="2:8">
      <c r="B117" s="5"/>
      <c r="H117" s="16"/>
    </row>
    <row r="118" spans="2:8">
      <c r="B118" s="5"/>
      <c r="H118" s="16"/>
    </row>
    <row r="119" spans="2:8">
      <c r="B119" s="5"/>
      <c r="H119" s="16"/>
    </row>
    <row r="120" spans="2:8">
      <c r="B120" s="5"/>
      <c r="H120" s="16"/>
    </row>
    <row r="121" spans="2:8">
      <c r="B121" s="5"/>
      <c r="H121" s="16"/>
    </row>
    <row r="122" spans="2:8">
      <c r="B122" s="5"/>
      <c r="H122" s="16"/>
    </row>
    <row r="123" spans="2:8">
      <c r="B123" s="5"/>
      <c r="H123" s="16"/>
    </row>
    <row r="124" spans="2:8">
      <c r="B124" s="5"/>
      <c r="H124" s="16"/>
    </row>
    <row r="125" spans="2:8">
      <c r="B125" s="5"/>
      <c r="H125" s="16"/>
    </row>
    <row r="126" spans="2:8">
      <c r="B126" s="5"/>
      <c r="H126" s="16"/>
    </row>
    <row r="127" spans="2:8">
      <c r="B127" s="5"/>
      <c r="H127" s="16"/>
    </row>
    <row r="128" spans="2:8">
      <c r="B128" s="5"/>
      <c r="H128" s="16"/>
    </row>
    <row r="129" spans="2:8">
      <c r="B129" s="5"/>
      <c r="H129" s="16"/>
    </row>
    <row r="130" spans="2:8">
      <c r="B130" s="5"/>
      <c r="H130" s="16"/>
    </row>
    <row r="131" spans="2:8">
      <c r="B131" s="5"/>
      <c r="H131" s="16"/>
    </row>
    <row r="132" spans="2:8">
      <c r="B132" s="5"/>
      <c r="H132" s="16"/>
    </row>
    <row r="133" spans="2:8">
      <c r="B133" s="5"/>
      <c r="H133" s="16"/>
    </row>
    <row r="134" spans="2:8">
      <c r="B134" s="5"/>
      <c r="H134" s="16"/>
    </row>
    <row r="135" spans="2:8">
      <c r="B135" s="5"/>
      <c r="H135" s="16"/>
    </row>
    <row r="136" spans="2:8">
      <c r="B136" s="5"/>
      <c r="H136" s="16"/>
    </row>
    <row r="137" spans="2:8">
      <c r="B137" s="5"/>
      <c r="H137" s="16"/>
    </row>
    <row r="138" spans="2:8">
      <c r="B138" s="5"/>
      <c r="H138" s="16"/>
    </row>
    <row r="139" spans="2:8">
      <c r="B139" s="5"/>
      <c r="H139" s="16"/>
    </row>
    <row r="140" spans="2:8">
      <c r="B140" s="5"/>
      <c r="H140" s="16"/>
    </row>
    <row r="141" spans="2:8">
      <c r="B141" s="5"/>
      <c r="H141" s="16"/>
    </row>
    <row r="142" spans="2:8">
      <c r="B142" s="5"/>
      <c r="H142" s="16"/>
    </row>
    <row r="143" spans="2:8">
      <c r="B143" s="5"/>
      <c r="H143" s="16"/>
    </row>
    <row r="144" spans="2:8">
      <c r="B144" s="5"/>
      <c r="H144" s="16"/>
    </row>
    <row r="145" spans="2:8">
      <c r="B145" s="5"/>
      <c r="H145" s="16"/>
    </row>
    <row r="146" spans="2:8">
      <c r="B146" s="5"/>
      <c r="H146" s="16"/>
    </row>
    <row r="147" spans="2:8">
      <c r="B147" s="5"/>
      <c r="H147" s="16"/>
    </row>
    <row r="148" spans="2:8">
      <c r="B148" s="5"/>
      <c r="H148" s="16"/>
    </row>
    <row r="149" spans="2:8">
      <c r="B149" s="5"/>
      <c r="H149" s="16"/>
    </row>
    <row r="150" spans="2:8">
      <c r="B150" s="5"/>
      <c r="H150" s="16"/>
    </row>
    <row r="151" spans="2:8">
      <c r="B151" s="5"/>
      <c r="H151" s="16"/>
    </row>
    <row r="152" spans="2:8">
      <c r="B152" s="5"/>
      <c r="H152" s="16"/>
    </row>
    <row r="153" spans="2:8">
      <c r="B153" s="5"/>
      <c r="H153" s="16"/>
    </row>
    <row r="154" spans="2:8">
      <c r="B154" s="5"/>
      <c r="H154" s="16"/>
    </row>
    <row r="155" spans="2:8">
      <c r="B155" s="5"/>
      <c r="H155" s="16"/>
    </row>
    <row r="156" spans="2:8">
      <c r="B156" s="5"/>
      <c r="H156" s="16"/>
    </row>
    <row r="157" spans="2:8">
      <c r="B157" s="5"/>
      <c r="H157" s="16"/>
    </row>
    <row r="158" spans="2:8">
      <c r="B158" s="5"/>
      <c r="H158" s="16"/>
    </row>
    <row r="159" spans="2:8">
      <c r="B159" s="5"/>
      <c r="H159" s="16"/>
    </row>
    <row r="160" spans="2:8">
      <c r="B160" s="5"/>
      <c r="H160" s="16"/>
    </row>
    <row r="161" spans="2:8">
      <c r="B161" s="5"/>
      <c r="H161" s="16"/>
    </row>
    <row r="162" spans="2:8">
      <c r="B162" s="5"/>
      <c r="H162" s="16"/>
    </row>
    <row r="163" spans="2:8">
      <c r="B163" s="5"/>
      <c r="H163" s="16"/>
    </row>
    <row r="164" spans="2:8">
      <c r="B164" s="5"/>
      <c r="H164" s="16"/>
    </row>
    <row r="165" spans="2:8">
      <c r="B165" s="5"/>
      <c r="H165" s="16"/>
    </row>
    <row r="166" spans="2:8">
      <c r="B166" s="5"/>
      <c r="H166" s="16"/>
    </row>
    <row r="167" spans="2:8">
      <c r="B167" s="5"/>
      <c r="H167" s="16"/>
    </row>
    <row r="168" spans="2:8">
      <c r="B168" s="5"/>
      <c r="H168" s="16"/>
    </row>
    <row r="169" spans="2:8">
      <c r="B169" s="5"/>
      <c r="H169" s="16"/>
    </row>
    <row r="170" spans="2:8">
      <c r="B170" s="5"/>
      <c r="H170" s="16"/>
    </row>
    <row r="171" spans="2:8">
      <c r="B171" s="5"/>
      <c r="H171" s="16"/>
    </row>
    <row r="172" spans="2:8">
      <c r="B172" s="5"/>
      <c r="H172" s="16"/>
    </row>
    <row r="173" spans="2:8">
      <c r="B173" s="5"/>
      <c r="H173" s="16"/>
    </row>
    <row r="174" spans="2:8">
      <c r="B174" s="5"/>
      <c r="H174" s="16"/>
    </row>
    <row r="175" spans="2:8">
      <c r="B175" s="5"/>
      <c r="H175" s="16"/>
    </row>
    <row r="176" spans="2:8">
      <c r="B176" s="5"/>
      <c r="H176" s="16"/>
    </row>
    <row r="177" spans="2:8">
      <c r="B177" s="5"/>
      <c r="H177" s="16"/>
    </row>
    <row r="178" spans="2:8">
      <c r="B178" s="5"/>
      <c r="H178" s="16"/>
    </row>
    <row r="179" spans="2:8">
      <c r="B179" s="5"/>
      <c r="H179" s="16"/>
    </row>
    <row r="180" spans="2:8">
      <c r="B180" s="5"/>
      <c r="H180" s="16"/>
    </row>
    <row r="181" spans="2:8">
      <c r="B181" s="5"/>
      <c r="H181" s="16"/>
    </row>
    <row r="182" spans="2:8">
      <c r="B182" s="5"/>
      <c r="H182" s="16"/>
    </row>
    <row r="183" spans="2:8">
      <c r="B183" s="5"/>
      <c r="H183" s="16"/>
    </row>
    <row r="184" spans="2:8">
      <c r="B184" s="5"/>
      <c r="H184" s="16"/>
    </row>
    <row r="185" spans="2:8">
      <c r="B185" s="5"/>
      <c r="H185" s="16"/>
    </row>
    <row r="186" spans="2:8">
      <c r="B186" s="5"/>
      <c r="H186" s="16"/>
    </row>
    <row r="187" spans="2:8">
      <c r="B187" s="5"/>
      <c r="H187" s="16"/>
    </row>
    <row r="188" spans="2:8">
      <c r="B188" s="5"/>
      <c r="H188" s="16"/>
    </row>
    <row r="189" spans="2:8">
      <c r="B189" s="5"/>
      <c r="H189" s="16"/>
    </row>
    <row r="190" spans="2:8">
      <c r="B190" s="5"/>
      <c r="H190" s="16"/>
    </row>
    <row r="191" spans="2:8">
      <c r="B191" s="5"/>
      <c r="H191" s="16"/>
    </row>
    <row r="192" spans="2:8">
      <c r="B192" s="5"/>
      <c r="H192" s="16"/>
    </row>
    <row r="193" spans="2:8">
      <c r="B193" s="5"/>
      <c r="H193" s="16"/>
    </row>
    <row r="194" spans="2:8">
      <c r="B194" s="5"/>
      <c r="H194" s="16"/>
    </row>
    <row r="195" spans="2:8">
      <c r="B195" s="5"/>
      <c r="H195" s="16"/>
    </row>
    <row r="196" spans="2:8">
      <c r="B196" s="5"/>
      <c r="H196" s="16"/>
    </row>
    <row r="197" spans="2:8">
      <c r="B197" s="5"/>
      <c r="H197" s="16"/>
    </row>
    <row r="198" spans="2:8">
      <c r="B198" s="5"/>
      <c r="H198" s="16"/>
    </row>
    <row r="199" spans="2:8">
      <c r="B199" s="5"/>
      <c r="H199" s="16"/>
    </row>
    <row r="200" spans="2:8">
      <c r="B200" s="5"/>
      <c r="H200" s="16"/>
    </row>
    <row r="201" spans="2:8">
      <c r="B201" s="5"/>
      <c r="H201" s="16"/>
    </row>
    <row r="202" spans="2:8">
      <c r="B202" s="5"/>
      <c r="H202" s="16"/>
    </row>
    <row r="203" spans="2:8">
      <c r="B203" s="5"/>
      <c r="H203" s="16"/>
    </row>
    <row r="204" spans="2:8">
      <c r="B204" s="5"/>
      <c r="H204" s="16"/>
    </row>
    <row r="205" spans="2:8">
      <c r="B205" s="5"/>
      <c r="H205" s="16"/>
    </row>
    <row r="206" spans="2:8">
      <c r="B206" s="5"/>
      <c r="H206" s="16"/>
    </row>
    <row r="207" spans="2:8">
      <c r="B207" s="5"/>
      <c r="H207" s="16"/>
    </row>
    <row r="208" spans="2:8">
      <c r="B208" s="5"/>
      <c r="H208" s="16"/>
    </row>
    <row r="209" spans="2:8">
      <c r="B209" s="5"/>
      <c r="H209" s="16"/>
    </row>
    <row r="210" spans="2:8">
      <c r="B210" s="5"/>
      <c r="H210" s="16"/>
    </row>
    <row r="211" spans="2:8">
      <c r="B211" s="5"/>
      <c r="H211" s="16"/>
    </row>
    <row r="212" spans="2:8">
      <c r="B212" s="5"/>
      <c r="H212" s="16"/>
    </row>
    <row r="213" spans="2:8">
      <c r="B213" s="5"/>
      <c r="H213" s="16"/>
    </row>
    <row r="214" spans="2:8">
      <c r="B214" s="5"/>
      <c r="H214" s="16"/>
    </row>
    <row r="215" spans="2:8">
      <c r="B215" s="5"/>
      <c r="H215" s="16"/>
    </row>
    <row r="216" spans="2:8">
      <c r="B216" s="5"/>
      <c r="H216" s="16"/>
    </row>
    <row r="217" spans="2:8">
      <c r="B217" s="5"/>
      <c r="H217" s="16"/>
    </row>
    <row r="218" spans="2:8">
      <c r="B218" s="5"/>
      <c r="H218" s="16"/>
    </row>
    <row r="219" spans="2:8">
      <c r="B219" s="5"/>
      <c r="H219" s="16"/>
    </row>
    <row r="220" spans="2:8">
      <c r="B220" s="5"/>
      <c r="H220" s="16"/>
    </row>
    <row r="221" spans="2:8">
      <c r="B221" s="5"/>
      <c r="H221" s="16"/>
    </row>
    <row r="222" spans="2:8">
      <c r="B222" s="5"/>
      <c r="H222" s="16"/>
    </row>
    <row r="223" spans="2:8">
      <c r="B223" s="5"/>
      <c r="H223" s="16"/>
    </row>
    <row r="224" spans="2:8">
      <c r="B224" s="5"/>
      <c r="H224" s="16"/>
    </row>
    <row r="225" spans="2:8">
      <c r="B225" s="5"/>
      <c r="H225" s="16"/>
    </row>
    <row r="226" spans="2:8">
      <c r="B226" s="5"/>
      <c r="H226" s="16"/>
    </row>
    <row r="227" spans="2:8">
      <c r="B227" s="5"/>
      <c r="H227" s="16"/>
    </row>
    <row r="228" spans="2:8">
      <c r="B228" s="5"/>
      <c r="H228" s="16"/>
    </row>
    <row r="229" spans="2:8">
      <c r="B229" s="5"/>
      <c r="H229" s="16"/>
    </row>
    <row r="230" spans="2:8">
      <c r="B230" s="5"/>
      <c r="H230" s="16"/>
    </row>
    <row r="231" spans="2:8">
      <c r="B231" s="5"/>
      <c r="H231" s="16"/>
    </row>
    <row r="232" spans="2:8">
      <c r="B232" s="5"/>
      <c r="H232" s="16"/>
    </row>
    <row r="233" spans="2:8">
      <c r="B233" s="5"/>
      <c r="H233" s="16"/>
    </row>
    <row r="234" spans="2:8">
      <c r="B234" s="5"/>
      <c r="H234" s="16"/>
    </row>
    <row r="235" spans="2:8">
      <c r="B235" s="5"/>
      <c r="H235" s="16"/>
    </row>
    <row r="236" spans="2:8">
      <c r="B236" s="5"/>
      <c r="H236" s="16"/>
    </row>
    <row r="237" spans="2:8">
      <c r="B237" s="5"/>
      <c r="H237" s="16"/>
    </row>
    <row r="238" spans="2:8">
      <c r="B238" s="5"/>
      <c r="H238" s="16"/>
    </row>
    <row r="239" spans="2:8">
      <c r="B239" s="5"/>
      <c r="H239" s="16"/>
    </row>
    <row r="240" spans="2:8">
      <c r="B240" s="5"/>
      <c r="H240" s="16"/>
    </row>
    <row r="241" spans="2:8">
      <c r="B241" s="5"/>
      <c r="H241" s="16"/>
    </row>
    <row r="242" spans="2:8">
      <c r="B242" s="5"/>
      <c r="H242" s="16"/>
    </row>
    <row r="243" spans="2:8">
      <c r="B243" s="5"/>
      <c r="H243" s="16"/>
    </row>
    <row r="244" spans="2:8">
      <c r="B244" s="5"/>
      <c r="H244" s="16"/>
    </row>
    <row r="245" spans="2:8">
      <c r="B245" s="5"/>
      <c r="H245" s="16"/>
    </row>
    <row r="246" spans="2:8">
      <c r="B246" s="5"/>
      <c r="H246" s="16"/>
    </row>
    <row r="247" spans="2:8">
      <c r="B247" s="5"/>
      <c r="H247" s="16"/>
    </row>
    <row r="248" spans="2:8">
      <c r="B248" s="5"/>
      <c r="H248" s="16"/>
    </row>
    <row r="249" spans="2:8">
      <c r="B249" s="5"/>
      <c r="H249" s="16"/>
    </row>
    <row r="250" spans="2:8">
      <c r="B250" s="5"/>
      <c r="H250" s="16"/>
    </row>
    <row r="251" spans="2:8">
      <c r="B251" s="5"/>
      <c r="H251" s="16"/>
    </row>
    <row r="252" spans="2:8">
      <c r="B252" s="5"/>
      <c r="H252" s="16"/>
    </row>
    <row r="253" spans="2:8">
      <c r="B253" s="5"/>
      <c r="H253" s="16"/>
    </row>
    <row r="254" spans="2:8">
      <c r="B254" s="5"/>
      <c r="H254" s="16"/>
    </row>
    <row r="255" spans="2:8">
      <c r="B255" s="5"/>
      <c r="H255" s="16"/>
    </row>
    <row r="256" spans="2:8">
      <c r="B256" s="5"/>
      <c r="H256" s="16"/>
    </row>
    <row r="257" spans="2:8">
      <c r="B257" s="5"/>
      <c r="H257" s="16"/>
    </row>
    <row r="258" spans="2:8">
      <c r="B258" s="5"/>
      <c r="H258" s="16"/>
    </row>
    <row r="259" spans="2:8">
      <c r="B259" s="5"/>
      <c r="H259" s="16"/>
    </row>
    <row r="260" spans="2:8">
      <c r="B260" s="5"/>
      <c r="H260" s="16"/>
    </row>
    <row r="261" spans="2:8">
      <c r="B261" s="5"/>
      <c r="H261" s="16"/>
    </row>
    <row r="262" spans="2:8">
      <c r="B262" s="5"/>
      <c r="H262" s="16"/>
    </row>
    <row r="263" spans="2:8">
      <c r="B263" s="5"/>
      <c r="H263" s="16"/>
    </row>
    <row r="264" spans="2:8">
      <c r="B264" s="5"/>
      <c r="H264" s="16"/>
    </row>
    <row r="265" spans="2:8">
      <c r="B265" s="5"/>
      <c r="H265" s="16"/>
    </row>
    <row r="266" spans="2:8">
      <c r="B266" s="5"/>
      <c r="H266" s="16"/>
    </row>
    <row r="267" spans="2:8">
      <c r="B267" s="5"/>
      <c r="H267" s="16"/>
    </row>
    <row r="268" spans="2:8">
      <c r="B268" s="5"/>
      <c r="H268" s="16"/>
    </row>
    <row r="269" spans="2:8">
      <c r="B269" s="5"/>
      <c r="H269" s="16"/>
    </row>
    <row r="270" spans="2:8">
      <c r="B270" s="5"/>
      <c r="H270" s="16"/>
    </row>
    <row r="271" spans="2:8">
      <c r="B271" s="5"/>
      <c r="H271" s="16"/>
    </row>
    <row r="272" spans="2:8">
      <c r="B272" s="5"/>
      <c r="H272" s="16"/>
    </row>
    <row r="273" spans="2:8">
      <c r="B273" s="5"/>
      <c r="H273" s="16"/>
    </row>
    <row r="274" spans="2:8">
      <c r="B274" s="5"/>
      <c r="H274" s="16"/>
    </row>
    <row r="275" spans="2:8">
      <c r="B275" s="5"/>
      <c r="H275" s="16"/>
    </row>
    <row r="276" spans="2:8">
      <c r="B276" s="5"/>
      <c r="H276" s="16"/>
    </row>
    <row r="277" spans="2:8">
      <c r="B277" s="5"/>
      <c r="H277" s="16"/>
    </row>
    <row r="278" spans="2:8">
      <c r="B278" s="5"/>
      <c r="H278" s="16"/>
    </row>
    <row r="279" spans="2:8">
      <c r="B279" s="5"/>
      <c r="H279" s="16"/>
    </row>
    <row r="280" spans="2:8">
      <c r="B280" s="5"/>
      <c r="H280" s="16"/>
    </row>
    <row r="281" spans="2:8">
      <c r="B281" s="5"/>
      <c r="H281" s="16"/>
    </row>
    <row r="282" spans="2:8">
      <c r="B282" s="5"/>
      <c r="H282" s="16"/>
    </row>
    <row r="283" spans="2:8">
      <c r="B283" s="5"/>
      <c r="H283" s="16"/>
    </row>
    <row r="284" spans="2:8">
      <c r="B284" s="5"/>
      <c r="H284" s="16"/>
    </row>
    <row r="285" spans="2:8">
      <c r="B285" s="5"/>
      <c r="H285" s="16"/>
    </row>
    <row r="286" spans="2:8">
      <c r="B286" s="5"/>
      <c r="H286" s="16"/>
    </row>
    <row r="287" spans="2:8">
      <c r="B287" s="5"/>
      <c r="H287" s="16"/>
    </row>
    <row r="288" spans="2:8">
      <c r="B288" s="5"/>
      <c r="H288" s="16"/>
    </row>
    <row r="289" spans="2:8">
      <c r="B289" s="5"/>
      <c r="H289" s="16"/>
    </row>
    <row r="290" spans="2:8">
      <c r="B290" s="5"/>
      <c r="H290" s="16"/>
    </row>
    <row r="291" spans="2:8">
      <c r="B291" s="5"/>
      <c r="H291" s="16"/>
    </row>
    <row r="292" spans="2:8">
      <c r="B292" s="5"/>
      <c r="H292" s="16"/>
    </row>
    <row r="293" spans="2:8">
      <c r="B293" s="5"/>
      <c r="H293" s="16"/>
    </row>
    <row r="294" spans="2:8">
      <c r="B294" s="5"/>
      <c r="H294" s="16"/>
    </row>
    <row r="295" spans="2:8">
      <c r="B295" s="5"/>
      <c r="H295" s="16"/>
    </row>
    <row r="296" spans="2:8">
      <c r="B296" s="5"/>
      <c r="H296" s="16"/>
    </row>
    <row r="297" spans="2:8">
      <c r="B297" s="5"/>
      <c r="H297" s="16"/>
    </row>
    <row r="298" spans="2:8">
      <c r="B298" s="5"/>
      <c r="H298" s="16"/>
    </row>
    <row r="299" spans="2:8">
      <c r="B299" s="5"/>
      <c r="H299" s="16"/>
    </row>
    <row r="300" spans="2:8">
      <c r="B300" s="5"/>
      <c r="H300" s="16"/>
    </row>
    <row r="301" spans="2:8">
      <c r="B301" s="5"/>
      <c r="H301" s="16"/>
    </row>
    <row r="302" spans="2:8">
      <c r="B302" s="5"/>
      <c r="H302" s="16"/>
    </row>
    <row r="303" spans="2:8">
      <c r="B303" s="5"/>
      <c r="H303" s="16"/>
    </row>
    <row r="304" spans="2:8">
      <c r="B304" s="5"/>
      <c r="H304" s="16"/>
    </row>
    <row r="305" spans="2:8">
      <c r="B305" s="5"/>
      <c r="H305" s="16"/>
    </row>
    <row r="306" spans="2:8">
      <c r="B306" s="5"/>
      <c r="H306" s="16"/>
    </row>
    <row r="307" spans="2:8">
      <c r="B307" s="5"/>
      <c r="H307" s="16"/>
    </row>
    <row r="308" spans="2:8">
      <c r="B308" s="5"/>
      <c r="H308" s="16"/>
    </row>
    <row r="309" spans="2:8">
      <c r="B309" s="5"/>
      <c r="H309" s="16"/>
    </row>
    <row r="310" spans="2:8">
      <c r="B310" s="5"/>
      <c r="H310" s="16"/>
    </row>
    <row r="311" spans="2:8">
      <c r="B311" s="5"/>
      <c r="H311" s="16"/>
    </row>
    <row r="312" spans="2:8">
      <c r="B312" s="5"/>
      <c r="H312" s="16"/>
    </row>
    <row r="313" spans="2:8">
      <c r="B313" s="5"/>
      <c r="H313" s="16"/>
    </row>
    <row r="314" spans="2:8">
      <c r="B314" s="5"/>
      <c r="H314" s="16"/>
    </row>
    <row r="315" spans="2:8">
      <c r="B315" s="5"/>
      <c r="H315" s="16"/>
    </row>
    <row r="316" spans="2:8">
      <c r="B316" s="5"/>
      <c r="H316" s="16"/>
    </row>
    <row r="317" spans="2:8">
      <c r="B317" s="5"/>
      <c r="H317" s="16"/>
    </row>
    <row r="318" spans="2:8">
      <c r="B318" s="5"/>
      <c r="H318" s="16"/>
    </row>
    <row r="319" spans="2:8">
      <c r="B319" s="5"/>
      <c r="H319" s="16"/>
    </row>
    <row r="320" spans="2:8">
      <c r="B320" s="5"/>
      <c r="H320" s="16"/>
    </row>
    <row r="321" spans="2:8">
      <c r="B321" s="5"/>
      <c r="H321" s="16"/>
    </row>
    <row r="322" spans="2:8">
      <c r="B322" s="5"/>
      <c r="H322" s="16"/>
    </row>
    <row r="323" spans="2:8">
      <c r="B323" s="5"/>
      <c r="H323" s="16"/>
    </row>
    <row r="324" spans="2:8">
      <c r="B324" s="5"/>
      <c r="H324" s="16"/>
    </row>
    <row r="325" spans="2:8">
      <c r="B325" s="5"/>
      <c r="H325" s="16"/>
    </row>
    <row r="326" spans="2:8">
      <c r="B326" s="5"/>
      <c r="H326" s="16"/>
    </row>
    <row r="327" spans="2:8">
      <c r="B327" s="5"/>
      <c r="H327" s="16"/>
    </row>
    <row r="328" spans="2:8">
      <c r="B328" s="5"/>
      <c r="H328" s="16"/>
    </row>
    <row r="329" spans="2:8">
      <c r="B329" s="5"/>
      <c r="H329" s="16"/>
    </row>
    <row r="330" spans="2:8">
      <c r="B330" s="5"/>
      <c r="H330" s="16"/>
    </row>
    <row r="331" spans="2:8">
      <c r="B331" s="5"/>
      <c r="H331" s="16"/>
    </row>
    <row r="332" spans="2:8">
      <c r="B332" s="5"/>
      <c r="H332" s="16"/>
    </row>
    <row r="333" spans="2:8">
      <c r="B333" s="5"/>
      <c r="H333" s="16"/>
    </row>
    <row r="334" spans="2:8">
      <c r="B334" s="5"/>
      <c r="H334" s="16"/>
    </row>
    <row r="335" spans="2:8">
      <c r="B335" s="5"/>
      <c r="H335" s="16"/>
    </row>
    <row r="336" spans="2:8">
      <c r="B336" s="5"/>
      <c r="H336" s="16"/>
    </row>
    <row r="337" spans="2:8">
      <c r="B337" s="5"/>
      <c r="H337" s="16"/>
    </row>
    <row r="338" spans="2:8">
      <c r="B338" s="5"/>
      <c r="H338" s="16"/>
    </row>
    <row r="339" spans="2:8">
      <c r="B339" s="5"/>
      <c r="H339" s="16"/>
    </row>
    <row r="340" spans="2:8">
      <c r="B340" s="5"/>
      <c r="H340" s="16"/>
    </row>
    <row r="341" spans="2:8">
      <c r="B341" s="5"/>
      <c r="H341" s="16"/>
    </row>
    <row r="342" spans="2:8">
      <c r="B342" s="5"/>
      <c r="H342" s="16"/>
    </row>
    <row r="343" spans="2:8">
      <c r="B343" s="5"/>
      <c r="H343" s="16"/>
    </row>
    <row r="344" spans="2:8">
      <c r="B344" s="5"/>
      <c r="H344" s="16"/>
    </row>
    <row r="345" spans="2:8">
      <c r="B345" s="5"/>
      <c r="H345" s="16"/>
    </row>
    <row r="346" spans="2:8">
      <c r="B346" s="5"/>
      <c r="H346" s="16"/>
    </row>
    <row r="347" spans="2:8">
      <c r="B347" s="5"/>
      <c r="H347" s="16"/>
    </row>
    <row r="348" spans="2:8">
      <c r="B348" s="5"/>
      <c r="H348" s="16"/>
    </row>
    <row r="349" spans="2:8">
      <c r="B349" s="5"/>
      <c r="H349" s="16"/>
    </row>
    <row r="350" spans="2:8">
      <c r="B350" s="5"/>
      <c r="H350" s="16"/>
    </row>
    <row r="351" spans="2:8">
      <c r="B351" s="5"/>
      <c r="H351" s="16"/>
    </row>
    <row r="352" spans="2:8">
      <c r="B352" s="5"/>
      <c r="H352" s="16"/>
    </row>
    <row r="353" spans="2:8">
      <c r="B353" s="5"/>
      <c r="H353" s="16"/>
    </row>
    <row r="354" spans="2:8">
      <c r="B354" s="5"/>
      <c r="H354" s="16"/>
    </row>
    <row r="355" spans="2:8">
      <c r="B355" s="5"/>
      <c r="H355" s="16"/>
    </row>
    <row r="356" spans="2:8">
      <c r="B356" s="5"/>
      <c r="H356" s="16"/>
    </row>
    <row r="357" spans="2:8">
      <c r="B357" s="5"/>
      <c r="H357" s="16"/>
    </row>
    <row r="358" spans="2:8">
      <c r="B358" s="5"/>
      <c r="H358" s="16"/>
    </row>
    <row r="359" spans="2:8">
      <c r="B359" s="5"/>
      <c r="H359" s="16"/>
    </row>
    <row r="360" spans="2:8">
      <c r="B360" s="5"/>
      <c r="H360" s="16"/>
    </row>
    <row r="361" spans="2:8">
      <c r="B361" s="5"/>
      <c r="H361" s="16"/>
    </row>
    <row r="362" spans="2:8">
      <c r="B362" s="5"/>
      <c r="H362" s="16"/>
    </row>
    <row r="363" spans="2:8">
      <c r="B363" s="5"/>
      <c r="H363" s="16"/>
    </row>
    <row r="364" spans="2:8">
      <c r="B364" s="5"/>
      <c r="H364" s="16"/>
    </row>
    <row r="365" spans="2:8">
      <c r="B365" s="5"/>
      <c r="H365" s="16"/>
    </row>
    <row r="366" spans="2:8">
      <c r="B366" s="5"/>
      <c r="H366" s="16"/>
    </row>
    <row r="367" spans="2:8">
      <c r="B367" s="5"/>
      <c r="H367" s="16"/>
    </row>
    <row r="368" spans="2:8">
      <c r="B368" s="5"/>
      <c r="H368" s="16"/>
    </row>
    <row r="369" spans="2:8">
      <c r="B369" s="5"/>
      <c r="H369" s="16"/>
    </row>
    <row r="370" spans="2:8">
      <c r="B370" s="5"/>
      <c r="H370" s="16"/>
    </row>
    <row r="371" spans="2:8">
      <c r="B371" s="5"/>
      <c r="H371" s="16"/>
    </row>
    <row r="372" spans="2:8">
      <c r="B372" s="5"/>
      <c r="H372" s="16"/>
    </row>
    <row r="373" spans="2:8">
      <c r="B373" s="5"/>
      <c r="H373" s="16"/>
    </row>
    <row r="374" spans="2:8">
      <c r="B374" s="5"/>
      <c r="H374" s="16"/>
    </row>
    <row r="375" spans="2:8">
      <c r="B375" s="5"/>
      <c r="H375" s="16"/>
    </row>
    <row r="376" spans="2:8">
      <c r="B376" s="5"/>
      <c r="H376" s="16"/>
    </row>
    <row r="377" spans="2:8">
      <c r="B377" s="5"/>
      <c r="H377" s="16"/>
    </row>
    <row r="378" spans="2:8">
      <c r="B378" s="5"/>
      <c r="H378" s="16"/>
    </row>
    <row r="379" spans="2:8">
      <c r="B379" s="5"/>
      <c r="H379" s="16"/>
    </row>
    <row r="380" spans="2:8">
      <c r="B380" s="5"/>
      <c r="H380" s="16"/>
    </row>
    <row r="381" spans="2:8">
      <c r="B381" s="5"/>
      <c r="H381" s="16"/>
    </row>
    <row r="382" spans="2:8">
      <c r="B382" s="5"/>
      <c r="H382" s="16"/>
    </row>
    <row r="383" spans="2:8">
      <c r="B383" s="5"/>
      <c r="H383" s="16"/>
    </row>
    <row r="384" spans="2:8">
      <c r="B384" s="5"/>
      <c r="H384" s="16"/>
    </row>
    <row r="385" spans="2:8">
      <c r="B385" s="5"/>
      <c r="H385" s="16"/>
    </row>
    <row r="386" spans="2:8">
      <c r="B386" s="5"/>
      <c r="H386" s="16"/>
    </row>
    <row r="387" spans="2:8">
      <c r="B387" s="5"/>
      <c r="H387" s="16"/>
    </row>
    <row r="388" spans="2:8">
      <c r="B388" s="5"/>
      <c r="H388" s="16"/>
    </row>
    <row r="389" spans="2:8">
      <c r="B389" s="5"/>
      <c r="H389" s="16"/>
    </row>
    <row r="390" spans="2:8">
      <c r="B390" s="5"/>
      <c r="H390" s="16"/>
    </row>
    <row r="391" spans="2:8">
      <c r="B391" s="5"/>
      <c r="H391" s="16"/>
    </row>
    <row r="392" spans="2:8">
      <c r="B392" s="5"/>
      <c r="H392" s="16"/>
    </row>
    <row r="393" spans="2:8">
      <c r="B393" s="5"/>
      <c r="H393" s="16"/>
    </row>
    <row r="394" spans="2:8">
      <c r="B394" s="5"/>
      <c r="H394" s="16"/>
    </row>
    <row r="395" spans="2:8">
      <c r="B395" s="5"/>
      <c r="H395" s="16"/>
    </row>
    <row r="396" spans="2:8">
      <c r="B396" s="5"/>
      <c r="H396" s="16"/>
    </row>
    <row r="397" spans="2:8">
      <c r="B397" s="5"/>
      <c r="H397" s="16"/>
    </row>
    <row r="398" spans="2:8">
      <c r="B398" s="5"/>
      <c r="H398" s="16"/>
    </row>
    <row r="399" spans="2:8">
      <c r="B399" s="5"/>
      <c r="H399" s="16"/>
    </row>
    <row r="400" spans="2:8">
      <c r="B400" s="5"/>
      <c r="H400" s="16"/>
    </row>
    <row r="401" spans="2:8">
      <c r="B401" s="5"/>
      <c r="H401" s="16"/>
    </row>
    <row r="402" spans="2:8">
      <c r="B402" s="5"/>
      <c r="H402" s="16"/>
    </row>
    <row r="403" spans="2:8">
      <c r="B403" s="5"/>
      <c r="H403" s="16"/>
    </row>
    <row r="404" spans="2:8">
      <c r="B404" s="5"/>
      <c r="H404" s="16"/>
    </row>
    <row r="405" spans="2:8">
      <c r="B405" s="5"/>
      <c r="H405" s="16"/>
    </row>
    <row r="406" spans="2:8">
      <c r="B406" s="5"/>
      <c r="H406" s="16"/>
    </row>
    <row r="407" spans="2:8">
      <c r="B407" s="5"/>
      <c r="H407" s="16"/>
    </row>
    <row r="408" spans="2:8">
      <c r="B408" s="5"/>
      <c r="H408" s="16"/>
    </row>
    <row r="409" spans="2:8">
      <c r="B409" s="5"/>
      <c r="H409" s="16"/>
    </row>
    <row r="410" spans="2:8">
      <c r="B410" s="5"/>
      <c r="H410" s="16"/>
    </row>
    <row r="411" spans="2:8">
      <c r="B411" s="5"/>
      <c r="H411" s="16"/>
    </row>
    <row r="412" spans="2:8">
      <c r="B412" s="5"/>
      <c r="H412" s="16"/>
    </row>
    <row r="413" spans="2:8">
      <c r="B413" s="5"/>
      <c r="H413" s="16"/>
    </row>
    <row r="414" spans="2:8">
      <c r="B414" s="5"/>
      <c r="H414" s="16"/>
    </row>
    <row r="415" spans="2:8">
      <c r="B415" s="5"/>
      <c r="H415" s="16"/>
    </row>
    <row r="416" spans="2:8">
      <c r="B416" s="5"/>
      <c r="H416" s="16"/>
    </row>
    <row r="417" spans="2:8">
      <c r="B417" s="5"/>
      <c r="H417" s="16"/>
    </row>
    <row r="418" spans="2:8">
      <c r="B418" s="5"/>
      <c r="H418" s="16"/>
    </row>
    <row r="419" spans="2:8">
      <c r="B419" s="5"/>
      <c r="H419" s="16"/>
    </row>
    <row r="420" spans="2:8">
      <c r="B420" s="5"/>
      <c r="H420" s="16"/>
    </row>
    <row r="421" spans="2:8">
      <c r="B421" s="5"/>
      <c r="H421" s="16"/>
    </row>
    <row r="422" spans="2:8">
      <c r="B422" s="5"/>
      <c r="H422" s="16"/>
    </row>
    <row r="423" spans="2:8">
      <c r="B423" s="5"/>
      <c r="H423" s="16"/>
    </row>
    <row r="424" spans="2:8">
      <c r="B424" s="5"/>
      <c r="H424" s="16"/>
    </row>
    <row r="425" spans="2:8">
      <c r="B425" s="5"/>
      <c r="H425" s="16"/>
    </row>
    <row r="426" spans="2:8">
      <c r="B426" s="5"/>
      <c r="H426" s="16"/>
    </row>
    <row r="427" spans="2:8">
      <c r="B427" s="5"/>
      <c r="H427" s="16"/>
    </row>
    <row r="428" spans="2:8">
      <c r="B428" s="5"/>
      <c r="H428" s="16"/>
    </row>
    <row r="429" spans="2:8">
      <c r="B429" s="5"/>
      <c r="H429" s="16"/>
    </row>
    <row r="430" spans="2:8">
      <c r="B430" s="5"/>
      <c r="H430" s="16"/>
    </row>
    <row r="431" spans="2:8">
      <c r="B431" s="5"/>
      <c r="H431" s="16"/>
    </row>
    <row r="432" spans="2:8">
      <c r="B432" s="5"/>
      <c r="H432" s="16"/>
    </row>
    <row r="433" spans="2:8">
      <c r="B433" s="5"/>
      <c r="H433" s="16"/>
    </row>
    <row r="434" spans="2:8">
      <c r="B434" s="5"/>
      <c r="H434" s="16"/>
    </row>
    <row r="435" spans="2:8">
      <c r="B435" s="5"/>
      <c r="H435" s="16"/>
    </row>
    <row r="436" spans="2:8">
      <c r="B436" s="5"/>
      <c r="H436" s="16"/>
    </row>
    <row r="437" spans="2:8">
      <c r="B437" s="5"/>
      <c r="H437" s="16"/>
    </row>
    <row r="438" spans="2:8">
      <c r="B438" s="5"/>
      <c r="H438" s="16"/>
    </row>
    <row r="439" spans="2:8">
      <c r="B439" s="5"/>
      <c r="H439" s="16"/>
    </row>
    <row r="440" spans="2:8">
      <c r="B440" s="5"/>
      <c r="H440" s="16"/>
    </row>
    <row r="441" spans="2:8">
      <c r="B441" s="5"/>
      <c r="H441" s="16"/>
    </row>
    <row r="442" spans="2:8">
      <c r="B442" s="5"/>
      <c r="H442" s="16"/>
    </row>
    <row r="443" spans="2:8">
      <c r="B443" s="5"/>
      <c r="H443" s="16"/>
    </row>
    <row r="444" spans="2:8">
      <c r="B444" s="5"/>
      <c r="H444" s="16"/>
    </row>
    <row r="445" spans="2:8">
      <c r="B445" s="5"/>
      <c r="H445" s="16"/>
    </row>
    <row r="446" spans="2:8">
      <c r="B446" s="5"/>
      <c r="H446" s="16"/>
    </row>
    <row r="447" spans="2:8">
      <c r="B447" s="5"/>
      <c r="H447" s="16"/>
    </row>
    <row r="448" spans="2:8">
      <c r="B448" s="5"/>
      <c r="H448" s="16"/>
    </row>
    <row r="449" spans="2:8">
      <c r="B449" s="5"/>
      <c r="H449" s="16"/>
    </row>
    <row r="450" spans="2:8">
      <c r="B450" s="5"/>
      <c r="H450" s="16"/>
    </row>
    <row r="451" spans="2:8">
      <c r="B451" s="5"/>
      <c r="H451" s="16"/>
    </row>
    <row r="452" spans="2:8">
      <c r="B452" s="5"/>
      <c r="H452" s="16"/>
    </row>
    <row r="453" spans="2:8">
      <c r="B453" s="5"/>
      <c r="H453" s="16"/>
    </row>
    <row r="454" spans="2:8">
      <c r="B454" s="5"/>
      <c r="H454" s="16"/>
    </row>
    <row r="455" spans="2:8">
      <c r="B455" s="5"/>
      <c r="H455" s="16"/>
    </row>
    <row r="456" spans="2:8">
      <c r="B456" s="5"/>
      <c r="H456" s="16"/>
    </row>
    <row r="457" spans="2:8">
      <c r="B457" s="5"/>
      <c r="H457" s="16"/>
    </row>
    <row r="458" spans="2:8">
      <c r="B458" s="5"/>
      <c r="H458" s="16"/>
    </row>
    <row r="459" spans="2:8">
      <c r="B459" s="5"/>
      <c r="H459" s="16"/>
    </row>
    <row r="460" spans="2:8">
      <c r="B460" s="5"/>
      <c r="H460" s="16"/>
    </row>
    <row r="461" spans="2:8">
      <c r="B461" s="5"/>
      <c r="H461" s="16"/>
    </row>
    <row r="462" spans="2:8">
      <c r="B462" s="5"/>
      <c r="H462" s="16"/>
    </row>
    <row r="463" spans="2:8">
      <c r="B463" s="5"/>
      <c r="H463" s="16"/>
    </row>
    <row r="464" spans="2:8">
      <c r="B464" s="5"/>
      <c r="H464" s="16"/>
    </row>
    <row r="465" spans="2:8">
      <c r="B465" s="5"/>
      <c r="H465" s="16"/>
    </row>
    <row r="466" spans="2:8">
      <c r="B466" s="5"/>
      <c r="H466" s="16"/>
    </row>
    <row r="467" spans="2:8">
      <c r="B467" s="5"/>
      <c r="H467" s="16"/>
    </row>
    <row r="468" spans="2:8">
      <c r="B468" s="5"/>
      <c r="H468" s="16"/>
    </row>
    <row r="469" spans="2:8">
      <c r="B469" s="5"/>
      <c r="H469" s="16"/>
    </row>
    <row r="470" spans="2:8">
      <c r="B470" s="5"/>
      <c r="H470" s="16"/>
    </row>
    <row r="471" spans="2:8">
      <c r="B471" s="5"/>
      <c r="H471" s="16"/>
    </row>
    <row r="472" spans="2:8">
      <c r="B472" s="5"/>
      <c r="H472" s="16"/>
    </row>
    <row r="473" spans="2:8">
      <c r="B473" s="5"/>
      <c r="H473" s="16"/>
    </row>
    <row r="474" spans="2:8">
      <c r="B474" s="5"/>
      <c r="H474" s="16"/>
    </row>
    <row r="475" spans="2:8">
      <c r="B475" s="5"/>
      <c r="H475" s="16"/>
    </row>
    <row r="476" spans="2:8">
      <c r="B476" s="5"/>
      <c r="H476" s="16"/>
    </row>
    <row r="477" spans="2:8">
      <c r="B477" s="5"/>
      <c r="H477" s="16"/>
    </row>
    <row r="478" spans="2:8">
      <c r="B478" s="5"/>
      <c r="H478" s="16"/>
    </row>
    <row r="479" spans="2:8">
      <c r="B479" s="5"/>
      <c r="H479" s="16"/>
    </row>
    <row r="480" spans="2:8">
      <c r="B480" s="5"/>
      <c r="H480" s="16"/>
    </row>
    <row r="481" spans="2:8">
      <c r="B481" s="5"/>
      <c r="H481" s="16"/>
    </row>
    <row r="482" spans="2:8">
      <c r="B482" s="5"/>
      <c r="H482" s="16"/>
    </row>
    <row r="483" spans="2:8">
      <c r="B483" s="5"/>
      <c r="H483" s="16"/>
    </row>
    <row r="484" spans="2:8">
      <c r="B484" s="5"/>
      <c r="H484" s="16"/>
    </row>
    <row r="485" spans="2:8">
      <c r="B485" s="5"/>
      <c r="H485" s="16"/>
    </row>
    <row r="486" spans="2:8">
      <c r="B486" s="5"/>
      <c r="H486" s="16"/>
    </row>
    <row r="487" spans="2:8">
      <c r="B487" s="5"/>
      <c r="H487" s="16"/>
    </row>
    <row r="488" spans="2:8">
      <c r="B488" s="5"/>
      <c r="H488" s="16"/>
    </row>
    <row r="489" spans="2:8">
      <c r="B489" s="5"/>
      <c r="H489" s="16"/>
    </row>
    <row r="490" spans="2:8">
      <c r="B490" s="5"/>
      <c r="H490" s="16"/>
    </row>
    <row r="491" spans="2:8">
      <c r="B491" s="5"/>
      <c r="H491" s="16"/>
    </row>
    <row r="492" spans="2:8">
      <c r="B492" s="5"/>
      <c r="H492" s="16"/>
    </row>
    <row r="493" spans="2:8">
      <c r="B493" s="5"/>
      <c r="H493" s="16"/>
    </row>
    <row r="494" spans="2:8">
      <c r="B494" s="5"/>
      <c r="H494" s="16"/>
    </row>
    <row r="495" spans="2:8">
      <c r="B495" s="5"/>
      <c r="H495" s="16"/>
    </row>
    <row r="496" spans="2:8">
      <c r="B496" s="5"/>
      <c r="H496" s="16"/>
    </row>
    <row r="497" spans="2:8">
      <c r="B497" s="5"/>
      <c r="H497" s="16"/>
    </row>
    <row r="498" spans="2:8">
      <c r="B498" s="5"/>
      <c r="H498" s="16"/>
    </row>
    <row r="499" spans="2:8">
      <c r="B499" s="5"/>
      <c r="H499" s="16"/>
    </row>
    <row r="500" spans="2:8">
      <c r="B500" s="5"/>
      <c r="H500" s="16"/>
    </row>
    <row r="501" spans="2:8">
      <c r="B501" s="5"/>
      <c r="H501" s="16"/>
    </row>
    <row r="502" spans="2:8">
      <c r="B502" s="5"/>
      <c r="H502" s="16"/>
    </row>
    <row r="503" spans="2:8">
      <c r="B503" s="5"/>
      <c r="H503" s="16"/>
    </row>
    <row r="504" spans="2:8">
      <c r="B504" s="5"/>
      <c r="H504" s="16"/>
    </row>
    <row r="505" spans="2:8">
      <c r="B505" s="5"/>
      <c r="H505" s="16"/>
    </row>
    <row r="506" spans="2:8">
      <c r="B506" s="5"/>
      <c r="H506" s="16"/>
    </row>
    <row r="507" spans="2:8">
      <c r="B507" s="5"/>
      <c r="H507" s="16"/>
    </row>
    <row r="508" spans="2:8">
      <c r="B508" s="5"/>
      <c r="H508" s="16"/>
    </row>
    <row r="509" spans="2:8">
      <c r="B509" s="5"/>
      <c r="H509" s="16"/>
    </row>
    <row r="510" spans="2:8">
      <c r="B510" s="5"/>
      <c r="H510" s="16"/>
    </row>
    <row r="511" spans="2:8">
      <c r="B511" s="5"/>
      <c r="H511" s="16"/>
    </row>
    <row r="512" spans="2:8">
      <c r="B512" s="5"/>
      <c r="H512" s="16"/>
    </row>
    <row r="513" spans="2:8">
      <c r="B513" s="5"/>
      <c r="H513" s="16"/>
    </row>
    <row r="514" spans="2:8">
      <c r="B514" s="5"/>
      <c r="H514" s="16"/>
    </row>
    <row r="515" spans="2:8">
      <c r="B515" s="5"/>
      <c r="H515" s="16"/>
    </row>
    <row r="516" spans="2:8">
      <c r="B516" s="5"/>
      <c r="H516" s="16"/>
    </row>
    <row r="517" spans="2:8">
      <c r="B517" s="5"/>
      <c r="H517" s="16"/>
    </row>
    <row r="518" spans="2:8">
      <c r="B518" s="5"/>
      <c r="H518" s="16"/>
    </row>
    <row r="519" spans="2:8">
      <c r="B519" s="5"/>
      <c r="H519" s="16"/>
    </row>
    <row r="520" spans="2:8">
      <c r="B520" s="5"/>
      <c r="H520" s="16"/>
    </row>
    <row r="521" spans="2:8">
      <c r="B521" s="5"/>
      <c r="H521" s="16"/>
    </row>
    <row r="522" spans="2:8">
      <c r="B522" s="5"/>
      <c r="H522" s="16"/>
    </row>
    <row r="523" spans="2:8">
      <c r="B523" s="5"/>
      <c r="H523" s="16"/>
    </row>
    <row r="524" spans="2:8">
      <c r="B524" s="5"/>
      <c r="H524" s="16"/>
    </row>
    <row r="525" spans="2:8">
      <c r="B525" s="5"/>
      <c r="H525" s="16"/>
    </row>
    <row r="526" spans="2:8">
      <c r="B526" s="5"/>
      <c r="H526" s="16"/>
    </row>
    <row r="527" spans="2:8">
      <c r="B527" s="5"/>
      <c r="H527" s="16"/>
    </row>
    <row r="528" spans="2:8">
      <c r="B528" s="5"/>
      <c r="H528" s="16"/>
    </row>
    <row r="529" spans="2:8">
      <c r="B529" s="5"/>
      <c r="H529" s="16"/>
    </row>
    <row r="530" spans="2:8">
      <c r="B530" s="5"/>
      <c r="H530" s="16"/>
    </row>
    <row r="531" spans="2:8">
      <c r="B531" s="5"/>
      <c r="H531" s="16"/>
    </row>
    <row r="532" spans="2:8">
      <c r="B532" s="5"/>
      <c r="H532" s="16"/>
    </row>
    <row r="533" spans="2:8">
      <c r="B533" s="5"/>
      <c r="H533" s="16"/>
    </row>
    <row r="534" spans="2:8">
      <c r="B534" s="5"/>
      <c r="H534" s="16"/>
    </row>
    <row r="535" spans="2:8">
      <c r="B535" s="5"/>
      <c r="H535" s="16"/>
    </row>
    <row r="536" spans="2:8">
      <c r="B536" s="5"/>
      <c r="H536" s="16"/>
    </row>
    <row r="537" spans="2:8">
      <c r="B537" s="5"/>
      <c r="H537" s="16"/>
    </row>
    <row r="538" spans="2:8">
      <c r="B538" s="5"/>
      <c r="H538" s="16"/>
    </row>
    <row r="539" spans="2:8">
      <c r="B539" s="5"/>
      <c r="H539" s="16"/>
    </row>
    <row r="540" spans="2:8">
      <c r="B540" s="5"/>
      <c r="H540" s="16"/>
    </row>
    <row r="541" spans="2:8">
      <c r="B541" s="5"/>
      <c r="H541" s="16"/>
    </row>
    <row r="542" spans="2:8">
      <c r="B542" s="5"/>
      <c r="H542" s="16"/>
    </row>
    <row r="543" spans="2:8">
      <c r="B543" s="5"/>
      <c r="H543" s="16"/>
    </row>
    <row r="544" spans="2:8">
      <c r="B544" s="5"/>
      <c r="H544" s="16"/>
    </row>
    <row r="545" spans="2:8">
      <c r="B545" s="5"/>
      <c r="H545" s="16"/>
    </row>
    <row r="546" spans="2:8">
      <c r="B546" s="5"/>
      <c r="H546" s="16"/>
    </row>
    <row r="547" spans="2:8">
      <c r="B547" s="5"/>
      <c r="H547" s="16"/>
    </row>
    <row r="548" spans="2:8">
      <c r="B548" s="5"/>
      <c r="H548" s="16"/>
    </row>
    <row r="549" spans="2:8">
      <c r="B549" s="5"/>
      <c r="H549" s="16"/>
    </row>
    <row r="550" spans="2:8">
      <c r="B550" s="5"/>
      <c r="H550" s="16"/>
    </row>
    <row r="551" spans="2:8">
      <c r="B551" s="5"/>
      <c r="H551" s="16"/>
    </row>
    <row r="552" spans="2:8">
      <c r="B552" s="5"/>
      <c r="H552" s="16"/>
    </row>
    <row r="553" spans="2:8">
      <c r="B553" s="5"/>
      <c r="H553" s="16"/>
    </row>
    <row r="554" spans="2:8">
      <c r="B554" s="5"/>
      <c r="H554" s="16"/>
    </row>
    <row r="555" spans="2:8">
      <c r="B555" s="5"/>
      <c r="H555" s="16"/>
    </row>
    <row r="556" spans="2:8">
      <c r="B556" s="5"/>
      <c r="H556" s="16"/>
    </row>
    <row r="557" spans="2:8">
      <c r="B557" s="5"/>
      <c r="H557" s="16"/>
    </row>
    <row r="558" spans="2:8">
      <c r="B558" s="5"/>
      <c r="H558" s="16"/>
    </row>
    <row r="559" spans="2:8">
      <c r="B559" s="5"/>
      <c r="H559" s="16"/>
    </row>
    <row r="560" spans="2:8">
      <c r="B560" s="5"/>
      <c r="H560" s="16"/>
    </row>
    <row r="561" spans="2:8">
      <c r="B561" s="5"/>
      <c r="H561" s="16"/>
    </row>
    <row r="562" spans="2:8">
      <c r="B562" s="5"/>
      <c r="H562" s="16"/>
    </row>
    <row r="563" spans="2:8">
      <c r="B563" s="5"/>
      <c r="H563" s="16"/>
    </row>
    <row r="564" spans="2:8">
      <c r="B564" s="5"/>
      <c r="H564" s="16"/>
    </row>
    <row r="565" spans="2:8">
      <c r="B565" s="5"/>
      <c r="H565" s="16"/>
    </row>
    <row r="566" spans="2:8">
      <c r="B566" s="5"/>
      <c r="H566" s="16"/>
    </row>
    <row r="567" spans="2:8">
      <c r="B567" s="5"/>
      <c r="H567" s="16"/>
    </row>
    <row r="568" spans="2:8">
      <c r="B568" s="5"/>
      <c r="H568" s="16"/>
    </row>
    <row r="569" spans="2:8">
      <c r="B569" s="5"/>
      <c r="H569" s="16"/>
    </row>
    <row r="570" spans="2:8">
      <c r="B570" s="5"/>
      <c r="H570" s="16"/>
    </row>
    <row r="571" spans="2:8">
      <c r="B571" s="5"/>
      <c r="H571" s="16"/>
    </row>
    <row r="572" spans="2:8">
      <c r="B572" s="5"/>
      <c r="H572" s="16"/>
    </row>
    <row r="573" spans="2:8">
      <c r="B573" s="5"/>
      <c r="H573" s="16"/>
    </row>
    <row r="574" spans="2:8">
      <c r="B574" s="5"/>
      <c r="H574" s="16"/>
    </row>
    <row r="575" spans="2:8">
      <c r="B575" s="5"/>
      <c r="H575" s="16"/>
    </row>
    <row r="576" spans="2:8">
      <c r="B576" s="5"/>
      <c r="H576" s="16"/>
    </row>
    <row r="577" spans="2:8">
      <c r="B577" s="5"/>
      <c r="H577" s="16"/>
    </row>
    <row r="578" spans="2:8">
      <c r="B578" s="5"/>
      <c r="H578" s="16"/>
    </row>
    <row r="579" spans="2:8">
      <c r="B579" s="5"/>
      <c r="H579" s="16"/>
    </row>
    <row r="580" spans="2:8">
      <c r="B580" s="5"/>
      <c r="H580" s="16"/>
    </row>
    <row r="581" spans="2:8">
      <c r="B581" s="5"/>
      <c r="H581" s="16"/>
    </row>
    <row r="582" spans="2:8">
      <c r="B582" s="5"/>
      <c r="H582" s="16"/>
    </row>
    <row r="583" spans="2:8">
      <c r="B583" s="5"/>
      <c r="H583" s="16"/>
    </row>
    <row r="584" spans="2:8">
      <c r="B584" s="5"/>
      <c r="H584" s="16"/>
    </row>
    <row r="585" spans="2:8">
      <c r="B585" s="5"/>
      <c r="H585" s="16"/>
    </row>
    <row r="586" spans="2:8">
      <c r="B586" s="5"/>
      <c r="H586" s="16"/>
    </row>
    <row r="587" spans="2:8">
      <c r="B587" s="5"/>
      <c r="H587" s="16"/>
    </row>
    <row r="588" spans="2:8">
      <c r="B588" s="5"/>
      <c r="H588" s="16"/>
    </row>
    <row r="589" spans="2:8">
      <c r="B589" s="5"/>
      <c r="H589" s="16"/>
    </row>
    <row r="590" spans="2:8">
      <c r="B590" s="5"/>
      <c r="H590" s="16"/>
    </row>
    <row r="591" spans="2:8">
      <c r="B591" s="5"/>
      <c r="H591" s="16"/>
    </row>
    <row r="592" spans="2:8">
      <c r="B592" s="5"/>
      <c r="H592" s="16"/>
    </row>
    <row r="593" spans="2:8">
      <c r="B593" s="5"/>
      <c r="H593" s="16"/>
    </row>
    <row r="594" spans="2:8">
      <c r="B594" s="5"/>
      <c r="H594" s="16"/>
    </row>
    <row r="595" spans="2:8">
      <c r="B595" s="5"/>
      <c r="H595" s="16"/>
    </row>
    <row r="596" spans="2:8">
      <c r="B596" s="5"/>
      <c r="H596" s="16"/>
    </row>
    <row r="597" spans="2:8">
      <c r="B597" s="5"/>
      <c r="H597" s="16"/>
    </row>
    <row r="598" spans="2:8">
      <c r="B598" s="5"/>
      <c r="H598" s="16"/>
    </row>
    <row r="599" spans="2:8">
      <c r="B599" s="5"/>
      <c r="H599" s="16"/>
    </row>
    <row r="600" spans="2:8">
      <c r="B600" s="5"/>
      <c r="H600" s="16"/>
    </row>
    <row r="601" spans="2:8">
      <c r="B601" s="5"/>
      <c r="H601" s="16"/>
    </row>
    <row r="602" spans="2:8">
      <c r="B602" s="5"/>
      <c r="H602" s="16"/>
    </row>
    <row r="603" spans="2:8">
      <c r="B603" s="5"/>
      <c r="H603" s="16"/>
    </row>
    <row r="604" spans="2:8">
      <c r="B604" s="5"/>
      <c r="H604" s="16"/>
    </row>
    <row r="605" spans="2:8">
      <c r="B605" s="5"/>
      <c r="H605" s="16"/>
    </row>
    <row r="606" spans="2:8">
      <c r="B606" s="5"/>
      <c r="H606" s="16"/>
    </row>
    <row r="607" spans="2:8">
      <c r="B607" s="5"/>
      <c r="H607" s="16"/>
    </row>
    <row r="608" spans="2:8">
      <c r="B608" s="5"/>
      <c r="H608" s="16"/>
    </row>
    <row r="609" spans="2:8">
      <c r="B609" s="5"/>
      <c r="H609" s="16"/>
    </row>
    <row r="610" spans="2:8">
      <c r="B610" s="5"/>
      <c r="H610" s="16"/>
    </row>
    <row r="611" spans="2:8">
      <c r="B611" s="5"/>
      <c r="H611" s="16"/>
    </row>
    <row r="612" spans="2:8">
      <c r="B612" s="5"/>
      <c r="H612" s="16"/>
    </row>
    <row r="613" spans="2:8">
      <c r="B613" s="5"/>
      <c r="H613" s="16"/>
    </row>
    <row r="614" spans="2:8">
      <c r="B614" s="5"/>
      <c r="H614" s="16"/>
    </row>
    <row r="615" spans="2:8">
      <c r="B615" s="5"/>
      <c r="H615" s="16"/>
    </row>
    <row r="616" spans="2:8">
      <c r="B616" s="5"/>
      <c r="H616" s="16"/>
    </row>
    <row r="617" spans="2:8">
      <c r="B617" s="5"/>
      <c r="H617" s="16"/>
    </row>
    <row r="618" spans="2:8">
      <c r="B618" s="5"/>
      <c r="H618" s="16"/>
    </row>
    <row r="619" spans="2:8">
      <c r="B619" s="5"/>
      <c r="H619" s="16"/>
    </row>
    <row r="620" spans="2:8">
      <c r="B620" s="5"/>
      <c r="H620" s="16"/>
    </row>
    <row r="621" spans="2:8">
      <c r="B621" s="5"/>
      <c r="H621" s="16"/>
    </row>
    <row r="622" spans="2:8">
      <c r="B622" s="5"/>
      <c r="H622" s="16"/>
    </row>
    <row r="623" spans="2:8">
      <c r="B623" s="5"/>
      <c r="H623" s="16"/>
    </row>
    <row r="624" spans="2:8">
      <c r="B624" s="5"/>
      <c r="H624" s="16"/>
    </row>
    <row r="625" spans="2:8">
      <c r="B625" s="5"/>
      <c r="H625" s="16"/>
    </row>
    <row r="626" spans="2:8">
      <c r="B626" s="5"/>
      <c r="H626" s="16"/>
    </row>
    <row r="627" spans="2:8">
      <c r="B627" s="5"/>
      <c r="H627" s="16"/>
    </row>
    <row r="628" spans="2:8">
      <c r="B628" s="5"/>
      <c r="H628" s="16"/>
    </row>
    <row r="629" spans="2:8">
      <c r="B629" s="5"/>
      <c r="H629" s="16"/>
    </row>
    <row r="630" spans="2:8">
      <c r="B630" s="5"/>
      <c r="H630" s="16"/>
    </row>
    <row r="631" spans="2:8">
      <c r="B631" s="5"/>
      <c r="H631" s="16"/>
    </row>
    <row r="632" spans="2:8">
      <c r="B632" s="5"/>
      <c r="H632" s="16"/>
    </row>
    <row r="633" spans="2:8">
      <c r="B633" s="5"/>
      <c r="H633" s="16"/>
    </row>
    <row r="634" spans="2:8">
      <c r="B634" s="5"/>
      <c r="H634" s="16"/>
    </row>
    <row r="635" spans="2:8">
      <c r="B635" s="5"/>
      <c r="H635" s="16"/>
    </row>
    <row r="636" spans="2:8">
      <c r="B636" s="5"/>
      <c r="H636" s="16"/>
    </row>
    <row r="637" spans="2:8">
      <c r="B637" s="5"/>
      <c r="H637" s="16"/>
    </row>
    <row r="638" spans="2:8">
      <c r="B638" s="5"/>
      <c r="H638" s="16"/>
    </row>
    <row r="639" spans="2:8">
      <c r="B639" s="5"/>
      <c r="H639" s="16"/>
    </row>
    <row r="640" spans="2:8">
      <c r="B640" s="5"/>
      <c r="H640" s="16"/>
    </row>
    <row r="641" spans="2:8">
      <c r="B641" s="5"/>
      <c r="H641" s="16"/>
    </row>
    <row r="642" spans="2:8">
      <c r="B642" s="5"/>
      <c r="H642" s="16"/>
    </row>
    <row r="643" spans="2:8">
      <c r="B643" s="5"/>
      <c r="H643" s="16"/>
    </row>
    <row r="644" spans="2:8">
      <c r="B644" s="5"/>
      <c r="H644" s="16"/>
    </row>
    <row r="645" spans="2:8">
      <c r="B645" s="5"/>
      <c r="H645" s="16"/>
    </row>
    <row r="646" spans="2:8">
      <c r="B646" s="5"/>
      <c r="H646" s="16"/>
    </row>
    <row r="647" spans="2:8">
      <c r="B647" s="5"/>
      <c r="H647" s="16"/>
    </row>
    <row r="648" spans="2:8">
      <c r="B648" s="5"/>
      <c r="H648" s="16"/>
    </row>
    <row r="649" spans="2:8">
      <c r="B649" s="5"/>
      <c r="H649" s="16"/>
    </row>
    <row r="650" spans="2:8">
      <c r="B650" s="5"/>
      <c r="H650" s="16"/>
    </row>
    <row r="651" spans="2:8">
      <c r="B651" s="5"/>
      <c r="H651" s="16"/>
    </row>
    <row r="652" spans="2:8">
      <c r="B652" s="5"/>
      <c r="H652" s="16"/>
    </row>
    <row r="653" spans="2:8">
      <c r="B653" s="5"/>
      <c r="H653" s="16"/>
    </row>
    <row r="654" spans="2:8">
      <c r="B654" s="5"/>
      <c r="H654" s="16"/>
    </row>
    <row r="655" spans="2:8">
      <c r="B655" s="5"/>
      <c r="H655" s="16"/>
    </row>
    <row r="656" spans="2:8">
      <c r="B656" s="5"/>
      <c r="H656" s="16"/>
    </row>
    <row r="657" spans="2:8">
      <c r="B657" s="5"/>
      <c r="H657" s="16"/>
    </row>
    <row r="658" spans="2:8">
      <c r="B658" s="5"/>
      <c r="H658" s="16"/>
    </row>
    <row r="659" spans="2:8">
      <c r="B659" s="5"/>
      <c r="H659" s="16"/>
    </row>
    <row r="660" spans="2:8">
      <c r="B660" s="5"/>
      <c r="H660" s="16"/>
    </row>
    <row r="661" spans="2:8">
      <c r="B661" s="5"/>
      <c r="H661" s="16"/>
    </row>
    <row r="662" spans="2:8">
      <c r="B662" s="5"/>
      <c r="H662" s="16"/>
    </row>
    <row r="663" spans="2:8">
      <c r="B663" s="5"/>
      <c r="H663" s="16"/>
    </row>
    <row r="664" spans="2:8">
      <c r="B664" s="5"/>
      <c r="H664" s="16"/>
    </row>
    <row r="665" spans="2:8">
      <c r="B665" s="5"/>
      <c r="H665" s="16"/>
    </row>
    <row r="666" spans="2:8">
      <c r="B666" s="5"/>
      <c r="H666" s="16"/>
    </row>
    <row r="667" spans="2:8">
      <c r="B667" s="5"/>
      <c r="H667" s="16"/>
    </row>
    <row r="668" spans="2:8">
      <c r="B668" s="5"/>
      <c r="H668" s="16"/>
    </row>
    <row r="669" spans="2:8">
      <c r="B669" s="5"/>
      <c r="H669" s="16"/>
    </row>
    <row r="670" spans="2:8">
      <c r="B670" s="5"/>
      <c r="H670" s="16"/>
    </row>
    <row r="671" spans="2:8">
      <c r="B671" s="5"/>
      <c r="H671" s="16"/>
    </row>
    <row r="672" spans="2:8">
      <c r="B672" s="5"/>
      <c r="H672" s="16"/>
    </row>
    <row r="673" spans="2:8">
      <c r="B673" s="5"/>
      <c r="H673" s="16"/>
    </row>
    <row r="674" spans="2:8">
      <c r="B674" s="5"/>
      <c r="H674" s="16"/>
    </row>
    <row r="675" spans="2:8">
      <c r="B675" s="5"/>
      <c r="H675" s="16"/>
    </row>
    <row r="676" spans="2:8">
      <c r="B676" s="5"/>
      <c r="H676" s="16"/>
    </row>
    <row r="677" spans="2:8">
      <c r="B677" s="5"/>
      <c r="H677" s="16"/>
    </row>
    <row r="678" spans="2:8">
      <c r="B678" s="5"/>
      <c r="H678" s="16"/>
    </row>
    <row r="679" spans="2:8">
      <c r="B679" s="5"/>
      <c r="H679" s="16"/>
    </row>
    <row r="680" spans="2:8">
      <c r="B680" s="5"/>
      <c r="H680" s="16"/>
    </row>
    <row r="681" spans="2:8">
      <c r="B681" s="5"/>
      <c r="H681" s="16"/>
    </row>
    <row r="682" spans="2:8">
      <c r="B682" s="5"/>
      <c r="H682" s="16"/>
    </row>
    <row r="683" spans="2:8">
      <c r="B683" s="5"/>
      <c r="H683" s="16"/>
    </row>
    <row r="684" spans="2:8">
      <c r="B684" s="5"/>
      <c r="H684" s="16"/>
    </row>
    <row r="685" spans="2:8">
      <c r="B685" s="5"/>
      <c r="H685" s="16"/>
    </row>
    <row r="686" spans="2:8">
      <c r="B686" s="5"/>
      <c r="H686" s="16"/>
    </row>
    <row r="687" spans="2:8">
      <c r="B687" s="5"/>
      <c r="H687" s="16"/>
    </row>
    <row r="688" spans="2:8">
      <c r="B688" s="5"/>
      <c r="H688" s="16"/>
    </row>
    <row r="689" spans="2:8">
      <c r="B689" s="5"/>
      <c r="H689" s="16"/>
    </row>
    <row r="690" spans="2:8">
      <c r="B690" s="5"/>
      <c r="H690" s="16"/>
    </row>
    <row r="691" spans="2:8">
      <c r="B691" s="5"/>
      <c r="H691" s="16"/>
    </row>
    <row r="692" spans="2:8">
      <c r="B692" s="5"/>
      <c r="H692" s="16"/>
    </row>
    <row r="693" spans="2:8">
      <c r="B693" s="5"/>
      <c r="H693" s="16"/>
    </row>
    <row r="694" spans="2:8">
      <c r="B694" s="5"/>
      <c r="H694" s="16"/>
    </row>
    <row r="695" spans="2:8">
      <c r="B695" s="5"/>
      <c r="H695" s="16"/>
    </row>
    <row r="696" spans="2:8">
      <c r="B696" s="5"/>
      <c r="H696" s="16"/>
    </row>
    <row r="697" spans="2:8">
      <c r="B697" s="5"/>
      <c r="H697" s="16"/>
    </row>
    <row r="698" spans="2:8">
      <c r="B698" s="5"/>
      <c r="H698" s="16"/>
    </row>
    <row r="699" spans="2:8">
      <c r="B699" s="5"/>
      <c r="H699" s="16"/>
    </row>
    <row r="700" spans="2:8">
      <c r="B700" s="5"/>
      <c r="H700" s="16"/>
    </row>
    <row r="701" spans="2:8">
      <c r="B701" s="5"/>
      <c r="H701" s="16"/>
    </row>
    <row r="702" spans="2:8">
      <c r="B702" s="5"/>
      <c r="H702" s="16"/>
    </row>
    <row r="703" spans="2:8">
      <c r="B703" s="5"/>
      <c r="H703" s="16"/>
    </row>
    <row r="704" spans="2:8">
      <c r="B704" s="5"/>
      <c r="H704" s="16"/>
    </row>
    <row r="705" spans="2:8">
      <c r="B705" s="5"/>
      <c r="H705" s="16"/>
    </row>
    <row r="706" spans="2:8">
      <c r="B706" s="5"/>
      <c r="H706" s="16"/>
    </row>
    <row r="707" spans="2:8">
      <c r="B707" s="5"/>
      <c r="H707" s="16"/>
    </row>
    <row r="708" spans="2:8">
      <c r="B708" s="5"/>
      <c r="H708" s="16"/>
    </row>
    <row r="709" spans="2:8">
      <c r="B709" s="5"/>
      <c r="H709" s="16"/>
    </row>
    <row r="710" spans="2:8">
      <c r="B710" s="5"/>
      <c r="H710" s="16"/>
    </row>
    <row r="711" spans="2:8">
      <c r="B711" s="5"/>
      <c r="H711" s="16"/>
    </row>
    <row r="712" spans="2:8">
      <c r="B712" s="5"/>
      <c r="H712" s="16"/>
    </row>
    <row r="713" spans="2:8">
      <c r="B713" s="5"/>
      <c r="H713" s="16"/>
    </row>
    <row r="714" spans="2:8">
      <c r="B714" s="5"/>
      <c r="H714" s="16"/>
    </row>
    <row r="715" spans="2:8">
      <c r="B715" s="5"/>
      <c r="H715" s="16"/>
    </row>
    <row r="716" spans="2:8">
      <c r="B716" s="5"/>
      <c r="H716" s="16"/>
    </row>
    <row r="717" spans="2:8">
      <c r="B717" s="5"/>
      <c r="H717" s="16"/>
    </row>
    <row r="718" spans="2:8">
      <c r="B718" s="5"/>
      <c r="H718" s="16"/>
    </row>
    <row r="719" spans="2:8">
      <c r="B719" s="5"/>
      <c r="H719" s="16"/>
    </row>
    <row r="720" spans="2:8">
      <c r="B720" s="5"/>
      <c r="H720" s="16"/>
    </row>
    <row r="721" spans="2:8">
      <c r="B721" s="5"/>
      <c r="H721" s="16"/>
    </row>
    <row r="722" spans="2:8">
      <c r="B722" s="5"/>
      <c r="H722" s="16"/>
    </row>
    <row r="723" spans="2:8">
      <c r="B723" s="5"/>
      <c r="H723" s="16"/>
    </row>
    <row r="724" spans="2:8">
      <c r="B724" s="5"/>
      <c r="H724" s="16"/>
    </row>
    <row r="725" spans="2:8">
      <c r="B725" s="5"/>
      <c r="H725" s="16"/>
    </row>
    <row r="726" spans="2:8">
      <c r="B726" s="5"/>
      <c r="H726" s="16"/>
    </row>
    <row r="727" spans="2:8">
      <c r="B727" s="5"/>
      <c r="H727" s="16"/>
    </row>
    <row r="728" spans="2:8">
      <c r="B728" s="5"/>
      <c r="H728" s="16"/>
    </row>
    <row r="729" spans="2:8">
      <c r="B729" s="5"/>
      <c r="H729" s="16"/>
    </row>
    <row r="730" spans="2:8">
      <c r="B730" s="5"/>
      <c r="H730" s="16"/>
    </row>
    <row r="731" spans="2:8">
      <c r="B731" s="5"/>
      <c r="H731" s="16"/>
    </row>
    <row r="732" spans="2:8">
      <c r="B732" s="5"/>
      <c r="H732" s="16"/>
    </row>
    <row r="733" spans="2:8">
      <c r="B733" s="5"/>
      <c r="H733" s="16"/>
    </row>
    <row r="734" spans="2:8">
      <c r="B734" s="5"/>
      <c r="H734" s="16"/>
    </row>
    <row r="735" spans="2:8">
      <c r="B735" s="5"/>
      <c r="H735" s="16"/>
    </row>
    <row r="736" spans="2:8">
      <c r="B736" s="5"/>
      <c r="H736" s="16"/>
    </row>
    <row r="737" spans="2:8">
      <c r="B737" s="5"/>
      <c r="H737" s="16"/>
    </row>
    <row r="738" spans="2:8">
      <c r="B738" s="5"/>
      <c r="H738" s="16"/>
    </row>
    <row r="739" spans="2:8">
      <c r="B739" s="5"/>
      <c r="H739" s="16"/>
    </row>
    <row r="740" spans="2:8">
      <c r="B740" s="5"/>
      <c r="H740" s="16"/>
    </row>
    <row r="741" spans="2:8">
      <c r="B741" s="5"/>
      <c r="H741" s="16"/>
    </row>
    <row r="742" spans="2:8">
      <c r="B742" s="5"/>
      <c r="H742" s="16"/>
    </row>
    <row r="743" spans="2:8">
      <c r="B743" s="5"/>
      <c r="H743" s="16"/>
    </row>
    <row r="744" spans="2:8">
      <c r="B744" s="5"/>
      <c r="H744" s="16"/>
    </row>
    <row r="745" spans="2:8">
      <c r="B745" s="5"/>
      <c r="H745" s="16"/>
    </row>
    <row r="746" spans="2:8">
      <c r="B746" s="5"/>
      <c r="H746" s="16"/>
    </row>
    <row r="747" spans="2:8">
      <c r="B747" s="5"/>
      <c r="H747" s="16"/>
    </row>
    <row r="748" spans="2:8">
      <c r="B748" s="5"/>
      <c r="H748" s="16"/>
    </row>
    <row r="749" spans="2:8">
      <c r="B749" s="5"/>
      <c r="H749" s="16"/>
    </row>
    <row r="750" spans="2:8">
      <c r="B750" s="5"/>
      <c r="H750" s="16"/>
    </row>
    <row r="751" spans="2:8">
      <c r="B751" s="5"/>
      <c r="H751" s="16"/>
    </row>
    <row r="752" spans="2:8">
      <c r="B752" s="5"/>
      <c r="H752" s="16"/>
    </row>
    <row r="753" spans="2:8">
      <c r="B753" s="5"/>
      <c r="H753" s="16"/>
    </row>
    <row r="754" spans="2:8">
      <c r="B754" s="5"/>
      <c r="H754" s="16"/>
    </row>
    <row r="755" spans="2:8">
      <c r="B755" s="5"/>
      <c r="H755" s="16"/>
    </row>
    <row r="756" spans="2:8">
      <c r="B756" s="5"/>
      <c r="H756" s="16"/>
    </row>
    <row r="757" spans="2:8">
      <c r="B757" s="5"/>
      <c r="H757" s="16"/>
    </row>
    <row r="758" spans="2:8">
      <c r="B758" s="5"/>
      <c r="H758" s="16"/>
    </row>
    <row r="759" spans="2:8">
      <c r="B759" s="5"/>
      <c r="H759" s="16"/>
    </row>
    <row r="760" spans="2:8">
      <c r="B760" s="5"/>
      <c r="H760" s="16"/>
    </row>
    <row r="761" spans="2:8">
      <c r="B761" s="5"/>
      <c r="H761" s="16"/>
    </row>
    <row r="762" spans="2:8">
      <c r="B762" s="5"/>
      <c r="H762" s="16"/>
    </row>
    <row r="763" spans="2:8">
      <c r="B763" s="5"/>
      <c r="H763" s="16"/>
    </row>
    <row r="764" spans="2:8">
      <c r="B764" s="5"/>
      <c r="H764" s="16"/>
    </row>
    <row r="765" spans="2:8">
      <c r="B765" s="5"/>
      <c r="H765" s="16"/>
    </row>
    <row r="766" spans="2:8">
      <c r="B766" s="5"/>
      <c r="H766" s="16"/>
    </row>
    <row r="767" spans="2:8">
      <c r="B767" s="5"/>
      <c r="H767" s="16"/>
    </row>
    <row r="768" spans="2:8">
      <c r="B768" s="5"/>
      <c r="H768" s="16"/>
    </row>
    <row r="769" spans="2:8">
      <c r="B769" s="5"/>
      <c r="H769" s="16"/>
    </row>
    <row r="770" spans="2:8">
      <c r="B770" s="5"/>
      <c r="H770" s="16"/>
    </row>
    <row r="771" spans="2:8">
      <c r="B771" s="5"/>
      <c r="H771" s="16"/>
    </row>
    <row r="772" spans="2:8">
      <c r="B772" s="5"/>
      <c r="H772" s="16"/>
    </row>
    <row r="773" spans="2:8">
      <c r="B773" s="5"/>
      <c r="H773" s="16"/>
    </row>
    <row r="774" spans="2:8">
      <c r="B774" s="5"/>
      <c r="H774" s="16"/>
    </row>
    <row r="775" spans="2:8">
      <c r="B775" s="5"/>
      <c r="H775" s="16"/>
    </row>
    <row r="776" spans="2:8">
      <c r="B776" s="5"/>
      <c r="H776" s="16"/>
    </row>
    <row r="777" spans="2:8">
      <c r="B777" s="5"/>
      <c r="H777" s="16"/>
    </row>
    <row r="778" spans="2:8">
      <c r="B778" s="5"/>
      <c r="H778" s="16"/>
    </row>
    <row r="779" spans="2:8">
      <c r="B779" s="5"/>
      <c r="H779" s="16"/>
    </row>
    <row r="780" spans="2:8">
      <c r="B780" s="5"/>
      <c r="H780" s="16"/>
    </row>
    <row r="781" spans="2:8">
      <c r="B781" s="5"/>
      <c r="H781" s="16"/>
    </row>
    <row r="782" spans="2:8">
      <c r="B782" s="5"/>
      <c r="H782" s="16"/>
    </row>
    <row r="783" spans="2:8">
      <c r="B783" s="5"/>
      <c r="H783" s="16"/>
    </row>
    <row r="784" spans="2:8">
      <c r="B784" s="5"/>
      <c r="H784" s="16"/>
    </row>
    <row r="785" spans="2:8">
      <c r="B785" s="5"/>
      <c r="H785" s="16"/>
    </row>
    <row r="786" spans="2:8">
      <c r="B786" s="5"/>
      <c r="H786" s="16"/>
    </row>
    <row r="787" spans="2:8">
      <c r="B787" s="5"/>
      <c r="H787" s="16"/>
    </row>
    <row r="788" spans="2:8">
      <c r="B788" s="5"/>
      <c r="H788" s="16"/>
    </row>
    <row r="789" spans="2:8">
      <c r="B789" s="5"/>
      <c r="H789" s="16"/>
    </row>
    <row r="790" spans="2:8">
      <c r="B790" s="5"/>
      <c r="H790" s="16"/>
    </row>
    <row r="791" spans="2:8">
      <c r="B791" s="5"/>
      <c r="H791" s="16"/>
    </row>
    <row r="792" spans="2:8">
      <c r="B792" s="5"/>
      <c r="H792" s="16"/>
    </row>
    <row r="793" spans="2:8">
      <c r="B793" s="5"/>
      <c r="H793" s="16"/>
    </row>
    <row r="794" spans="2:8">
      <c r="B794" s="5"/>
      <c r="H794" s="16"/>
    </row>
    <row r="795" spans="2:8">
      <c r="B795" s="5"/>
      <c r="H795" s="16"/>
    </row>
    <row r="796" spans="2:8">
      <c r="B796" s="5"/>
      <c r="H796" s="16"/>
    </row>
    <row r="797" spans="2:8">
      <c r="B797" s="5"/>
      <c r="H797" s="16"/>
    </row>
    <row r="798" spans="2:8">
      <c r="B798" s="5"/>
      <c r="H798" s="16"/>
    </row>
    <row r="799" spans="2:8">
      <c r="B799" s="5"/>
      <c r="H799" s="16"/>
    </row>
    <row r="800" spans="2:8">
      <c r="B800" s="5"/>
      <c r="H800" s="16"/>
    </row>
    <row r="801" spans="2:8">
      <c r="B801" s="5"/>
      <c r="H801" s="16"/>
    </row>
    <row r="802" spans="2:8">
      <c r="B802" s="5"/>
      <c r="H802" s="16"/>
    </row>
    <row r="803" spans="2:8">
      <c r="B803" s="5"/>
      <c r="H803" s="16"/>
    </row>
    <row r="804" spans="2:8">
      <c r="B804" s="5"/>
      <c r="H804" s="16"/>
    </row>
    <row r="805" spans="2:8">
      <c r="B805" s="5"/>
      <c r="H805" s="16"/>
    </row>
    <row r="806" spans="2:8">
      <c r="B806" s="5"/>
      <c r="H806" s="16"/>
    </row>
    <row r="807" spans="2:8">
      <c r="B807" s="5"/>
      <c r="H807" s="16"/>
    </row>
    <row r="808" spans="2:8">
      <c r="B808" s="5"/>
      <c r="H808" s="16"/>
    </row>
    <row r="809" spans="2:8">
      <c r="B809" s="5"/>
      <c r="H809" s="16"/>
    </row>
    <row r="810" spans="2:8">
      <c r="B810" s="5"/>
      <c r="H810" s="16"/>
    </row>
    <row r="811" spans="2:8">
      <c r="B811" s="5"/>
      <c r="H811" s="16"/>
    </row>
    <row r="812" spans="2:8">
      <c r="B812" s="5"/>
      <c r="H812" s="16"/>
    </row>
    <row r="813" spans="2:8">
      <c r="B813" s="5"/>
      <c r="H813" s="16"/>
    </row>
    <row r="814" spans="2:8">
      <c r="B814" s="5"/>
      <c r="H814" s="16"/>
    </row>
    <row r="815" spans="2:8">
      <c r="B815" s="5"/>
      <c r="H815" s="16"/>
    </row>
    <row r="816" spans="2:8">
      <c r="B816" s="5"/>
      <c r="H816" s="16"/>
    </row>
    <row r="817" spans="2:8">
      <c r="B817" s="5"/>
      <c r="H817" s="16"/>
    </row>
    <row r="818" spans="2:8">
      <c r="B818" s="5"/>
      <c r="H818" s="16"/>
    </row>
    <row r="819" spans="2:8">
      <c r="B819" s="5"/>
      <c r="H819" s="16"/>
    </row>
    <row r="820" spans="2:8">
      <c r="B820" s="5"/>
      <c r="H820" s="16"/>
    </row>
    <row r="821" spans="2:8">
      <c r="B821" s="5"/>
      <c r="H821" s="16"/>
    </row>
    <row r="822" spans="2:8">
      <c r="B822" s="5"/>
      <c r="H822" s="16"/>
    </row>
    <row r="823" spans="2:8">
      <c r="B823" s="5"/>
      <c r="H823" s="16"/>
    </row>
    <row r="824" spans="2:8">
      <c r="B824" s="5"/>
      <c r="H824" s="16"/>
    </row>
    <row r="825" spans="2:8">
      <c r="B825" s="5"/>
      <c r="H825" s="16"/>
    </row>
    <row r="826" spans="2:8">
      <c r="B826" s="5"/>
      <c r="H826" s="16"/>
    </row>
    <row r="827" spans="2:8">
      <c r="B827" s="5"/>
      <c r="H827" s="16"/>
    </row>
    <row r="828" spans="2:8">
      <c r="B828" s="5"/>
      <c r="H828" s="16"/>
    </row>
    <row r="829" spans="2:8">
      <c r="B829" s="5"/>
      <c r="H829" s="16"/>
    </row>
    <row r="830" spans="2:8">
      <c r="B830" s="5"/>
      <c r="H830" s="16"/>
    </row>
    <row r="831" spans="2:8">
      <c r="B831" s="5"/>
      <c r="H831" s="16"/>
    </row>
    <row r="832" spans="2:8">
      <c r="B832" s="5"/>
      <c r="H832" s="16"/>
    </row>
    <row r="833" spans="2:8">
      <c r="B833" s="5"/>
      <c r="H833" s="16"/>
    </row>
    <row r="834" spans="2:8">
      <c r="B834" s="5"/>
      <c r="H834" s="16"/>
    </row>
    <row r="835" spans="2:8">
      <c r="B835" s="5"/>
      <c r="H835" s="16"/>
    </row>
    <row r="836" spans="2:8">
      <c r="B836" s="5"/>
      <c r="H836" s="16"/>
    </row>
    <row r="837" spans="2:8">
      <c r="B837" s="5"/>
      <c r="H837" s="16"/>
    </row>
    <row r="838" spans="2:8">
      <c r="B838" s="5"/>
      <c r="H838" s="16"/>
    </row>
    <row r="839" spans="2:8">
      <c r="B839" s="5"/>
      <c r="H839" s="16"/>
    </row>
    <row r="840" spans="2:8">
      <c r="B840" s="5"/>
      <c r="H840" s="16"/>
    </row>
    <row r="841" spans="2:8">
      <c r="B841" s="5"/>
      <c r="H841" s="16"/>
    </row>
    <row r="842" spans="2:8">
      <c r="B842" s="5"/>
      <c r="H842" s="16"/>
    </row>
    <row r="843" spans="2:8">
      <c r="B843" s="5"/>
      <c r="H843" s="16"/>
    </row>
    <row r="844" spans="2:8">
      <c r="B844" s="5"/>
      <c r="H844" s="16"/>
    </row>
    <row r="845" spans="2:8">
      <c r="B845" s="5"/>
      <c r="H845" s="16"/>
    </row>
    <row r="846" spans="2:8">
      <c r="B846" s="5"/>
      <c r="H846" s="16"/>
    </row>
    <row r="847" spans="2:8">
      <c r="B847" s="5"/>
      <c r="H847" s="16"/>
    </row>
    <row r="848" spans="2:8">
      <c r="B848" s="5"/>
      <c r="H848" s="16"/>
    </row>
    <row r="849" spans="2:8">
      <c r="B849" s="5"/>
      <c r="H849" s="16"/>
    </row>
    <row r="850" spans="2:8">
      <c r="B850" s="5"/>
      <c r="H850" s="16"/>
    </row>
    <row r="851" spans="2:8">
      <c r="B851" s="5"/>
      <c r="H851" s="16"/>
    </row>
    <row r="852" spans="2:8">
      <c r="B852" s="5"/>
      <c r="H852" s="16"/>
    </row>
    <row r="853" spans="2:8">
      <c r="B853" s="5"/>
      <c r="H853" s="16"/>
    </row>
    <row r="854" spans="2:8">
      <c r="B854" s="5"/>
      <c r="H854" s="16"/>
    </row>
    <row r="855" spans="2:8">
      <c r="B855" s="5"/>
      <c r="H855" s="16"/>
    </row>
    <row r="856" spans="2:8">
      <c r="B856" s="5"/>
      <c r="H856" s="16"/>
    </row>
    <row r="857" spans="2:8">
      <c r="B857" s="5"/>
      <c r="H857" s="16"/>
    </row>
    <row r="858" spans="2:8">
      <c r="B858" s="5"/>
      <c r="H858" s="16"/>
    </row>
    <row r="859" spans="2:8">
      <c r="B859" s="5"/>
      <c r="H859" s="16"/>
    </row>
    <row r="860" spans="2:8">
      <c r="B860" s="5"/>
      <c r="H860" s="16"/>
    </row>
    <row r="861" spans="2:8">
      <c r="B861" s="5"/>
      <c r="H861" s="16"/>
    </row>
    <row r="862" spans="2:8">
      <c r="B862" s="5"/>
      <c r="H862" s="16"/>
    </row>
    <row r="863" spans="2:8">
      <c r="B863" s="5"/>
      <c r="H863" s="16"/>
    </row>
    <row r="864" spans="2:8">
      <c r="B864" s="5"/>
      <c r="H864" s="16"/>
    </row>
    <row r="865" spans="2:8">
      <c r="B865" s="5"/>
      <c r="H865" s="16"/>
    </row>
    <row r="866" spans="2:8">
      <c r="B866" s="5"/>
      <c r="H866" s="16"/>
    </row>
    <row r="867" spans="2:8">
      <c r="B867" s="5"/>
      <c r="H867" s="16"/>
    </row>
    <row r="868" spans="2:8">
      <c r="B868" s="5"/>
      <c r="H868" s="16"/>
    </row>
    <row r="869" spans="2:8">
      <c r="B869" s="5"/>
      <c r="H869" s="16"/>
    </row>
    <row r="870" spans="2:8">
      <c r="B870" s="5"/>
      <c r="H870" s="16"/>
    </row>
    <row r="871" spans="2:8">
      <c r="B871" s="5"/>
      <c r="H871" s="16"/>
    </row>
    <row r="872" spans="2:8">
      <c r="B872" s="5"/>
      <c r="H872" s="16"/>
    </row>
    <row r="873" spans="2:8">
      <c r="B873" s="5"/>
      <c r="H873" s="16"/>
    </row>
    <row r="874" spans="2:8">
      <c r="B874" s="5"/>
      <c r="H874" s="16"/>
    </row>
    <row r="875" spans="2:8">
      <c r="B875" s="5"/>
      <c r="H875" s="16"/>
    </row>
    <row r="876" spans="2:8">
      <c r="B876" s="5"/>
      <c r="H876" s="16"/>
    </row>
    <row r="877" spans="2:8">
      <c r="B877" s="5"/>
      <c r="H877" s="16"/>
    </row>
    <row r="878" spans="2:8">
      <c r="B878" s="5"/>
      <c r="H878" s="16"/>
    </row>
    <row r="879" spans="2:8">
      <c r="B879" s="5"/>
      <c r="H879" s="16"/>
    </row>
    <row r="880" spans="2:8">
      <c r="B880" s="5"/>
      <c r="H880" s="16"/>
    </row>
    <row r="881" spans="2:8">
      <c r="B881" s="5"/>
      <c r="H881" s="16"/>
    </row>
    <row r="882" spans="2:8">
      <c r="B882" s="5"/>
      <c r="H882" s="16"/>
    </row>
    <row r="883" spans="2:8">
      <c r="B883" s="5"/>
      <c r="H883" s="16"/>
    </row>
    <row r="884" spans="2:8">
      <c r="B884" s="5"/>
      <c r="H884" s="16"/>
    </row>
    <row r="885" spans="2:8">
      <c r="B885" s="5"/>
      <c r="H885" s="16"/>
    </row>
    <row r="886" spans="2:8">
      <c r="B886" s="5"/>
      <c r="H886" s="16"/>
    </row>
    <row r="887" spans="2:8">
      <c r="B887" s="5"/>
      <c r="H887" s="16"/>
    </row>
    <row r="888" spans="2:8">
      <c r="B888" s="5"/>
      <c r="H888" s="16"/>
    </row>
    <row r="889" spans="2:8">
      <c r="B889" s="5"/>
      <c r="H889" s="16"/>
    </row>
    <row r="890" spans="2:8">
      <c r="B890" s="5"/>
      <c r="H890" s="16"/>
    </row>
    <row r="891" spans="2:8">
      <c r="B891" s="5"/>
      <c r="H891" s="16"/>
    </row>
    <row r="892" spans="2:8">
      <c r="B892" s="5"/>
      <c r="H892" s="16"/>
    </row>
  </sheetData>
  <mergeCells count="27">
    <mergeCell ref="C50:F50"/>
    <mergeCell ref="G50:H50"/>
    <mergeCell ref="C47:F47"/>
    <mergeCell ref="G47:H47"/>
    <mergeCell ref="C48:F48"/>
    <mergeCell ref="G48:H48"/>
    <mergeCell ref="C49:F49"/>
    <mergeCell ref="G49:H49"/>
    <mergeCell ref="C44:F44"/>
    <mergeCell ref="G44:H44"/>
    <mergeCell ref="C45:F45"/>
    <mergeCell ref="G45:H45"/>
    <mergeCell ref="C46:F46"/>
    <mergeCell ref="G46:H46"/>
    <mergeCell ref="C43:F43"/>
    <mergeCell ref="G43:H43"/>
    <mergeCell ref="A4:H4"/>
    <mergeCell ref="A10:F10"/>
    <mergeCell ref="A17:F17"/>
    <mergeCell ref="A23:F23"/>
    <mergeCell ref="A29:F29"/>
    <mergeCell ref="A35:F35"/>
    <mergeCell ref="A38:F38"/>
    <mergeCell ref="C41:F41"/>
    <mergeCell ref="G41:H41"/>
    <mergeCell ref="C42:F42"/>
    <mergeCell ref="G42:H42"/>
  </mergeCells>
  <phoneticPr fontId="24" type="noConversion"/>
  <dataValidations count="1">
    <dataValidation type="list" allowBlank="1" showInputMessage="1" showErrorMessage="1" sqref="B42:B48" xr:uid="{23656E18-2D5E-4176-A255-1EBF8C8BAA39}">
      <formula1>$L$41:$L$45</formula1>
    </dataValidation>
  </dataValidations>
  <pageMargins left="0.7" right="0.7" top="0.75" bottom="0.75" header="0.3" footer="0.3"/>
  <pageSetup scale="52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EA609-33AD-4DA1-BF3B-9013D5848969}">
  <sheetPr>
    <pageSetUpPr fitToPage="1"/>
  </sheetPr>
  <dimension ref="A1:L892"/>
  <sheetViews>
    <sheetView showZeros="0" view="pageBreakPreview" zoomScale="60" zoomScaleNormal="70" workbookViewId="0">
      <selection activeCell="A11" sqref="A11"/>
    </sheetView>
  </sheetViews>
  <sheetFormatPr defaultColWidth="10.875" defaultRowHeight="18.75"/>
  <cols>
    <col min="1" max="1" width="35.625" customWidth="1"/>
    <col min="2" max="2" width="14.625" style="16" customWidth="1"/>
    <col min="3" max="7" width="15.875" style="5" customWidth="1"/>
    <col min="8" max="8" width="15.875" style="17" customWidth="1"/>
    <col min="9" max="9" width="9" style="5"/>
    <col min="10" max="12" width="0" style="5" hidden="1" customWidth="1"/>
    <col min="13" max="16384" width="10.875" style="5"/>
  </cols>
  <sheetData>
    <row r="1" spans="1:10" customFormat="1" ht="15.75">
      <c r="A1" s="41"/>
      <c r="B1" s="42"/>
      <c r="C1" s="43"/>
      <c r="D1" s="43"/>
      <c r="E1" s="45" t="s">
        <v>25</v>
      </c>
      <c r="F1" s="43"/>
      <c r="G1" s="45" t="s">
        <v>26</v>
      </c>
      <c r="H1" s="44">
        <v>6</v>
      </c>
    </row>
    <row r="2" spans="1:10">
      <c r="A2" s="30"/>
      <c r="B2" s="18" t="s">
        <v>27</v>
      </c>
      <c r="C2" s="19" t="s">
        <v>28</v>
      </c>
      <c r="D2" s="19" t="s">
        <v>29</v>
      </c>
      <c r="E2" s="18" t="s">
        <v>30</v>
      </c>
      <c r="F2" s="18" t="s">
        <v>31</v>
      </c>
      <c r="G2" s="18" t="s">
        <v>32</v>
      </c>
      <c r="H2" s="18" t="s">
        <v>33</v>
      </c>
    </row>
    <row r="3" spans="1:10" ht="21" customHeight="1">
      <c r="A3" s="31" t="s">
        <v>7</v>
      </c>
      <c r="B3" s="6">
        <f>'Week. 8'!H3+1</f>
        <v>46082</v>
      </c>
      <c r="C3" s="6">
        <f>B3+1</f>
        <v>46083</v>
      </c>
      <c r="D3" s="6">
        <f t="shared" ref="D3:H3" si="0">C3+1</f>
        <v>46084</v>
      </c>
      <c r="E3" s="6">
        <f t="shared" si="0"/>
        <v>46085</v>
      </c>
      <c r="F3" s="6">
        <f t="shared" si="0"/>
        <v>46086</v>
      </c>
      <c r="G3" s="6">
        <f t="shared" si="0"/>
        <v>46087</v>
      </c>
      <c r="H3" s="6">
        <f t="shared" si="0"/>
        <v>46088</v>
      </c>
    </row>
    <row r="4" spans="1:10" s="7" customFormat="1">
      <c r="A4" s="181" t="s">
        <v>135</v>
      </c>
      <c r="B4" s="181"/>
      <c r="C4" s="181"/>
      <c r="D4" s="181"/>
      <c r="E4" s="181"/>
      <c r="F4" s="181"/>
      <c r="G4" s="181"/>
      <c r="H4" s="181"/>
    </row>
    <row r="5" spans="1:10" s="7" customFormat="1" ht="26.1" customHeight="1">
      <c r="A5" s="32" t="s">
        <v>8</v>
      </c>
      <c r="B5" s="27"/>
      <c r="C5" s="27"/>
      <c r="D5" s="27"/>
      <c r="E5" s="27"/>
      <c r="F5" s="27"/>
      <c r="G5" s="27"/>
      <c r="H5" s="27"/>
    </row>
    <row r="6" spans="1:10" s="7" customFormat="1" ht="26.1" customHeight="1">
      <c r="A6" s="4" t="s">
        <v>23</v>
      </c>
      <c r="B6" s="62"/>
      <c r="C6" s="62"/>
      <c r="D6" s="62"/>
      <c r="E6" s="62"/>
      <c r="F6" s="62"/>
      <c r="G6" s="62"/>
      <c r="H6" s="62"/>
    </row>
    <row r="7" spans="1:10" s="7" customFormat="1" ht="21.95" customHeight="1">
      <c r="A7" s="32" t="s">
        <v>35</v>
      </c>
      <c r="B7" s="27"/>
      <c r="C7" s="28"/>
      <c r="D7" s="28"/>
      <c r="E7" s="28"/>
      <c r="F7" s="28"/>
      <c r="G7" s="28"/>
      <c r="H7" s="27"/>
    </row>
    <row r="8" spans="1:10" s="7" customFormat="1" ht="24.95" customHeight="1">
      <c r="A8" s="83" t="s">
        <v>36</v>
      </c>
      <c r="B8" s="84">
        <f t="shared" ref="B8:H8" si="1">B5+B6+B7</f>
        <v>0</v>
      </c>
      <c r="C8" s="84">
        <f t="shared" si="1"/>
        <v>0</v>
      </c>
      <c r="D8" s="84">
        <f t="shared" si="1"/>
        <v>0</v>
      </c>
      <c r="E8" s="84">
        <f t="shared" si="1"/>
        <v>0</v>
      </c>
      <c r="F8" s="84">
        <f t="shared" si="1"/>
        <v>0</v>
      </c>
      <c r="G8" s="84">
        <f t="shared" si="1"/>
        <v>0</v>
      </c>
      <c r="H8" s="84">
        <f t="shared" si="1"/>
        <v>0</v>
      </c>
    </row>
    <row r="9" spans="1:10" s="7" customFormat="1" ht="24.95" customHeight="1">
      <c r="A9" s="33"/>
      <c r="B9" s="29"/>
      <c r="C9" s="29"/>
      <c r="D9" s="29"/>
      <c r="E9" s="29"/>
      <c r="F9" s="29"/>
      <c r="G9" s="63" t="s">
        <v>37</v>
      </c>
      <c r="H9" s="64">
        <f>SUM(B8:H8)</f>
        <v>0</v>
      </c>
    </row>
    <row r="10" spans="1:10" s="7" customFormat="1">
      <c r="A10" s="182" t="s">
        <v>136</v>
      </c>
      <c r="B10" s="183"/>
      <c r="C10" s="183"/>
      <c r="D10" s="183"/>
      <c r="E10" s="183"/>
      <c r="F10" s="183"/>
      <c r="G10" s="65" t="s">
        <v>39</v>
      </c>
      <c r="H10" s="66">
        <v>-0.15</v>
      </c>
      <c r="I10" s="5"/>
      <c r="J10" s="26"/>
    </row>
    <row r="11" spans="1:10" s="7" customFormat="1" ht="30" customHeight="1">
      <c r="A11" s="39" t="s">
        <v>8</v>
      </c>
      <c r="B11" s="9">
        <v>150</v>
      </c>
      <c r="C11" s="9">
        <v>105</v>
      </c>
      <c r="D11" s="67"/>
      <c r="E11" s="67"/>
      <c r="F11" s="9">
        <v>150</v>
      </c>
      <c r="G11" s="68">
        <v>150</v>
      </c>
      <c r="H11" s="69">
        <v>150</v>
      </c>
    </row>
    <row r="12" spans="1:10" s="7" customFormat="1" ht="30" customHeight="1">
      <c r="A12" s="70" t="s">
        <v>23</v>
      </c>
      <c r="B12" s="59">
        <v>450</v>
      </c>
      <c r="C12" s="58">
        <v>380</v>
      </c>
      <c r="D12" s="58">
        <v>370</v>
      </c>
      <c r="E12" s="58">
        <v>390</v>
      </c>
      <c r="F12" s="58">
        <v>460</v>
      </c>
      <c r="G12" s="58">
        <v>460</v>
      </c>
      <c r="H12" s="58">
        <v>480</v>
      </c>
    </row>
    <row r="13" spans="1:10" s="7" customFormat="1" ht="30" customHeight="1">
      <c r="A13" s="3" t="s">
        <v>35</v>
      </c>
      <c r="B13" s="8">
        <v>520</v>
      </c>
      <c r="C13" s="8">
        <v>400</v>
      </c>
      <c r="D13" s="8">
        <v>360</v>
      </c>
      <c r="E13" s="8">
        <v>470</v>
      </c>
      <c r="F13" s="8">
        <v>590</v>
      </c>
      <c r="G13" s="8">
        <v>600</v>
      </c>
      <c r="H13" s="8">
        <v>590</v>
      </c>
    </row>
    <row r="14" spans="1:10" s="7" customFormat="1" ht="27" customHeight="1">
      <c r="A14" s="85" t="s">
        <v>36</v>
      </c>
      <c r="B14" s="87">
        <f t="shared" ref="B14:H14" si="2">B11+B12+B13</f>
        <v>1120</v>
      </c>
      <c r="C14" s="87">
        <f t="shared" si="2"/>
        <v>885</v>
      </c>
      <c r="D14" s="87">
        <f t="shared" si="2"/>
        <v>730</v>
      </c>
      <c r="E14" s="87">
        <f t="shared" si="2"/>
        <v>860</v>
      </c>
      <c r="F14" s="87">
        <f t="shared" si="2"/>
        <v>1200</v>
      </c>
      <c r="G14" s="87">
        <f t="shared" si="2"/>
        <v>1210</v>
      </c>
      <c r="H14" s="87">
        <f t="shared" si="2"/>
        <v>1220</v>
      </c>
    </row>
    <row r="15" spans="1:10" s="7" customFormat="1" ht="24.95" customHeight="1">
      <c r="A15" s="86" t="s">
        <v>40</v>
      </c>
      <c r="B15" s="92" t="e">
        <f t="shared" ref="B15:H15" si="3">(B14-B8)/B8</f>
        <v>#DIV/0!</v>
      </c>
      <c r="C15" s="93" t="e">
        <f t="shared" si="3"/>
        <v>#DIV/0!</v>
      </c>
      <c r="D15" s="93" t="e">
        <f t="shared" si="3"/>
        <v>#DIV/0!</v>
      </c>
      <c r="E15" s="93" t="e">
        <f t="shared" si="3"/>
        <v>#DIV/0!</v>
      </c>
      <c r="F15" s="93" t="e">
        <f t="shared" si="3"/>
        <v>#DIV/0!</v>
      </c>
      <c r="G15" s="93" t="e">
        <f t="shared" si="3"/>
        <v>#DIV/0!</v>
      </c>
      <c r="H15" s="94" t="e">
        <f t="shared" si="3"/>
        <v>#DIV/0!</v>
      </c>
      <c r="I15" s="71"/>
    </row>
    <row r="16" spans="1:10" ht="30" customHeight="1">
      <c r="B16" s="88"/>
      <c r="C16" s="88"/>
      <c r="D16" s="88"/>
      <c r="E16" s="88"/>
      <c r="F16" s="89"/>
      <c r="G16" s="90" t="s">
        <v>37</v>
      </c>
      <c r="H16" s="91">
        <f>SUM(B14:H14)</f>
        <v>7225</v>
      </c>
    </row>
    <row r="17" spans="1:8" s="7" customFormat="1">
      <c r="A17" s="184" t="s">
        <v>41</v>
      </c>
      <c r="B17" s="185"/>
      <c r="C17" s="185"/>
      <c r="D17" s="185"/>
      <c r="E17" s="185"/>
      <c r="F17" s="185"/>
      <c r="G17" s="72" t="s">
        <v>42</v>
      </c>
      <c r="H17" s="66" t="e">
        <f>(H16-H9)/H9</f>
        <v>#DIV/0!</v>
      </c>
    </row>
    <row r="18" spans="1:8" s="7" customFormat="1" ht="30" customHeight="1">
      <c r="A18" s="35" t="s">
        <v>43</v>
      </c>
      <c r="B18" s="12"/>
      <c r="C18" s="12"/>
      <c r="D18" s="73"/>
      <c r="E18" s="73"/>
      <c r="F18" s="12"/>
      <c r="G18" s="24"/>
      <c r="H18" s="74"/>
    </row>
    <row r="19" spans="1:8" s="7" customFormat="1" ht="30" customHeight="1">
      <c r="A19" s="35" t="str">
        <f>'Week. 8'!A31</f>
        <v>Non Meal Plan Meals</v>
      </c>
      <c r="B19" s="12"/>
      <c r="C19" s="12"/>
      <c r="D19" s="73"/>
      <c r="E19" s="73"/>
      <c r="F19" s="12"/>
      <c r="G19" s="24"/>
      <c r="H19" s="74"/>
    </row>
    <row r="20" spans="1:8" s="7" customFormat="1" ht="30" customHeight="1">
      <c r="A20" s="35" t="str">
        <f>'Week. 8'!A32</f>
        <v xml:space="preserve">Meal numbers </v>
      </c>
      <c r="B20" s="95"/>
      <c r="C20" s="95"/>
      <c r="D20" s="67"/>
      <c r="E20" s="67"/>
      <c r="F20" s="95"/>
      <c r="G20" s="95"/>
      <c r="H20" s="75"/>
    </row>
    <row r="21" spans="1:8" s="7" customFormat="1" ht="24.95" customHeight="1">
      <c r="A21" s="36" t="s">
        <v>45</v>
      </c>
      <c r="B21" s="77">
        <f t="shared" ref="B21:G21" si="4">B18+B20</f>
        <v>0</v>
      </c>
      <c r="C21" s="77">
        <f t="shared" si="4"/>
        <v>0</v>
      </c>
      <c r="D21" s="96"/>
      <c r="E21" s="96"/>
      <c r="F21" s="77">
        <f t="shared" si="4"/>
        <v>0</v>
      </c>
      <c r="G21" s="77">
        <f t="shared" si="4"/>
        <v>0</v>
      </c>
      <c r="H21" s="77">
        <f>H18+H20</f>
        <v>0</v>
      </c>
    </row>
    <row r="22" spans="1:8" s="7" customFormat="1" ht="24.95" customHeight="1">
      <c r="A22" s="34" t="s">
        <v>40</v>
      </c>
      <c r="B22" s="92" t="e">
        <f>(B21-B5)/B5</f>
        <v>#DIV/0!</v>
      </c>
      <c r="C22" s="93" t="e">
        <f>(C21-C5)/C5</f>
        <v>#DIV/0!</v>
      </c>
      <c r="D22" s="99"/>
      <c r="E22" s="99"/>
      <c r="F22" s="93" t="e">
        <f>(F21-F5)/F5</f>
        <v>#DIV/0!</v>
      </c>
      <c r="G22" s="93" t="e">
        <f>(G21-G5)/G5</f>
        <v>#DIV/0!</v>
      </c>
      <c r="H22" s="94" t="e">
        <f>(H21-H5)/H5</f>
        <v>#DIV/0!</v>
      </c>
    </row>
    <row r="23" spans="1:8" s="7" customFormat="1">
      <c r="A23" s="186" t="s">
        <v>46</v>
      </c>
      <c r="B23" s="187"/>
      <c r="C23" s="187"/>
      <c r="D23" s="187"/>
      <c r="E23" s="187"/>
      <c r="F23" s="188" t="s">
        <v>47</v>
      </c>
      <c r="G23" s="97"/>
      <c r="H23" s="98"/>
    </row>
    <row r="24" spans="1:8" s="7" customFormat="1" ht="30" customHeight="1">
      <c r="A24" s="35" t="s">
        <v>43</v>
      </c>
      <c r="B24" s="11"/>
      <c r="C24" s="12"/>
      <c r="D24" s="12"/>
      <c r="E24" s="12"/>
      <c r="F24" s="12"/>
      <c r="G24" s="12"/>
      <c r="H24" s="11"/>
    </row>
    <row r="25" spans="1:8" s="7" customFormat="1" ht="30" customHeight="1">
      <c r="A25" s="35" t="str">
        <f>A19</f>
        <v>Non Meal Plan Meals</v>
      </c>
      <c r="B25" s="117"/>
      <c r="C25" s="117"/>
      <c r="D25" s="117"/>
      <c r="E25" s="117"/>
      <c r="F25" s="117"/>
      <c r="G25" s="117"/>
      <c r="H25" s="117"/>
    </row>
    <row r="26" spans="1:8" s="7" customFormat="1" ht="30" customHeight="1">
      <c r="A26" s="35" t="str">
        <f>A20</f>
        <v xml:space="preserve">Meal numbers </v>
      </c>
      <c r="B26" s="11"/>
      <c r="C26" s="11"/>
      <c r="D26" s="11"/>
      <c r="E26" s="11"/>
      <c r="F26" s="11"/>
      <c r="G26" s="11"/>
      <c r="H26" s="11"/>
    </row>
    <row r="27" spans="1:8" s="7" customFormat="1" ht="27.95" customHeight="1">
      <c r="A27" s="36" t="s">
        <v>50</v>
      </c>
      <c r="B27" s="100">
        <f>B24+B25+B26</f>
        <v>0</v>
      </c>
      <c r="C27" s="100">
        <f t="shared" ref="C27:G27" si="5">C24+C25+C26</f>
        <v>0</v>
      </c>
      <c r="D27" s="100">
        <f t="shared" si="5"/>
        <v>0</v>
      </c>
      <c r="E27" s="100">
        <f t="shared" si="5"/>
        <v>0</v>
      </c>
      <c r="F27" s="100">
        <f t="shared" si="5"/>
        <v>0</v>
      </c>
      <c r="G27" s="100">
        <f t="shared" si="5"/>
        <v>0</v>
      </c>
      <c r="H27" s="100">
        <f>H24+H25+H26</f>
        <v>0</v>
      </c>
    </row>
    <row r="28" spans="1:8" s="7" customFormat="1" ht="24.95" customHeight="1">
      <c r="A28" s="34" t="s">
        <v>40</v>
      </c>
      <c r="B28" s="92" t="e">
        <f t="shared" ref="B28:H28" si="6">(B27-B6)/B6</f>
        <v>#DIV/0!</v>
      </c>
      <c r="C28" s="93" t="e">
        <f t="shared" si="6"/>
        <v>#DIV/0!</v>
      </c>
      <c r="D28" s="93" t="e">
        <f t="shared" si="6"/>
        <v>#DIV/0!</v>
      </c>
      <c r="E28" s="93" t="e">
        <f t="shared" si="6"/>
        <v>#DIV/0!</v>
      </c>
      <c r="F28" s="93" t="e">
        <f t="shared" si="6"/>
        <v>#DIV/0!</v>
      </c>
      <c r="G28" s="93" t="e">
        <f t="shared" si="6"/>
        <v>#DIV/0!</v>
      </c>
      <c r="H28" s="94" t="e">
        <f t="shared" si="6"/>
        <v>#DIV/0!</v>
      </c>
    </row>
    <row r="29" spans="1:8" s="7" customFormat="1">
      <c r="A29" s="189" t="s">
        <v>51</v>
      </c>
      <c r="B29" s="190"/>
      <c r="C29" s="190"/>
      <c r="D29" s="190"/>
      <c r="E29" s="190"/>
      <c r="F29" s="191" t="s">
        <v>35</v>
      </c>
      <c r="G29" s="101"/>
      <c r="H29" s="102"/>
    </row>
    <row r="30" spans="1:8" s="7" customFormat="1" ht="30" customHeight="1">
      <c r="A30" s="35" t="s">
        <v>43</v>
      </c>
      <c r="B30" s="10"/>
      <c r="C30" s="9"/>
      <c r="D30" s="9"/>
      <c r="E30" s="9"/>
      <c r="F30" s="9"/>
      <c r="G30" s="9"/>
      <c r="H30" s="10"/>
    </row>
    <row r="31" spans="1:8" s="7" customFormat="1" ht="30" customHeight="1">
      <c r="A31" s="35" t="str">
        <f>A25</f>
        <v>Non Meal Plan Meals</v>
      </c>
      <c r="B31" s="60"/>
      <c r="C31" s="60"/>
      <c r="D31" s="60"/>
      <c r="E31" s="60"/>
      <c r="F31" s="60"/>
      <c r="G31" s="60"/>
      <c r="H31" s="60"/>
    </row>
    <row r="32" spans="1:8" s="7" customFormat="1" ht="30" customHeight="1">
      <c r="A32" s="35" t="str">
        <f>A26</f>
        <v xml:space="preserve">Meal numbers </v>
      </c>
      <c r="B32" s="10"/>
      <c r="C32" s="10"/>
      <c r="D32" s="10"/>
      <c r="E32" s="10"/>
      <c r="F32" s="10"/>
      <c r="G32" s="10"/>
      <c r="H32" s="10"/>
    </row>
    <row r="33" spans="1:12" s="7" customFormat="1" ht="30.95" customHeight="1">
      <c r="A33" s="36" t="s">
        <v>53</v>
      </c>
      <c r="B33" s="103">
        <f>B30+B31+B32</f>
        <v>0</v>
      </c>
      <c r="C33" s="103">
        <f t="shared" ref="C33:G33" si="7">C30+C31+C32</f>
        <v>0</v>
      </c>
      <c r="D33" s="103">
        <f t="shared" si="7"/>
        <v>0</v>
      </c>
      <c r="E33" s="103">
        <f t="shared" si="7"/>
        <v>0</v>
      </c>
      <c r="F33" s="103">
        <f t="shared" si="7"/>
        <v>0</v>
      </c>
      <c r="G33" s="103">
        <f t="shared" si="7"/>
        <v>0</v>
      </c>
      <c r="H33" s="103">
        <f>H30+H31+H32</f>
        <v>0</v>
      </c>
    </row>
    <row r="34" spans="1:12" s="7" customFormat="1" ht="24.95" customHeight="1">
      <c r="A34" s="34" t="s">
        <v>40</v>
      </c>
      <c r="B34" s="92" t="e">
        <f t="shared" ref="B34:H34" si="8">(B33-B7)/B7</f>
        <v>#DIV/0!</v>
      </c>
      <c r="C34" s="93" t="e">
        <f t="shared" si="8"/>
        <v>#DIV/0!</v>
      </c>
      <c r="D34" s="93" t="e">
        <f t="shared" si="8"/>
        <v>#DIV/0!</v>
      </c>
      <c r="E34" s="93" t="e">
        <f t="shared" si="8"/>
        <v>#DIV/0!</v>
      </c>
      <c r="F34" s="93" t="e">
        <f t="shared" si="8"/>
        <v>#DIV/0!</v>
      </c>
      <c r="G34" s="93" t="e">
        <f t="shared" si="8"/>
        <v>#DIV/0!</v>
      </c>
      <c r="H34" s="94" t="e">
        <f t="shared" si="8"/>
        <v>#DIV/0!</v>
      </c>
    </row>
    <row r="35" spans="1:12" s="7" customFormat="1">
      <c r="A35" s="192" t="s">
        <v>54</v>
      </c>
      <c r="B35" s="193"/>
      <c r="C35" s="193"/>
      <c r="D35" s="193"/>
      <c r="E35" s="193"/>
      <c r="F35" s="194" t="s">
        <v>35</v>
      </c>
      <c r="G35" s="104"/>
      <c r="H35" s="105"/>
    </row>
    <row r="36" spans="1:12" s="7" customFormat="1" ht="30.95" customHeight="1">
      <c r="A36" s="78" t="s">
        <v>55</v>
      </c>
      <c r="B36" s="77">
        <f>B33+B27+B21</f>
        <v>0</v>
      </c>
      <c r="C36" s="77">
        <f t="shared" ref="C36:H36" si="9">C33+C27+C21</f>
        <v>0</v>
      </c>
      <c r="D36" s="77">
        <f t="shared" si="9"/>
        <v>0</v>
      </c>
      <c r="E36" s="77">
        <f t="shared" si="9"/>
        <v>0</v>
      </c>
      <c r="F36" s="77">
        <f t="shared" si="9"/>
        <v>0</v>
      </c>
      <c r="G36" s="77">
        <f t="shared" si="9"/>
        <v>0</v>
      </c>
      <c r="H36" s="77">
        <f t="shared" si="9"/>
        <v>0</v>
      </c>
    </row>
    <row r="37" spans="1:12" s="7" customFormat="1" ht="24.95" customHeight="1">
      <c r="A37" s="34" t="s">
        <v>40</v>
      </c>
      <c r="B37" s="92" t="e">
        <f t="shared" ref="B37:H37" si="10">(B36-B8)/B8</f>
        <v>#DIV/0!</v>
      </c>
      <c r="C37" s="93" t="e">
        <f t="shared" si="10"/>
        <v>#DIV/0!</v>
      </c>
      <c r="D37" s="93" t="e">
        <f t="shared" si="10"/>
        <v>#DIV/0!</v>
      </c>
      <c r="E37" s="93" t="e">
        <f t="shared" si="10"/>
        <v>#DIV/0!</v>
      </c>
      <c r="F37" s="93" t="e">
        <f t="shared" si="10"/>
        <v>#DIV/0!</v>
      </c>
      <c r="G37" s="93" t="e">
        <f t="shared" si="10"/>
        <v>#DIV/0!</v>
      </c>
      <c r="H37" s="94" t="e">
        <f t="shared" si="10"/>
        <v>#DIV/0!</v>
      </c>
    </row>
    <row r="38" spans="1:12" ht="30" customHeight="1">
      <c r="A38" s="195"/>
      <c r="B38" s="196"/>
      <c r="C38" s="196"/>
      <c r="D38" s="196"/>
      <c r="E38" s="196"/>
      <c r="F38" s="196"/>
      <c r="G38" s="106" t="s">
        <v>37</v>
      </c>
      <c r="H38" s="107">
        <f>SUM(B36:H36)</f>
        <v>0</v>
      </c>
    </row>
    <row r="39" spans="1:12" s="7" customFormat="1" ht="24.95" customHeight="1">
      <c r="A39" s="37"/>
      <c r="B39" s="25"/>
      <c r="C39" s="25"/>
      <c r="D39" s="25"/>
      <c r="E39" s="25"/>
      <c r="F39" s="25"/>
      <c r="G39" s="79" t="s">
        <v>40</v>
      </c>
      <c r="H39" s="80" t="e">
        <f>(H38-H9)/H9</f>
        <v>#DIV/0!</v>
      </c>
    </row>
    <row r="40" spans="1:12" s="7" customFormat="1" ht="24.95" customHeight="1">
      <c r="A40" s="37"/>
      <c r="B40" s="25"/>
      <c r="C40" s="25"/>
      <c r="D40" s="25"/>
      <c r="E40" s="25"/>
      <c r="F40" s="25"/>
      <c r="G40" s="81" t="s">
        <v>56</v>
      </c>
      <c r="H40" s="82">
        <f>(H38-H16)/H16</f>
        <v>-1</v>
      </c>
    </row>
    <row r="41" spans="1:12" s="46" customFormat="1" ht="23.1" customHeight="1">
      <c r="A41" s="40"/>
      <c r="B41" s="47" t="s">
        <v>57</v>
      </c>
      <c r="C41" s="197" t="s">
        <v>58</v>
      </c>
      <c r="D41" s="197"/>
      <c r="E41" s="197"/>
      <c r="F41" s="197"/>
      <c r="G41" s="198">
        <v>2022</v>
      </c>
      <c r="H41" s="199"/>
    </row>
    <row r="42" spans="1:12" ht="30" customHeight="1">
      <c r="A42" s="1" t="s">
        <v>60</v>
      </c>
      <c r="B42" s="57" t="s">
        <v>59</v>
      </c>
      <c r="C42" s="180"/>
      <c r="D42" s="180"/>
      <c r="E42" s="180"/>
      <c r="F42" s="180"/>
      <c r="G42" s="178"/>
      <c r="H42" s="179"/>
      <c r="L42" s="7" t="s">
        <v>61</v>
      </c>
    </row>
    <row r="43" spans="1:12" ht="30" customHeight="1">
      <c r="A43" s="1" t="s">
        <v>1</v>
      </c>
      <c r="B43" s="57" t="s">
        <v>59</v>
      </c>
      <c r="C43" s="180"/>
      <c r="D43" s="180"/>
      <c r="E43" s="180"/>
      <c r="F43" s="180"/>
      <c r="G43" s="178"/>
      <c r="H43" s="179"/>
      <c r="L43" s="5" t="s">
        <v>62</v>
      </c>
    </row>
    <row r="44" spans="1:12" ht="30" customHeight="1">
      <c r="A44" s="1" t="s">
        <v>2</v>
      </c>
      <c r="B44" s="57" t="s">
        <v>59</v>
      </c>
      <c r="C44" s="175"/>
      <c r="D44" s="175"/>
      <c r="E44" s="175"/>
      <c r="F44" s="175"/>
      <c r="G44" s="176"/>
      <c r="H44" s="177"/>
      <c r="L44" s="5" t="s">
        <v>63</v>
      </c>
    </row>
    <row r="45" spans="1:12" ht="30" customHeight="1">
      <c r="A45" s="1" t="s">
        <v>3</v>
      </c>
      <c r="B45" s="57" t="s">
        <v>59</v>
      </c>
      <c r="C45" s="175"/>
      <c r="D45" s="175"/>
      <c r="E45" s="175"/>
      <c r="F45" s="175"/>
      <c r="G45" s="176"/>
      <c r="H45" s="177"/>
      <c r="L45" s="5" t="s">
        <v>64</v>
      </c>
    </row>
    <row r="46" spans="1:12" ht="30.95" customHeight="1">
      <c r="A46" s="1" t="s">
        <v>4</v>
      </c>
      <c r="B46" s="57" t="s">
        <v>59</v>
      </c>
      <c r="C46" s="175"/>
      <c r="D46" s="175"/>
      <c r="E46" s="175"/>
      <c r="F46" s="175"/>
      <c r="G46" s="176"/>
      <c r="H46" s="177"/>
    </row>
    <row r="47" spans="1:12" ht="30" customHeight="1">
      <c r="A47" s="1" t="s">
        <v>5</v>
      </c>
      <c r="B47" s="57" t="s">
        <v>59</v>
      </c>
      <c r="C47" s="175"/>
      <c r="D47" s="175"/>
      <c r="E47" s="175"/>
      <c r="F47" s="175"/>
      <c r="G47" s="176"/>
      <c r="H47" s="177"/>
    </row>
    <row r="48" spans="1:12" ht="30" customHeight="1">
      <c r="A48" s="1" t="s">
        <v>6</v>
      </c>
      <c r="B48" s="57" t="s">
        <v>59</v>
      </c>
      <c r="C48" s="175"/>
      <c r="D48" s="175"/>
      <c r="E48" s="175"/>
      <c r="F48" s="175"/>
      <c r="G48" s="176"/>
      <c r="H48" s="177"/>
    </row>
    <row r="49" spans="1:8" ht="30" customHeight="1">
      <c r="A49" s="1"/>
      <c r="B49" s="14"/>
      <c r="C49" s="175"/>
      <c r="D49" s="175"/>
      <c r="E49" s="175"/>
      <c r="F49" s="175"/>
      <c r="G49" s="176"/>
      <c r="H49" s="177"/>
    </row>
    <row r="50" spans="1:8" ht="30" customHeight="1">
      <c r="A50" s="2"/>
      <c r="B50" s="14"/>
      <c r="C50" s="175"/>
      <c r="D50" s="175"/>
      <c r="E50" s="175"/>
      <c r="F50" s="175"/>
      <c r="G50" s="176"/>
      <c r="H50" s="177"/>
    </row>
    <row r="51" spans="1:8">
      <c r="A51" s="30"/>
      <c r="B51" s="18" t="s">
        <v>27</v>
      </c>
      <c r="C51" s="18" t="s">
        <v>28</v>
      </c>
      <c r="D51" s="18" t="s">
        <v>65</v>
      </c>
      <c r="E51" s="18" t="s">
        <v>30</v>
      </c>
      <c r="F51" s="18" t="s">
        <v>66</v>
      </c>
      <c r="G51" s="18" t="s">
        <v>32</v>
      </c>
      <c r="H51" s="18" t="s">
        <v>33</v>
      </c>
    </row>
    <row r="52" spans="1:8">
      <c r="A52" s="38" t="s">
        <v>67</v>
      </c>
      <c r="B52" s="15"/>
      <c r="C52" s="20"/>
      <c r="D52" s="20"/>
      <c r="E52" s="20"/>
      <c r="F52" s="20"/>
      <c r="G52" s="20"/>
      <c r="H52" s="15"/>
    </row>
    <row r="53" spans="1:8" customFormat="1" ht="15.75">
      <c r="A53" s="48" t="s">
        <v>68</v>
      </c>
      <c r="B53" s="22"/>
      <c r="C53" s="21"/>
      <c r="D53" s="21"/>
      <c r="E53" s="21"/>
      <c r="F53" s="21"/>
      <c r="G53" s="23" t="s">
        <v>37</v>
      </c>
      <c r="H53" s="23">
        <f>SUM(B52:H52)</f>
        <v>0</v>
      </c>
    </row>
    <row r="54" spans="1:8">
      <c r="A54" s="30"/>
      <c r="B54" s="18" t="s">
        <v>27</v>
      </c>
      <c r="C54" s="18" t="s">
        <v>28</v>
      </c>
      <c r="D54" s="18" t="s">
        <v>65</v>
      </c>
      <c r="E54" s="18" t="s">
        <v>30</v>
      </c>
      <c r="F54" s="18" t="s">
        <v>66</v>
      </c>
      <c r="G54" s="18" t="s">
        <v>32</v>
      </c>
      <c r="H54" s="18" t="s">
        <v>33</v>
      </c>
    </row>
    <row r="55" spans="1:8">
      <c r="A55" s="38" t="s">
        <v>69</v>
      </c>
      <c r="B55" s="51"/>
      <c r="C55" s="52"/>
      <c r="D55" s="52"/>
      <c r="E55" s="52"/>
      <c r="F55" s="52"/>
      <c r="G55" s="20"/>
      <c r="H55" s="15"/>
    </row>
    <row r="56" spans="1:8" customFormat="1" ht="15.75">
      <c r="A56" s="49" t="s">
        <v>70</v>
      </c>
      <c r="B56" s="53"/>
      <c r="C56" s="53" t="s">
        <v>71</v>
      </c>
      <c r="D56" s="54"/>
      <c r="E56" s="54"/>
      <c r="F56" s="55"/>
      <c r="G56" s="50" t="s">
        <v>37</v>
      </c>
      <c r="H56" s="23"/>
    </row>
    <row r="57" spans="1:8">
      <c r="H57" s="16"/>
    </row>
    <row r="58" spans="1:8">
      <c r="H58" s="16"/>
    </row>
    <row r="59" spans="1:8">
      <c r="H59" s="16"/>
    </row>
    <row r="60" spans="1:8">
      <c r="H60" s="16"/>
    </row>
    <row r="61" spans="1:8">
      <c r="H61" s="16"/>
    </row>
    <row r="62" spans="1:8">
      <c r="H62" s="16"/>
    </row>
    <row r="63" spans="1:8">
      <c r="H63" s="16"/>
    </row>
    <row r="64" spans="1:8">
      <c r="B64" s="5"/>
      <c r="H64" s="16"/>
    </row>
    <row r="65" spans="2:8">
      <c r="B65" s="5"/>
      <c r="H65" s="16"/>
    </row>
    <row r="66" spans="2:8">
      <c r="B66" s="5"/>
      <c r="H66" s="16"/>
    </row>
    <row r="67" spans="2:8">
      <c r="B67" s="5"/>
      <c r="H67" s="16"/>
    </row>
    <row r="68" spans="2:8">
      <c r="B68" s="5"/>
      <c r="H68" s="16"/>
    </row>
    <row r="69" spans="2:8">
      <c r="B69" s="5"/>
      <c r="H69" s="16"/>
    </row>
    <row r="70" spans="2:8">
      <c r="B70" s="5"/>
      <c r="H70" s="16"/>
    </row>
    <row r="71" spans="2:8">
      <c r="B71" s="5"/>
      <c r="H71" s="16"/>
    </row>
    <row r="72" spans="2:8">
      <c r="B72" s="5"/>
      <c r="H72" s="16"/>
    </row>
    <row r="73" spans="2:8">
      <c r="B73" s="5"/>
      <c r="H73" s="16"/>
    </row>
    <row r="74" spans="2:8">
      <c r="B74" s="5"/>
      <c r="H74" s="16"/>
    </row>
    <row r="75" spans="2:8">
      <c r="B75" s="5"/>
      <c r="H75" s="16"/>
    </row>
    <row r="76" spans="2:8">
      <c r="B76" s="5"/>
      <c r="H76" s="16"/>
    </row>
    <row r="77" spans="2:8">
      <c r="B77" s="5"/>
      <c r="H77" s="16"/>
    </row>
    <row r="78" spans="2:8">
      <c r="B78" s="5"/>
      <c r="H78" s="16"/>
    </row>
    <row r="79" spans="2:8">
      <c r="B79" s="5"/>
      <c r="H79" s="16"/>
    </row>
    <row r="80" spans="2:8">
      <c r="B80" s="5"/>
      <c r="H80" s="16"/>
    </row>
    <row r="81" spans="2:8">
      <c r="B81" s="5"/>
      <c r="H81" s="16"/>
    </row>
    <row r="82" spans="2:8">
      <c r="B82" s="5"/>
      <c r="H82" s="16"/>
    </row>
    <row r="83" spans="2:8">
      <c r="B83" s="5"/>
      <c r="H83" s="16"/>
    </row>
    <row r="84" spans="2:8">
      <c r="B84" s="5"/>
      <c r="H84" s="16"/>
    </row>
    <row r="85" spans="2:8">
      <c r="B85" s="5"/>
      <c r="H85" s="16"/>
    </row>
    <row r="86" spans="2:8">
      <c r="B86" s="5"/>
      <c r="H86" s="16"/>
    </row>
    <row r="87" spans="2:8">
      <c r="B87" s="5"/>
      <c r="H87" s="16"/>
    </row>
    <row r="88" spans="2:8">
      <c r="B88" s="5"/>
      <c r="H88" s="16"/>
    </row>
    <row r="89" spans="2:8">
      <c r="B89" s="5"/>
      <c r="H89" s="16"/>
    </row>
    <row r="90" spans="2:8">
      <c r="B90" s="5"/>
      <c r="H90" s="16"/>
    </row>
    <row r="91" spans="2:8">
      <c r="B91" s="5"/>
      <c r="H91" s="16"/>
    </row>
    <row r="92" spans="2:8">
      <c r="B92" s="5"/>
      <c r="H92" s="16"/>
    </row>
    <row r="93" spans="2:8">
      <c r="B93" s="5"/>
      <c r="H93" s="16"/>
    </row>
    <row r="94" spans="2:8">
      <c r="B94" s="5"/>
      <c r="H94" s="16"/>
    </row>
    <row r="95" spans="2:8">
      <c r="B95" s="5"/>
      <c r="H95" s="16"/>
    </row>
    <row r="96" spans="2:8">
      <c r="B96" s="5"/>
      <c r="H96" s="16"/>
    </row>
    <row r="97" spans="2:8">
      <c r="B97" s="5"/>
      <c r="H97" s="16"/>
    </row>
    <row r="98" spans="2:8">
      <c r="B98" s="5"/>
      <c r="H98" s="16"/>
    </row>
    <row r="99" spans="2:8">
      <c r="B99" s="5"/>
      <c r="H99" s="16"/>
    </row>
    <row r="100" spans="2:8">
      <c r="B100" s="5"/>
      <c r="H100" s="16"/>
    </row>
    <row r="101" spans="2:8">
      <c r="B101" s="5"/>
      <c r="H101" s="16"/>
    </row>
    <row r="102" spans="2:8">
      <c r="B102" s="5"/>
      <c r="H102" s="16"/>
    </row>
    <row r="103" spans="2:8">
      <c r="B103" s="5"/>
      <c r="H103" s="16"/>
    </row>
    <row r="104" spans="2:8">
      <c r="B104" s="5"/>
      <c r="H104" s="16"/>
    </row>
    <row r="105" spans="2:8">
      <c r="B105" s="5"/>
      <c r="H105" s="16"/>
    </row>
    <row r="106" spans="2:8">
      <c r="B106" s="5"/>
      <c r="H106" s="16"/>
    </row>
    <row r="107" spans="2:8">
      <c r="B107" s="5"/>
      <c r="H107" s="16"/>
    </row>
    <row r="108" spans="2:8">
      <c r="B108" s="5"/>
      <c r="H108" s="16"/>
    </row>
    <row r="109" spans="2:8">
      <c r="B109" s="5"/>
      <c r="H109" s="16"/>
    </row>
    <row r="110" spans="2:8">
      <c r="B110" s="5"/>
      <c r="H110" s="16"/>
    </row>
    <row r="111" spans="2:8">
      <c r="B111" s="5"/>
      <c r="H111" s="16"/>
    </row>
    <row r="112" spans="2:8">
      <c r="B112" s="5"/>
      <c r="H112" s="16"/>
    </row>
    <row r="113" spans="2:8">
      <c r="B113" s="5"/>
      <c r="H113" s="16"/>
    </row>
    <row r="114" spans="2:8">
      <c r="B114" s="5"/>
      <c r="H114" s="16"/>
    </row>
    <row r="115" spans="2:8">
      <c r="B115" s="5"/>
      <c r="H115" s="16"/>
    </row>
    <row r="116" spans="2:8">
      <c r="B116" s="5"/>
      <c r="H116" s="16"/>
    </row>
    <row r="117" spans="2:8">
      <c r="B117" s="5"/>
      <c r="H117" s="16"/>
    </row>
    <row r="118" spans="2:8">
      <c r="B118" s="5"/>
      <c r="H118" s="16"/>
    </row>
    <row r="119" spans="2:8">
      <c r="B119" s="5"/>
      <c r="H119" s="16"/>
    </row>
    <row r="120" spans="2:8">
      <c r="B120" s="5"/>
      <c r="H120" s="16"/>
    </row>
    <row r="121" spans="2:8">
      <c r="B121" s="5"/>
      <c r="H121" s="16"/>
    </row>
    <row r="122" spans="2:8">
      <c r="B122" s="5"/>
      <c r="H122" s="16"/>
    </row>
    <row r="123" spans="2:8">
      <c r="B123" s="5"/>
      <c r="H123" s="16"/>
    </row>
    <row r="124" spans="2:8">
      <c r="B124" s="5"/>
      <c r="H124" s="16"/>
    </row>
    <row r="125" spans="2:8">
      <c r="B125" s="5"/>
      <c r="H125" s="16"/>
    </row>
    <row r="126" spans="2:8">
      <c r="B126" s="5"/>
      <c r="H126" s="16"/>
    </row>
    <row r="127" spans="2:8">
      <c r="B127" s="5"/>
      <c r="H127" s="16"/>
    </row>
    <row r="128" spans="2:8">
      <c r="B128" s="5"/>
      <c r="H128" s="16"/>
    </row>
    <row r="129" spans="2:8">
      <c r="B129" s="5"/>
      <c r="H129" s="16"/>
    </row>
    <row r="130" spans="2:8">
      <c r="B130" s="5"/>
      <c r="H130" s="16"/>
    </row>
    <row r="131" spans="2:8">
      <c r="B131" s="5"/>
      <c r="H131" s="16"/>
    </row>
    <row r="132" spans="2:8">
      <c r="B132" s="5"/>
      <c r="H132" s="16"/>
    </row>
    <row r="133" spans="2:8">
      <c r="B133" s="5"/>
      <c r="H133" s="16"/>
    </row>
    <row r="134" spans="2:8">
      <c r="B134" s="5"/>
      <c r="H134" s="16"/>
    </row>
    <row r="135" spans="2:8">
      <c r="B135" s="5"/>
      <c r="H135" s="16"/>
    </row>
    <row r="136" spans="2:8">
      <c r="B136" s="5"/>
      <c r="H136" s="16"/>
    </row>
    <row r="137" spans="2:8">
      <c r="B137" s="5"/>
      <c r="H137" s="16"/>
    </row>
    <row r="138" spans="2:8">
      <c r="B138" s="5"/>
      <c r="H138" s="16"/>
    </row>
    <row r="139" spans="2:8">
      <c r="B139" s="5"/>
      <c r="H139" s="16"/>
    </row>
    <row r="140" spans="2:8">
      <c r="B140" s="5"/>
      <c r="H140" s="16"/>
    </row>
    <row r="141" spans="2:8">
      <c r="B141" s="5"/>
      <c r="H141" s="16"/>
    </row>
    <row r="142" spans="2:8">
      <c r="B142" s="5"/>
      <c r="H142" s="16"/>
    </row>
    <row r="143" spans="2:8">
      <c r="B143" s="5"/>
      <c r="H143" s="16"/>
    </row>
    <row r="144" spans="2:8">
      <c r="B144" s="5"/>
      <c r="H144" s="16"/>
    </row>
    <row r="145" spans="2:8">
      <c r="B145" s="5"/>
      <c r="H145" s="16"/>
    </row>
    <row r="146" spans="2:8">
      <c r="B146" s="5"/>
      <c r="H146" s="16"/>
    </row>
    <row r="147" spans="2:8">
      <c r="B147" s="5"/>
      <c r="H147" s="16"/>
    </row>
    <row r="148" spans="2:8">
      <c r="B148" s="5"/>
      <c r="H148" s="16"/>
    </row>
    <row r="149" spans="2:8">
      <c r="B149" s="5"/>
      <c r="H149" s="16"/>
    </row>
    <row r="150" spans="2:8">
      <c r="B150" s="5"/>
      <c r="H150" s="16"/>
    </row>
    <row r="151" spans="2:8">
      <c r="B151" s="5"/>
      <c r="H151" s="16"/>
    </row>
    <row r="152" spans="2:8">
      <c r="B152" s="5"/>
      <c r="H152" s="16"/>
    </row>
    <row r="153" spans="2:8">
      <c r="B153" s="5"/>
      <c r="H153" s="16"/>
    </row>
    <row r="154" spans="2:8">
      <c r="B154" s="5"/>
      <c r="H154" s="16"/>
    </row>
    <row r="155" spans="2:8">
      <c r="B155" s="5"/>
      <c r="H155" s="16"/>
    </row>
    <row r="156" spans="2:8">
      <c r="B156" s="5"/>
      <c r="H156" s="16"/>
    </row>
    <row r="157" spans="2:8">
      <c r="B157" s="5"/>
      <c r="H157" s="16"/>
    </row>
    <row r="158" spans="2:8">
      <c r="B158" s="5"/>
      <c r="H158" s="16"/>
    </row>
    <row r="159" spans="2:8">
      <c r="B159" s="5"/>
      <c r="H159" s="16"/>
    </row>
    <row r="160" spans="2:8">
      <c r="B160" s="5"/>
      <c r="H160" s="16"/>
    </row>
    <row r="161" spans="2:8">
      <c r="B161" s="5"/>
      <c r="H161" s="16"/>
    </row>
    <row r="162" spans="2:8">
      <c r="B162" s="5"/>
      <c r="H162" s="16"/>
    </row>
    <row r="163" spans="2:8">
      <c r="B163" s="5"/>
      <c r="H163" s="16"/>
    </row>
    <row r="164" spans="2:8">
      <c r="B164" s="5"/>
      <c r="H164" s="16"/>
    </row>
    <row r="165" spans="2:8">
      <c r="B165" s="5"/>
      <c r="H165" s="16"/>
    </row>
    <row r="166" spans="2:8">
      <c r="B166" s="5"/>
      <c r="H166" s="16"/>
    </row>
    <row r="167" spans="2:8">
      <c r="B167" s="5"/>
      <c r="H167" s="16"/>
    </row>
    <row r="168" spans="2:8">
      <c r="B168" s="5"/>
      <c r="H168" s="16"/>
    </row>
    <row r="169" spans="2:8">
      <c r="B169" s="5"/>
      <c r="H169" s="16"/>
    </row>
    <row r="170" spans="2:8">
      <c r="B170" s="5"/>
      <c r="H170" s="16"/>
    </row>
    <row r="171" spans="2:8">
      <c r="B171" s="5"/>
      <c r="H171" s="16"/>
    </row>
    <row r="172" spans="2:8">
      <c r="B172" s="5"/>
      <c r="H172" s="16"/>
    </row>
    <row r="173" spans="2:8">
      <c r="B173" s="5"/>
      <c r="H173" s="16"/>
    </row>
    <row r="174" spans="2:8">
      <c r="B174" s="5"/>
      <c r="H174" s="16"/>
    </row>
    <row r="175" spans="2:8">
      <c r="B175" s="5"/>
      <c r="H175" s="16"/>
    </row>
    <row r="176" spans="2:8">
      <c r="B176" s="5"/>
      <c r="H176" s="16"/>
    </row>
    <row r="177" spans="2:8">
      <c r="B177" s="5"/>
      <c r="H177" s="16"/>
    </row>
    <row r="178" spans="2:8">
      <c r="B178" s="5"/>
      <c r="H178" s="16"/>
    </row>
    <row r="179" spans="2:8">
      <c r="B179" s="5"/>
      <c r="H179" s="16"/>
    </row>
    <row r="180" spans="2:8">
      <c r="B180" s="5"/>
      <c r="H180" s="16"/>
    </row>
    <row r="181" spans="2:8">
      <c r="B181" s="5"/>
      <c r="H181" s="16"/>
    </row>
    <row r="182" spans="2:8">
      <c r="B182" s="5"/>
      <c r="H182" s="16"/>
    </row>
    <row r="183" spans="2:8">
      <c r="B183" s="5"/>
      <c r="H183" s="16"/>
    </row>
    <row r="184" spans="2:8">
      <c r="B184" s="5"/>
      <c r="H184" s="16"/>
    </row>
    <row r="185" spans="2:8">
      <c r="B185" s="5"/>
      <c r="H185" s="16"/>
    </row>
    <row r="186" spans="2:8">
      <c r="B186" s="5"/>
      <c r="H186" s="16"/>
    </row>
    <row r="187" spans="2:8">
      <c r="B187" s="5"/>
      <c r="H187" s="16"/>
    </row>
    <row r="188" spans="2:8">
      <c r="B188" s="5"/>
      <c r="H188" s="16"/>
    </row>
    <row r="189" spans="2:8">
      <c r="B189" s="5"/>
      <c r="H189" s="16"/>
    </row>
    <row r="190" spans="2:8">
      <c r="B190" s="5"/>
      <c r="H190" s="16"/>
    </row>
    <row r="191" spans="2:8">
      <c r="B191" s="5"/>
      <c r="H191" s="16"/>
    </row>
    <row r="192" spans="2:8">
      <c r="B192" s="5"/>
      <c r="H192" s="16"/>
    </row>
    <row r="193" spans="2:8">
      <c r="B193" s="5"/>
      <c r="H193" s="16"/>
    </row>
    <row r="194" spans="2:8">
      <c r="B194" s="5"/>
      <c r="H194" s="16"/>
    </row>
    <row r="195" spans="2:8">
      <c r="B195" s="5"/>
      <c r="H195" s="16"/>
    </row>
    <row r="196" spans="2:8">
      <c r="B196" s="5"/>
      <c r="H196" s="16"/>
    </row>
    <row r="197" spans="2:8">
      <c r="B197" s="5"/>
      <c r="H197" s="16"/>
    </row>
    <row r="198" spans="2:8">
      <c r="B198" s="5"/>
      <c r="H198" s="16"/>
    </row>
    <row r="199" spans="2:8">
      <c r="B199" s="5"/>
      <c r="H199" s="16"/>
    </row>
    <row r="200" spans="2:8">
      <c r="B200" s="5"/>
      <c r="H200" s="16"/>
    </row>
    <row r="201" spans="2:8">
      <c r="B201" s="5"/>
      <c r="H201" s="16"/>
    </row>
    <row r="202" spans="2:8">
      <c r="B202" s="5"/>
      <c r="H202" s="16"/>
    </row>
    <row r="203" spans="2:8">
      <c r="B203" s="5"/>
      <c r="H203" s="16"/>
    </row>
    <row r="204" spans="2:8">
      <c r="B204" s="5"/>
      <c r="H204" s="16"/>
    </row>
    <row r="205" spans="2:8">
      <c r="B205" s="5"/>
      <c r="H205" s="16"/>
    </row>
    <row r="206" spans="2:8">
      <c r="B206" s="5"/>
      <c r="H206" s="16"/>
    </row>
    <row r="207" spans="2:8">
      <c r="B207" s="5"/>
      <c r="H207" s="16"/>
    </row>
    <row r="208" spans="2:8">
      <c r="B208" s="5"/>
      <c r="H208" s="16"/>
    </row>
    <row r="209" spans="2:8">
      <c r="B209" s="5"/>
      <c r="H209" s="16"/>
    </row>
    <row r="210" spans="2:8">
      <c r="B210" s="5"/>
      <c r="H210" s="16"/>
    </row>
    <row r="211" spans="2:8">
      <c r="B211" s="5"/>
      <c r="H211" s="16"/>
    </row>
    <row r="212" spans="2:8">
      <c r="B212" s="5"/>
      <c r="H212" s="16"/>
    </row>
    <row r="213" spans="2:8">
      <c r="B213" s="5"/>
      <c r="H213" s="16"/>
    </row>
    <row r="214" spans="2:8">
      <c r="B214" s="5"/>
      <c r="H214" s="16"/>
    </row>
    <row r="215" spans="2:8">
      <c r="B215" s="5"/>
      <c r="H215" s="16"/>
    </row>
    <row r="216" spans="2:8">
      <c r="B216" s="5"/>
      <c r="H216" s="16"/>
    </row>
    <row r="217" spans="2:8">
      <c r="B217" s="5"/>
      <c r="H217" s="16"/>
    </row>
    <row r="218" spans="2:8">
      <c r="B218" s="5"/>
      <c r="H218" s="16"/>
    </row>
    <row r="219" spans="2:8">
      <c r="B219" s="5"/>
      <c r="H219" s="16"/>
    </row>
    <row r="220" spans="2:8">
      <c r="B220" s="5"/>
      <c r="H220" s="16"/>
    </row>
    <row r="221" spans="2:8">
      <c r="B221" s="5"/>
      <c r="H221" s="16"/>
    </row>
    <row r="222" spans="2:8">
      <c r="B222" s="5"/>
      <c r="H222" s="16"/>
    </row>
    <row r="223" spans="2:8">
      <c r="B223" s="5"/>
      <c r="H223" s="16"/>
    </row>
    <row r="224" spans="2:8">
      <c r="B224" s="5"/>
      <c r="H224" s="16"/>
    </row>
    <row r="225" spans="2:8">
      <c r="B225" s="5"/>
      <c r="H225" s="16"/>
    </row>
    <row r="226" spans="2:8">
      <c r="B226" s="5"/>
      <c r="H226" s="16"/>
    </row>
    <row r="227" spans="2:8">
      <c r="B227" s="5"/>
      <c r="H227" s="16"/>
    </row>
    <row r="228" spans="2:8">
      <c r="B228" s="5"/>
      <c r="H228" s="16"/>
    </row>
    <row r="229" spans="2:8">
      <c r="B229" s="5"/>
      <c r="H229" s="16"/>
    </row>
    <row r="230" spans="2:8">
      <c r="B230" s="5"/>
      <c r="H230" s="16"/>
    </row>
    <row r="231" spans="2:8">
      <c r="B231" s="5"/>
      <c r="H231" s="16"/>
    </row>
    <row r="232" spans="2:8">
      <c r="B232" s="5"/>
      <c r="H232" s="16"/>
    </row>
    <row r="233" spans="2:8">
      <c r="B233" s="5"/>
      <c r="H233" s="16"/>
    </row>
    <row r="234" spans="2:8">
      <c r="B234" s="5"/>
      <c r="H234" s="16"/>
    </row>
    <row r="235" spans="2:8">
      <c r="B235" s="5"/>
      <c r="H235" s="16"/>
    </row>
    <row r="236" spans="2:8">
      <c r="B236" s="5"/>
      <c r="H236" s="16"/>
    </row>
    <row r="237" spans="2:8">
      <c r="B237" s="5"/>
      <c r="H237" s="16"/>
    </row>
    <row r="238" spans="2:8">
      <c r="B238" s="5"/>
      <c r="H238" s="16"/>
    </row>
    <row r="239" spans="2:8">
      <c r="B239" s="5"/>
      <c r="H239" s="16"/>
    </row>
    <row r="240" spans="2:8">
      <c r="B240" s="5"/>
      <c r="H240" s="16"/>
    </row>
    <row r="241" spans="2:8">
      <c r="B241" s="5"/>
      <c r="H241" s="16"/>
    </row>
    <row r="242" spans="2:8">
      <c r="B242" s="5"/>
      <c r="H242" s="16"/>
    </row>
    <row r="243" spans="2:8">
      <c r="B243" s="5"/>
      <c r="H243" s="16"/>
    </row>
    <row r="244" spans="2:8">
      <c r="B244" s="5"/>
      <c r="H244" s="16"/>
    </row>
    <row r="245" spans="2:8">
      <c r="B245" s="5"/>
      <c r="H245" s="16"/>
    </row>
    <row r="246" spans="2:8">
      <c r="B246" s="5"/>
      <c r="H246" s="16"/>
    </row>
    <row r="247" spans="2:8">
      <c r="B247" s="5"/>
      <c r="H247" s="16"/>
    </row>
    <row r="248" spans="2:8">
      <c r="B248" s="5"/>
      <c r="H248" s="16"/>
    </row>
    <row r="249" spans="2:8">
      <c r="B249" s="5"/>
      <c r="H249" s="16"/>
    </row>
    <row r="250" spans="2:8">
      <c r="B250" s="5"/>
      <c r="H250" s="16"/>
    </row>
    <row r="251" spans="2:8">
      <c r="B251" s="5"/>
      <c r="H251" s="16"/>
    </row>
    <row r="252" spans="2:8">
      <c r="B252" s="5"/>
      <c r="H252" s="16"/>
    </row>
    <row r="253" spans="2:8">
      <c r="B253" s="5"/>
      <c r="H253" s="16"/>
    </row>
    <row r="254" spans="2:8">
      <c r="B254" s="5"/>
      <c r="H254" s="16"/>
    </row>
    <row r="255" spans="2:8">
      <c r="B255" s="5"/>
      <c r="H255" s="16"/>
    </row>
    <row r="256" spans="2:8">
      <c r="B256" s="5"/>
      <c r="H256" s="16"/>
    </row>
    <row r="257" spans="2:8">
      <c r="B257" s="5"/>
      <c r="H257" s="16"/>
    </row>
    <row r="258" spans="2:8">
      <c r="B258" s="5"/>
      <c r="H258" s="16"/>
    </row>
    <row r="259" spans="2:8">
      <c r="B259" s="5"/>
      <c r="H259" s="16"/>
    </row>
    <row r="260" spans="2:8">
      <c r="B260" s="5"/>
      <c r="H260" s="16"/>
    </row>
    <row r="261" spans="2:8">
      <c r="B261" s="5"/>
      <c r="H261" s="16"/>
    </row>
    <row r="262" spans="2:8">
      <c r="B262" s="5"/>
      <c r="H262" s="16"/>
    </row>
    <row r="263" spans="2:8">
      <c r="B263" s="5"/>
      <c r="H263" s="16"/>
    </row>
    <row r="264" spans="2:8">
      <c r="B264" s="5"/>
      <c r="H264" s="16"/>
    </row>
    <row r="265" spans="2:8">
      <c r="B265" s="5"/>
      <c r="H265" s="16"/>
    </row>
    <row r="266" spans="2:8">
      <c r="B266" s="5"/>
      <c r="H266" s="16"/>
    </row>
    <row r="267" spans="2:8">
      <c r="B267" s="5"/>
      <c r="H267" s="16"/>
    </row>
    <row r="268" spans="2:8">
      <c r="B268" s="5"/>
      <c r="H268" s="16"/>
    </row>
    <row r="269" spans="2:8">
      <c r="B269" s="5"/>
      <c r="H269" s="16"/>
    </row>
    <row r="270" spans="2:8">
      <c r="B270" s="5"/>
      <c r="H270" s="16"/>
    </row>
    <row r="271" spans="2:8">
      <c r="B271" s="5"/>
      <c r="H271" s="16"/>
    </row>
    <row r="272" spans="2:8">
      <c r="B272" s="5"/>
      <c r="H272" s="16"/>
    </row>
    <row r="273" spans="2:8">
      <c r="B273" s="5"/>
      <c r="H273" s="16"/>
    </row>
    <row r="274" spans="2:8">
      <c r="B274" s="5"/>
      <c r="H274" s="16"/>
    </row>
    <row r="275" spans="2:8">
      <c r="B275" s="5"/>
      <c r="H275" s="16"/>
    </row>
    <row r="276" spans="2:8">
      <c r="B276" s="5"/>
      <c r="H276" s="16"/>
    </row>
    <row r="277" spans="2:8">
      <c r="B277" s="5"/>
      <c r="H277" s="16"/>
    </row>
    <row r="278" spans="2:8">
      <c r="B278" s="5"/>
      <c r="H278" s="16"/>
    </row>
    <row r="279" spans="2:8">
      <c r="B279" s="5"/>
      <c r="H279" s="16"/>
    </row>
    <row r="280" spans="2:8">
      <c r="B280" s="5"/>
      <c r="H280" s="16"/>
    </row>
    <row r="281" spans="2:8">
      <c r="B281" s="5"/>
      <c r="H281" s="16"/>
    </row>
    <row r="282" spans="2:8">
      <c r="B282" s="5"/>
      <c r="H282" s="16"/>
    </row>
    <row r="283" spans="2:8">
      <c r="B283" s="5"/>
      <c r="H283" s="16"/>
    </row>
    <row r="284" spans="2:8">
      <c r="B284" s="5"/>
      <c r="H284" s="16"/>
    </row>
    <row r="285" spans="2:8">
      <c r="B285" s="5"/>
      <c r="H285" s="16"/>
    </row>
    <row r="286" spans="2:8">
      <c r="B286" s="5"/>
      <c r="H286" s="16"/>
    </row>
    <row r="287" spans="2:8">
      <c r="B287" s="5"/>
      <c r="H287" s="16"/>
    </row>
    <row r="288" spans="2:8">
      <c r="B288" s="5"/>
      <c r="H288" s="16"/>
    </row>
    <row r="289" spans="2:8">
      <c r="B289" s="5"/>
      <c r="H289" s="16"/>
    </row>
    <row r="290" spans="2:8">
      <c r="B290" s="5"/>
      <c r="H290" s="16"/>
    </row>
    <row r="291" spans="2:8">
      <c r="B291" s="5"/>
      <c r="H291" s="16"/>
    </row>
    <row r="292" spans="2:8">
      <c r="B292" s="5"/>
      <c r="H292" s="16"/>
    </row>
    <row r="293" spans="2:8">
      <c r="B293" s="5"/>
      <c r="H293" s="16"/>
    </row>
    <row r="294" spans="2:8">
      <c r="B294" s="5"/>
      <c r="H294" s="16"/>
    </row>
    <row r="295" spans="2:8">
      <c r="B295" s="5"/>
      <c r="H295" s="16"/>
    </row>
    <row r="296" spans="2:8">
      <c r="B296" s="5"/>
      <c r="H296" s="16"/>
    </row>
    <row r="297" spans="2:8">
      <c r="B297" s="5"/>
      <c r="H297" s="16"/>
    </row>
    <row r="298" spans="2:8">
      <c r="B298" s="5"/>
      <c r="H298" s="16"/>
    </row>
    <row r="299" spans="2:8">
      <c r="B299" s="5"/>
      <c r="H299" s="16"/>
    </row>
    <row r="300" spans="2:8">
      <c r="B300" s="5"/>
      <c r="H300" s="16"/>
    </row>
    <row r="301" spans="2:8">
      <c r="B301" s="5"/>
      <c r="H301" s="16"/>
    </row>
    <row r="302" spans="2:8">
      <c r="B302" s="5"/>
      <c r="H302" s="16"/>
    </row>
    <row r="303" spans="2:8">
      <c r="B303" s="5"/>
      <c r="H303" s="16"/>
    </row>
    <row r="304" spans="2:8">
      <c r="B304" s="5"/>
      <c r="H304" s="16"/>
    </row>
    <row r="305" spans="2:8">
      <c r="B305" s="5"/>
      <c r="H305" s="16"/>
    </row>
    <row r="306" spans="2:8">
      <c r="B306" s="5"/>
      <c r="H306" s="16"/>
    </row>
    <row r="307" spans="2:8">
      <c r="B307" s="5"/>
      <c r="H307" s="16"/>
    </row>
    <row r="308" spans="2:8">
      <c r="B308" s="5"/>
      <c r="H308" s="16"/>
    </row>
    <row r="309" spans="2:8">
      <c r="B309" s="5"/>
      <c r="H309" s="16"/>
    </row>
    <row r="310" spans="2:8">
      <c r="B310" s="5"/>
      <c r="H310" s="16"/>
    </row>
    <row r="311" spans="2:8">
      <c r="B311" s="5"/>
      <c r="H311" s="16"/>
    </row>
    <row r="312" spans="2:8">
      <c r="B312" s="5"/>
      <c r="H312" s="16"/>
    </row>
    <row r="313" spans="2:8">
      <c r="B313" s="5"/>
      <c r="H313" s="16"/>
    </row>
    <row r="314" spans="2:8">
      <c r="B314" s="5"/>
      <c r="H314" s="16"/>
    </row>
    <row r="315" spans="2:8">
      <c r="B315" s="5"/>
      <c r="H315" s="16"/>
    </row>
    <row r="316" spans="2:8">
      <c r="B316" s="5"/>
      <c r="H316" s="16"/>
    </row>
    <row r="317" spans="2:8">
      <c r="B317" s="5"/>
      <c r="H317" s="16"/>
    </row>
    <row r="318" spans="2:8">
      <c r="B318" s="5"/>
      <c r="H318" s="16"/>
    </row>
    <row r="319" spans="2:8">
      <c r="B319" s="5"/>
      <c r="H319" s="16"/>
    </row>
    <row r="320" spans="2:8">
      <c r="B320" s="5"/>
      <c r="H320" s="16"/>
    </row>
    <row r="321" spans="2:8">
      <c r="B321" s="5"/>
      <c r="H321" s="16"/>
    </row>
    <row r="322" spans="2:8">
      <c r="B322" s="5"/>
      <c r="H322" s="16"/>
    </row>
    <row r="323" spans="2:8">
      <c r="B323" s="5"/>
      <c r="H323" s="16"/>
    </row>
    <row r="324" spans="2:8">
      <c r="B324" s="5"/>
      <c r="H324" s="16"/>
    </row>
    <row r="325" spans="2:8">
      <c r="B325" s="5"/>
      <c r="H325" s="16"/>
    </row>
    <row r="326" spans="2:8">
      <c r="B326" s="5"/>
      <c r="H326" s="16"/>
    </row>
    <row r="327" spans="2:8">
      <c r="B327" s="5"/>
      <c r="H327" s="16"/>
    </row>
    <row r="328" spans="2:8">
      <c r="B328" s="5"/>
      <c r="H328" s="16"/>
    </row>
    <row r="329" spans="2:8">
      <c r="B329" s="5"/>
      <c r="H329" s="16"/>
    </row>
    <row r="330" spans="2:8">
      <c r="B330" s="5"/>
      <c r="H330" s="16"/>
    </row>
    <row r="331" spans="2:8">
      <c r="B331" s="5"/>
      <c r="H331" s="16"/>
    </row>
    <row r="332" spans="2:8">
      <c r="B332" s="5"/>
      <c r="H332" s="16"/>
    </row>
    <row r="333" spans="2:8">
      <c r="B333" s="5"/>
      <c r="H333" s="16"/>
    </row>
    <row r="334" spans="2:8">
      <c r="B334" s="5"/>
      <c r="H334" s="16"/>
    </row>
    <row r="335" spans="2:8">
      <c r="B335" s="5"/>
      <c r="H335" s="16"/>
    </row>
    <row r="336" spans="2:8">
      <c r="B336" s="5"/>
      <c r="H336" s="16"/>
    </row>
    <row r="337" spans="2:8">
      <c r="B337" s="5"/>
      <c r="H337" s="16"/>
    </row>
    <row r="338" spans="2:8">
      <c r="B338" s="5"/>
      <c r="H338" s="16"/>
    </row>
    <row r="339" spans="2:8">
      <c r="B339" s="5"/>
      <c r="H339" s="16"/>
    </row>
    <row r="340" spans="2:8">
      <c r="B340" s="5"/>
      <c r="H340" s="16"/>
    </row>
    <row r="341" spans="2:8">
      <c r="B341" s="5"/>
      <c r="H341" s="16"/>
    </row>
    <row r="342" spans="2:8">
      <c r="B342" s="5"/>
      <c r="H342" s="16"/>
    </row>
    <row r="343" spans="2:8">
      <c r="B343" s="5"/>
      <c r="H343" s="16"/>
    </row>
    <row r="344" spans="2:8">
      <c r="B344" s="5"/>
      <c r="H344" s="16"/>
    </row>
    <row r="345" spans="2:8">
      <c r="B345" s="5"/>
      <c r="H345" s="16"/>
    </row>
    <row r="346" spans="2:8">
      <c r="B346" s="5"/>
      <c r="H346" s="16"/>
    </row>
    <row r="347" spans="2:8">
      <c r="B347" s="5"/>
      <c r="H347" s="16"/>
    </row>
    <row r="348" spans="2:8">
      <c r="B348" s="5"/>
      <c r="H348" s="16"/>
    </row>
    <row r="349" spans="2:8">
      <c r="B349" s="5"/>
      <c r="H349" s="16"/>
    </row>
    <row r="350" spans="2:8">
      <c r="B350" s="5"/>
      <c r="H350" s="16"/>
    </row>
    <row r="351" spans="2:8">
      <c r="B351" s="5"/>
      <c r="H351" s="16"/>
    </row>
    <row r="352" spans="2:8">
      <c r="B352" s="5"/>
      <c r="H352" s="16"/>
    </row>
    <row r="353" spans="2:8">
      <c r="B353" s="5"/>
      <c r="H353" s="16"/>
    </row>
    <row r="354" spans="2:8">
      <c r="B354" s="5"/>
      <c r="H354" s="16"/>
    </row>
    <row r="355" spans="2:8">
      <c r="B355" s="5"/>
      <c r="H355" s="16"/>
    </row>
    <row r="356" spans="2:8">
      <c r="B356" s="5"/>
      <c r="H356" s="16"/>
    </row>
    <row r="357" spans="2:8">
      <c r="B357" s="5"/>
      <c r="H357" s="16"/>
    </row>
    <row r="358" spans="2:8">
      <c r="B358" s="5"/>
      <c r="H358" s="16"/>
    </row>
    <row r="359" spans="2:8">
      <c r="B359" s="5"/>
      <c r="H359" s="16"/>
    </row>
    <row r="360" spans="2:8">
      <c r="B360" s="5"/>
      <c r="H360" s="16"/>
    </row>
    <row r="361" spans="2:8">
      <c r="B361" s="5"/>
      <c r="H361" s="16"/>
    </row>
    <row r="362" spans="2:8">
      <c r="B362" s="5"/>
      <c r="H362" s="16"/>
    </row>
    <row r="363" spans="2:8">
      <c r="B363" s="5"/>
      <c r="H363" s="16"/>
    </row>
    <row r="364" spans="2:8">
      <c r="B364" s="5"/>
      <c r="H364" s="16"/>
    </row>
    <row r="365" spans="2:8">
      <c r="B365" s="5"/>
      <c r="H365" s="16"/>
    </row>
    <row r="366" spans="2:8">
      <c r="B366" s="5"/>
      <c r="H366" s="16"/>
    </row>
    <row r="367" spans="2:8">
      <c r="B367" s="5"/>
      <c r="H367" s="16"/>
    </row>
    <row r="368" spans="2:8">
      <c r="B368" s="5"/>
      <c r="H368" s="16"/>
    </row>
    <row r="369" spans="2:8">
      <c r="B369" s="5"/>
      <c r="H369" s="16"/>
    </row>
    <row r="370" spans="2:8">
      <c r="B370" s="5"/>
      <c r="H370" s="16"/>
    </row>
    <row r="371" spans="2:8">
      <c r="B371" s="5"/>
      <c r="H371" s="16"/>
    </row>
    <row r="372" spans="2:8">
      <c r="B372" s="5"/>
      <c r="H372" s="16"/>
    </row>
    <row r="373" spans="2:8">
      <c r="B373" s="5"/>
      <c r="H373" s="16"/>
    </row>
    <row r="374" spans="2:8">
      <c r="B374" s="5"/>
      <c r="H374" s="16"/>
    </row>
    <row r="375" spans="2:8">
      <c r="B375" s="5"/>
      <c r="H375" s="16"/>
    </row>
    <row r="376" spans="2:8">
      <c r="B376" s="5"/>
      <c r="H376" s="16"/>
    </row>
    <row r="377" spans="2:8">
      <c r="B377" s="5"/>
      <c r="H377" s="16"/>
    </row>
    <row r="378" spans="2:8">
      <c r="B378" s="5"/>
      <c r="H378" s="16"/>
    </row>
    <row r="379" spans="2:8">
      <c r="B379" s="5"/>
      <c r="H379" s="16"/>
    </row>
    <row r="380" spans="2:8">
      <c r="B380" s="5"/>
      <c r="H380" s="16"/>
    </row>
    <row r="381" spans="2:8">
      <c r="B381" s="5"/>
      <c r="H381" s="16"/>
    </row>
    <row r="382" spans="2:8">
      <c r="B382" s="5"/>
      <c r="H382" s="16"/>
    </row>
    <row r="383" spans="2:8">
      <c r="B383" s="5"/>
      <c r="H383" s="16"/>
    </row>
    <row r="384" spans="2:8">
      <c r="B384" s="5"/>
      <c r="H384" s="16"/>
    </row>
    <row r="385" spans="2:8">
      <c r="B385" s="5"/>
      <c r="H385" s="16"/>
    </row>
    <row r="386" spans="2:8">
      <c r="B386" s="5"/>
      <c r="H386" s="16"/>
    </row>
    <row r="387" spans="2:8">
      <c r="B387" s="5"/>
      <c r="H387" s="16"/>
    </row>
    <row r="388" spans="2:8">
      <c r="B388" s="5"/>
      <c r="H388" s="16"/>
    </row>
    <row r="389" spans="2:8">
      <c r="B389" s="5"/>
      <c r="H389" s="16"/>
    </row>
    <row r="390" spans="2:8">
      <c r="B390" s="5"/>
      <c r="H390" s="16"/>
    </row>
    <row r="391" spans="2:8">
      <c r="B391" s="5"/>
      <c r="H391" s="16"/>
    </row>
    <row r="392" spans="2:8">
      <c r="B392" s="5"/>
      <c r="H392" s="16"/>
    </row>
    <row r="393" spans="2:8">
      <c r="B393" s="5"/>
      <c r="H393" s="16"/>
    </row>
    <row r="394" spans="2:8">
      <c r="B394" s="5"/>
      <c r="H394" s="16"/>
    </row>
    <row r="395" spans="2:8">
      <c r="B395" s="5"/>
      <c r="H395" s="16"/>
    </row>
    <row r="396" spans="2:8">
      <c r="B396" s="5"/>
      <c r="H396" s="16"/>
    </row>
    <row r="397" spans="2:8">
      <c r="B397" s="5"/>
      <c r="H397" s="16"/>
    </row>
    <row r="398" spans="2:8">
      <c r="B398" s="5"/>
      <c r="H398" s="16"/>
    </row>
    <row r="399" spans="2:8">
      <c r="B399" s="5"/>
      <c r="H399" s="16"/>
    </row>
    <row r="400" spans="2:8">
      <c r="B400" s="5"/>
      <c r="H400" s="16"/>
    </row>
    <row r="401" spans="2:8">
      <c r="B401" s="5"/>
      <c r="H401" s="16"/>
    </row>
    <row r="402" spans="2:8">
      <c r="B402" s="5"/>
      <c r="H402" s="16"/>
    </row>
    <row r="403" spans="2:8">
      <c r="B403" s="5"/>
      <c r="H403" s="16"/>
    </row>
    <row r="404" spans="2:8">
      <c r="B404" s="5"/>
      <c r="H404" s="16"/>
    </row>
    <row r="405" spans="2:8">
      <c r="B405" s="5"/>
      <c r="H405" s="16"/>
    </row>
    <row r="406" spans="2:8">
      <c r="B406" s="5"/>
      <c r="H406" s="16"/>
    </row>
    <row r="407" spans="2:8">
      <c r="B407" s="5"/>
      <c r="H407" s="16"/>
    </row>
    <row r="408" spans="2:8">
      <c r="B408" s="5"/>
      <c r="H408" s="16"/>
    </row>
    <row r="409" spans="2:8">
      <c r="B409" s="5"/>
      <c r="H409" s="16"/>
    </row>
    <row r="410" spans="2:8">
      <c r="B410" s="5"/>
      <c r="H410" s="16"/>
    </row>
    <row r="411" spans="2:8">
      <c r="B411" s="5"/>
      <c r="H411" s="16"/>
    </row>
    <row r="412" spans="2:8">
      <c r="B412" s="5"/>
      <c r="H412" s="16"/>
    </row>
    <row r="413" spans="2:8">
      <c r="B413" s="5"/>
      <c r="H413" s="16"/>
    </row>
    <row r="414" spans="2:8">
      <c r="B414" s="5"/>
      <c r="H414" s="16"/>
    </row>
    <row r="415" spans="2:8">
      <c r="B415" s="5"/>
      <c r="H415" s="16"/>
    </row>
    <row r="416" spans="2:8">
      <c r="B416" s="5"/>
      <c r="H416" s="16"/>
    </row>
    <row r="417" spans="2:8">
      <c r="B417" s="5"/>
      <c r="H417" s="16"/>
    </row>
    <row r="418" spans="2:8">
      <c r="B418" s="5"/>
      <c r="H418" s="16"/>
    </row>
    <row r="419" spans="2:8">
      <c r="B419" s="5"/>
      <c r="H419" s="16"/>
    </row>
    <row r="420" spans="2:8">
      <c r="B420" s="5"/>
      <c r="H420" s="16"/>
    </row>
    <row r="421" spans="2:8">
      <c r="B421" s="5"/>
      <c r="H421" s="16"/>
    </row>
    <row r="422" spans="2:8">
      <c r="B422" s="5"/>
      <c r="H422" s="16"/>
    </row>
    <row r="423" spans="2:8">
      <c r="B423" s="5"/>
      <c r="H423" s="16"/>
    </row>
    <row r="424" spans="2:8">
      <c r="B424" s="5"/>
      <c r="H424" s="16"/>
    </row>
    <row r="425" spans="2:8">
      <c r="B425" s="5"/>
      <c r="H425" s="16"/>
    </row>
    <row r="426" spans="2:8">
      <c r="B426" s="5"/>
      <c r="H426" s="16"/>
    </row>
    <row r="427" spans="2:8">
      <c r="B427" s="5"/>
      <c r="H427" s="16"/>
    </row>
    <row r="428" spans="2:8">
      <c r="B428" s="5"/>
      <c r="H428" s="16"/>
    </row>
    <row r="429" spans="2:8">
      <c r="B429" s="5"/>
      <c r="H429" s="16"/>
    </row>
    <row r="430" spans="2:8">
      <c r="B430" s="5"/>
      <c r="H430" s="16"/>
    </row>
    <row r="431" spans="2:8">
      <c r="B431" s="5"/>
      <c r="H431" s="16"/>
    </row>
    <row r="432" spans="2:8">
      <c r="B432" s="5"/>
      <c r="H432" s="16"/>
    </row>
    <row r="433" spans="2:8">
      <c r="B433" s="5"/>
      <c r="H433" s="16"/>
    </row>
    <row r="434" spans="2:8">
      <c r="B434" s="5"/>
      <c r="H434" s="16"/>
    </row>
    <row r="435" spans="2:8">
      <c r="B435" s="5"/>
      <c r="H435" s="16"/>
    </row>
    <row r="436" spans="2:8">
      <c r="B436" s="5"/>
      <c r="H436" s="16"/>
    </row>
    <row r="437" spans="2:8">
      <c r="B437" s="5"/>
      <c r="H437" s="16"/>
    </row>
    <row r="438" spans="2:8">
      <c r="B438" s="5"/>
      <c r="H438" s="16"/>
    </row>
    <row r="439" spans="2:8">
      <c r="B439" s="5"/>
      <c r="H439" s="16"/>
    </row>
    <row r="440" spans="2:8">
      <c r="B440" s="5"/>
      <c r="H440" s="16"/>
    </row>
    <row r="441" spans="2:8">
      <c r="B441" s="5"/>
      <c r="H441" s="16"/>
    </row>
    <row r="442" spans="2:8">
      <c r="B442" s="5"/>
      <c r="H442" s="16"/>
    </row>
    <row r="443" spans="2:8">
      <c r="B443" s="5"/>
      <c r="H443" s="16"/>
    </row>
    <row r="444" spans="2:8">
      <c r="B444" s="5"/>
      <c r="H444" s="16"/>
    </row>
    <row r="445" spans="2:8">
      <c r="B445" s="5"/>
      <c r="H445" s="16"/>
    </row>
    <row r="446" spans="2:8">
      <c r="B446" s="5"/>
      <c r="H446" s="16"/>
    </row>
    <row r="447" spans="2:8">
      <c r="B447" s="5"/>
      <c r="H447" s="16"/>
    </row>
    <row r="448" spans="2:8">
      <c r="B448" s="5"/>
      <c r="H448" s="16"/>
    </row>
    <row r="449" spans="2:8">
      <c r="B449" s="5"/>
      <c r="H449" s="16"/>
    </row>
    <row r="450" spans="2:8">
      <c r="B450" s="5"/>
      <c r="H450" s="16"/>
    </row>
    <row r="451" spans="2:8">
      <c r="B451" s="5"/>
      <c r="H451" s="16"/>
    </row>
    <row r="452" spans="2:8">
      <c r="B452" s="5"/>
      <c r="H452" s="16"/>
    </row>
    <row r="453" spans="2:8">
      <c r="B453" s="5"/>
      <c r="H453" s="16"/>
    </row>
    <row r="454" spans="2:8">
      <c r="B454" s="5"/>
      <c r="H454" s="16"/>
    </row>
    <row r="455" spans="2:8">
      <c r="B455" s="5"/>
      <c r="H455" s="16"/>
    </row>
    <row r="456" spans="2:8">
      <c r="B456" s="5"/>
      <c r="H456" s="16"/>
    </row>
    <row r="457" spans="2:8">
      <c r="B457" s="5"/>
      <c r="H457" s="16"/>
    </row>
    <row r="458" spans="2:8">
      <c r="B458" s="5"/>
      <c r="H458" s="16"/>
    </row>
    <row r="459" spans="2:8">
      <c r="B459" s="5"/>
      <c r="H459" s="16"/>
    </row>
    <row r="460" spans="2:8">
      <c r="B460" s="5"/>
      <c r="H460" s="16"/>
    </row>
    <row r="461" spans="2:8">
      <c r="B461" s="5"/>
      <c r="H461" s="16"/>
    </row>
    <row r="462" spans="2:8">
      <c r="B462" s="5"/>
      <c r="H462" s="16"/>
    </row>
    <row r="463" spans="2:8">
      <c r="B463" s="5"/>
      <c r="H463" s="16"/>
    </row>
    <row r="464" spans="2:8">
      <c r="B464" s="5"/>
      <c r="H464" s="16"/>
    </row>
    <row r="465" spans="2:8">
      <c r="B465" s="5"/>
      <c r="H465" s="16"/>
    </row>
    <row r="466" spans="2:8">
      <c r="B466" s="5"/>
      <c r="H466" s="16"/>
    </row>
    <row r="467" spans="2:8">
      <c r="B467" s="5"/>
      <c r="H467" s="16"/>
    </row>
    <row r="468" spans="2:8">
      <c r="B468" s="5"/>
      <c r="H468" s="16"/>
    </row>
    <row r="469" spans="2:8">
      <c r="B469" s="5"/>
      <c r="H469" s="16"/>
    </row>
    <row r="470" spans="2:8">
      <c r="B470" s="5"/>
      <c r="H470" s="16"/>
    </row>
    <row r="471" spans="2:8">
      <c r="B471" s="5"/>
      <c r="H471" s="16"/>
    </row>
    <row r="472" spans="2:8">
      <c r="B472" s="5"/>
      <c r="H472" s="16"/>
    </row>
    <row r="473" spans="2:8">
      <c r="B473" s="5"/>
      <c r="H473" s="16"/>
    </row>
    <row r="474" spans="2:8">
      <c r="B474" s="5"/>
      <c r="H474" s="16"/>
    </row>
    <row r="475" spans="2:8">
      <c r="B475" s="5"/>
      <c r="H475" s="16"/>
    </row>
    <row r="476" spans="2:8">
      <c r="B476" s="5"/>
      <c r="H476" s="16"/>
    </row>
    <row r="477" spans="2:8">
      <c r="B477" s="5"/>
      <c r="H477" s="16"/>
    </row>
    <row r="478" spans="2:8">
      <c r="B478" s="5"/>
      <c r="H478" s="16"/>
    </row>
    <row r="479" spans="2:8">
      <c r="B479" s="5"/>
      <c r="H479" s="16"/>
    </row>
    <row r="480" spans="2:8">
      <c r="B480" s="5"/>
      <c r="H480" s="16"/>
    </row>
    <row r="481" spans="2:8">
      <c r="B481" s="5"/>
      <c r="H481" s="16"/>
    </row>
    <row r="482" spans="2:8">
      <c r="B482" s="5"/>
      <c r="H482" s="16"/>
    </row>
    <row r="483" spans="2:8">
      <c r="B483" s="5"/>
      <c r="H483" s="16"/>
    </row>
    <row r="484" spans="2:8">
      <c r="B484" s="5"/>
      <c r="H484" s="16"/>
    </row>
    <row r="485" spans="2:8">
      <c r="B485" s="5"/>
      <c r="H485" s="16"/>
    </row>
    <row r="486" spans="2:8">
      <c r="B486" s="5"/>
      <c r="H486" s="16"/>
    </row>
    <row r="487" spans="2:8">
      <c r="B487" s="5"/>
      <c r="H487" s="16"/>
    </row>
    <row r="488" spans="2:8">
      <c r="B488" s="5"/>
      <c r="H488" s="16"/>
    </row>
    <row r="489" spans="2:8">
      <c r="B489" s="5"/>
      <c r="H489" s="16"/>
    </row>
    <row r="490" spans="2:8">
      <c r="B490" s="5"/>
      <c r="H490" s="16"/>
    </row>
    <row r="491" spans="2:8">
      <c r="B491" s="5"/>
      <c r="H491" s="16"/>
    </row>
    <row r="492" spans="2:8">
      <c r="B492" s="5"/>
      <c r="H492" s="16"/>
    </row>
    <row r="493" spans="2:8">
      <c r="B493" s="5"/>
      <c r="H493" s="16"/>
    </row>
    <row r="494" spans="2:8">
      <c r="B494" s="5"/>
      <c r="H494" s="16"/>
    </row>
    <row r="495" spans="2:8">
      <c r="B495" s="5"/>
      <c r="H495" s="16"/>
    </row>
    <row r="496" spans="2:8">
      <c r="B496" s="5"/>
      <c r="H496" s="16"/>
    </row>
    <row r="497" spans="2:8">
      <c r="B497" s="5"/>
      <c r="H497" s="16"/>
    </row>
    <row r="498" spans="2:8">
      <c r="B498" s="5"/>
      <c r="H498" s="16"/>
    </row>
    <row r="499" spans="2:8">
      <c r="B499" s="5"/>
      <c r="H499" s="16"/>
    </row>
    <row r="500" spans="2:8">
      <c r="B500" s="5"/>
      <c r="H500" s="16"/>
    </row>
    <row r="501" spans="2:8">
      <c r="B501" s="5"/>
      <c r="H501" s="16"/>
    </row>
    <row r="502" spans="2:8">
      <c r="B502" s="5"/>
      <c r="H502" s="16"/>
    </row>
    <row r="503" spans="2:8">
      <c r="B503" s="5"/>
      <c r="H503" s="16"/>
    </row>
    <row r="504" spans="2:8">
      <c r="B504" s="5"/>
      <c r="H504" s="16"/>
    </row>
    <row r="505" spans="2:8">
      <c r="B505" s="5"/>
      <c r="H505" s="16"/>
    </row>
    <row r="506" spans="2:8">
      <c r="B506" s="5"/>
      <c r="H506" s="16"/>
    </row>
    <row r="507" spans="2:8">
      <c r="B507" s="5"/>
      <c r="H507" s="16"/>
    </row>
    <row r="508" spans="2:8">
      <c r="B508" s="5"/>
      <c r="H508" s="16"/>
    </row>
    <row r="509" spans="2:8">
      <c r="B509" s="5"/>
      <c r="H509" s="16"/>
    </row>
    <row r="510" spans="2:8">
      <c r="B510" s="5"/>
      <c r="H510" s="16"/>
    </row>
    <row r="511" spans="2:8">
      <c r="B511" s="5"/>
      <c r="H511" s="16"/>
    </row>
    <row r="512" spans="2:8">
      <c r="B512" s="5"/>
      <c r="H512" s="16"/>
    </row>
    <row r="513" spans="2:8">
      <c r="B513" s="5"/>
      <c r="H513" s="16"/>
    </row>
    <row r="514" spans="2:8">
      <c r="B514" s="5"/>
      <c r="H514" s="16"/>
    </row>
    <row r="515" spans="2:8">
      <c r="B515" s="5"/>
      <c r="H515" s="16"/>
    </row>
    <row r="516" spans="2:8">
      <c r="B516" s="5"/>
      <c r="H516" s="16"/>
    </row>
    <row r="517" spans="2:8">
      <c r="B517" s="5"/>
      <c r="H517" s="16"/>
    </row>
    <row r="518" spans="2:8">
      <c r="B518" s="5"/>
      <c r="H518" s="16"/>
    </row>
    <row r="519" spans="2:8">
      <c r="B519" s="5"/>
      <c r="H519" s="16"/>
    </row>
    <row r="520" spans="2:8">
      <c r="B520" s="5"/>
      <c r="H520" s="16"/>
    </row>
    <row r="521" spans="2:8">
      <c r="B521" s="5"/>
      <c r="H521" s="16"/>
    </row>
    <row r="522" spans="2:8">
      <c r="B522" s="5"/>
      <c r="H522" s="16"/>
    </row>
    <row r="523" spans="2:8">
      <c r="B523" s="5"/>
      <c r="H523" s="16"/>
    </row>
    <row r="524" spans="2:8">
      <c r="B524" s="5"/>
      <c r="H524" s="16"/>
    </row>
    <row r="525" spans="2:8">
      <c r="B525" s="5"/>
      <c r="H525" s="16"/>
    </row>
    <row r="526" spans="2:8">
      <c r="B526" s="5"/>
      <c r="H526" s="16"/>
    </row>
    <row r="527" spans="2:8">
      <c r="B527" s="5"/>
      <c r="H527" s="16"/>
    </row>
    <row r="528" spans="2:8">
      <c r="B528" s="5"/>
      <c r="H528" s="16"/>
    </row>
    <row r="529" spans="2:8">
      <c r="B529" s="5"/>
      <c r="H529" s="16"/>
    </row>
    <row r="530" spans="2:8">
      <c r="B530" s="5"/>
      <c r="H530" s="16"/>
    </row>
    <row r="531" spans="2:8">
      <c r="B531" s="5"/>
      <c r="H531" s="16"/>
    </row>
    <row r="532" spans="2:8">
      <c r="B532" s="5"/>
      <c r="H532" s="16"/>
    </row>
    <row r="533" spans="2:8">
      <c r="B533" s="5"/>
      <c r="H533" s="16"/>
    </row>
    <row r="534" spans="2:8">
      <c r="B534" s="5"/>
      <c r="H534" s="16"/>
    </row>
    <row r="535" spans="2:8">
      <c r="B535" s="5"/>
      <c r="H535" s="16"/>
    </row>
    <row r="536" spans="2:8">
      <c r="B536" s="5"/>
      <c r="H536" s="16"/>
    </row>
    <row r="537" spans="2:8">
      <c r="B537" s="5"/>
      <c r="H537" s="16"/>
    </row>
    <row r="538" spans="2:8">
      <c r="B538" s="5"/>
      <c r="H538" s="16"/>
    </row>
    <row r="539" spans="2:8">
      <c r="B539" s="5"/>
      <c r="H539" s="16"/>
    </row>
    <row r="540" spans="2:8">
      <c r="B540" s="5"/>
      <c r="H540" s="16"/>
    </row>
    <row r="541" spans="2:8">
      <c r="B541" s="5"/>
      <c r="H541" s="16"/>
    </row>
    <row r="542" spans="2:8">
      <c r="B542" s="5"/>
      <c r="H542" s="16"/>
    </row>
    <row r="543" spans="2:8">
      <c r="B543" s="5"/>
      <c r="H543" s="16"/>
    </row>
    <row r="544" spans="2:8">
      <c r="B544" s="5"/>
      <c r="H544" s="16"/>
    </row>
    <row r="545" spans="2:8">
      <c r="B545" s="5"/>
      <c r="H545" s="16"/>
    </row>
    <row r="546" spans="2:8">
      <c r="B546" s="5"/>
      <c r="H546" s="16"/>
    </row>
    <row r="547" spans="2:8">
      <c r="B547" s="5"/>
      <c r="H547" s="16"/>
    </row>
    <row r="548" spans="2:8">
      <c r="B548" s="5"/>
      <c r="H548" s="16"/>
    </row>
    <row r="549" spans="2:8">
      <c r="B549" s="5"/>
      <c r="H549" s="16"/>
    </row>
    <row r="550" spans="2:8">
      <c r="B550" s="5"/>
      <c r="H550" s="16"/>
    </row>
    <row r="551" spans="2:8">
      <c r="B551" s="5"/>
      <c r="H551" s="16"/>
    </row>
    <row r="552" spans="2:8">
      <c r="B552" s="5"/>
      <c r="H552" s="16"/>
    </row>
    <row r="553" spans="2:8">
      <c r="B553" s="5"/>
      <c r="H553" s="16"/>
    </row>
    <row r="554" spans="2:8">
      <c r="B554" s="5"/>
      <c r="H554" s="16"/>
    </row>
    <row r="555" spans="2:8">
      <c r="B555" s="5"/>
      <c r="H555" s="16"/>
    </row>
    <row r="556" spans="2:8">
      <c r="B556" s="5"/>
      <c r="H556" s="16"/>
    </row>
    <row r="557" spans="2:8">
      <c r="B557" s="5"/>
      <c r="H557" s="16"/>
    </row>
    <row r="558" spans="2:8">
      <c r="B558" s="5"/>
      <c r="H558" s="16"/>
    </row>
    <row r="559" spans="2:8">
      <c r="B559" s="5"/>
      <c r="H559" s="16"/>
    </row>
    <row r="560" spans="2:8">
      <c r="B560" s="5"/>
      <c r="H560" s="16"/>
    </row>
    <row r="561" spans="2:8">
      <c r="B561" s="5"/>
      <c r="H561" s="16"/>
    </row>
    <row r="562" spans="2:8">
      <c r="B562" s="5"/>
      <c r="H562" s="16"/>
    </row>
    <row r="563" spans="2:8">
      <c r="B563" s="5"/>
      <c r="H563" s="16"/>
    </row>
    <row r="564" spans="2:8">
      <c r="B564" s="5"/>
      <c r="H564" s="16"/>
    </row>
    <row r="565" spans="2:8">
      <c r="B565" s="5"/>
      <c r="H565" s="16"/>
    </row>
    <row r="566" spans="2:8">
      <c r="B566" s="5"/>
      <c r="H566" s="16"/>
    </row>
    <row r="567" spans="2:8">
      <c r="B567" s="5"/>
      <c r="H567" s="16"/>
    </row>
    <row r="568" spans="2:8">
      <c r="B568" s="5"/>
      <c r="H568" s="16"/>
    </row>
    <row r="569" spans="2:8">
      <c r="B569" s="5"/>
      <c r="H569" s="16"/>
    </row>
    <row r="570" spans="2:8">
      <c r="B570" s="5"/>
      <c r="H570" s="16"/>
    </row>
    <row r="571" spans="2:8">
      <c r="B571" s="5"/>
      <c r="H571" s="16"/>
    </row>
    <row r="572" spans="2:8">
      <c r="B572" s="5"/>
      <c r="H572" s="16"/>
    </row>
    <row r="573" spans="2:8">
      <c r="B573" s="5"/>
      <c r="H573" s="16"/>
    </row>
    <row r="574" spans="2:8">
      <c r="B574" s="5"/>
      <c r="H574" s="16"/>
    </row>
    <row r="575" spans="2:8">
      <c r="B575" s="5"/>
      <c r="H575" s="16"/>
    </row>
    <row r="576" spans="2:8">
      <c r="B576" s="5"/>
      <c r="H576" s="16"/>
    </row>
    <row r="577" spans="2:8">
      <c r="B577" s="5"/>
      <c r="H577" s="16"/>
    </row>
    <row r="578" spans="2:8">
      <c r="B578" s="5"/>
      <c r="H578" s="16"/>
    </row>
    <row r="579" spans="2:8">
      <c r="B579" s="5"/>
      <c r="H579" s="16"/>
    </row>
    <row r="580" spans="2:8">
      <c r="B580" s="5"/>
      <c r="H580" s="16"/>
    </row>
    <row r="581" spans="2:8">
      <c r="B581" s="5"/>
      <c r="H581" s="16"/>
    </row>
    <row r="582" spans="2:8">
      <c r="B582" s="5"/>
      <c r="H582" s="16"/>
    </row>
    <row r="583" spans="2:8">
      <c r="B583" s="5"/>
      <c r="H583" s="16"/>
    </row>
    <row r="584" spans="2:8">
      <c r="B584" s="5"/>
      <c r="H584" s="16"/>
    </row>
    <row r="585" spans="2:8">
      <c r="B585" s="5"/>
      <c r="H585" s="16"/>
    </row>
    <row r="586" spans="2:8">
      <c r="B586" s="5"/>
      <c r="H586" s="16"/>
    </row>
    <row r="587" spans="2:8">
      <c r="B587" s="5"/>
      <c r="H587" s="16"/>
    </row>
    <row r="588" spans="2:8">
      <c r="B588" s="5"/>
      <c r="H588" s="16"/>
    </row>
    <row r="589" spans="2:8">
      <c r="B589" s="5"/>
      <c r="H589" s="16"/>
    </row>
    <row r="590" spans="2:8">
      <c r="B590" s="5"/>
      <c r="H590" s="16"/>
    </row>
    <row r="591" spans="2:8">
      <c r="B591" s="5"/>
      <c r="H591" s="16"/>
    </row>
    <row r="592" spans="2:8">
      <c r="B592" s="5"/>
      <c r="H592" s="16"/>
    </row>
    <row r="593" spans="2:8">
      <c r="B593" s="5"/>
      <c r="H593" s="16"/>
    </row>
    <row r="594" spans="2:8">
      <c r="B594" s="5"/>
      <c r="H594" s="16"/>
    </row>
    <row r="595" spans="2:8">
      <c r="B595" s="5"/>
      <c r="H595" s="16"/>
    </row>
    <row r="596" spans="2:8">
      <c r="B596" s="5"/>
      <c r="H596" s="16"/>
    </row>
    <row r="597" spans="2:8">
      <c r="B597" s="5"/>
      <c r="H597" s="16"/>
    </row>
    <row r="598" spans="2:8">
      <c r="B598" s="5"/>
      <c r="H598" s="16"/>
    </row>
    <row r="599" spans="2:8">
      <c r="B599" s="5"/>
      <c r="H599" s="16"/>
    </row>
    <row r="600" spans="2:8">
      <c r="B600" s="5"/>
      <c r="H600" s="16"/>
    </row>
    <row r="601" spans="2:8">
      <c r="B601" s="5"/>
      <c r="H601" s="16"/>
    </row>
    <row r="602" spans="2:8">
      <c r="B602" s="5"/>
      <c r="H602" s="16"/>
    </row>
    <row r="603" spans="2:8">
      <c r="B603" s="5"/>
      <c r="H603" s="16"/>
    </row>
    <row r="604" spans="2:8">
      <c r="B604" s="5"/>
      <c r="H604" s="16"/>
    </row>
    <row r="605" spans="2:8">
      <c r="B605" s="5"/>
      <c r="H605" s="16"/>
    </row>
    <row r="606" spans="2:8">
      <c r="B606" s="5"/>
      <c r="H606" s="16"/>
    </row>
    <row r="607" spans="2:8">
      <c r="B607" s="5"/>
      <c r="H607" s="16"/>
    </row>
    <row r="608" spans="2:8">
      <c r="B608" s="5"/>
      <c r="H608" s="16"/>
    </row>
    <row r="609" spans="2:8">
      <c r="B609" s="5"/>
      <c r="H609" s="16"/>
    </row>
    <row r="610" spans="2:8">
      <c r="B610" s="5"/>
      <c r="H610" s="16"/>
    </row>
    <row r="611" spans="2:8">
      <c r="B611" s="5"/>
      <c r="H611" s="16"/>
    </row>
    <row r="612" spans="2:8">
      <c r="B612" s="5"/>
      <c r="H612" s="16"/>
    </row>
    <row r="613" spans="2:8">
      <c r="B613" s="5"/>
      <c r="H613" s="16"/>
    </row>
    <row r="614" spans="2:8">
      <c r="B614" s="5"/>
      <c r="H614" s="16"/>
    </row>
    <row r="615" spans="2:8">
      <c r="B615" s="5"/>
      <c r="H615" s="16"/>
    </row>
    <row r="616" spans="2:8">
      <c r="B616" s="5"/>
      <c r="H616" s="16"/>
    </row>
    <row r="617" spans="2:8">
      <c r="B617" s="5"/>
      <c r="H617" s="16"/>
    </row>
    <row r="618" spans="2:8">
      <c r="B618" s="5"/>
      <c r="H618" s="16"/>
    </row>
    <row r="619" spans="2:8">
      <c r="B619" s="5"/>
      <c r="H619" s="16"/>
    </row>
    <row r="620" spans="2:8">
      <c r="B620" s="5"/>
      <c r="H620" s="16"/>
    </row>
    <row r="621" spans="2:8">
      <c r="B621" s="5"/>
      <c r="H621" s="16"/>
    </row>
    <row r="622" spans="2:8">
      <c r="B622" s="5"/>
      <c r="H622" s="16"/>
    </row>
    <row r="623" spans="2:8">
      <c r="B623" s="5"/>
      <c r="H623" s="16"/>
    </row>
    <row r="624" spans="2:8">
      <c r="B624" s="5"/>
      <c r="H624" s="16"/>
    </row>
    <row r="625" spans="2:8">
      <c r="B625" s="5"/>
      <c r="H625" s="16"/>
    </row>
    <row r="626" spans="2:8">
      <c r="B626" s="5"/>
      <c r="H626" s="16"/>
    </row>
    <row r="627" spans="2:8">
      <c r="B627" s="5"/>
      <c r="H627" s="16"/>
    </row>
    <row r="628" spans="2:8">
      <c r="B628" s="5"/>
      <c r="H628" s="16"/>
    </row>
    <row r="629" spans="2:8">
      <c r="B629" s="5"/>
      <c r="H629" s="16"/>
    </row>
    <row r="630" spans="2:8">
      <c r="B630" s="5"/>
      <c r="H630" s="16"/>
    </row>
    <row r="631" spans="2:8">
      <c r="B631" s="5"/>
      <c r="H631" s="16"/>
    </row>
    <row r="632" spans="2:8">
      <c r="B632" s="5"/>
      <c r="H632" s="16"/>
    </row>
    <row r="633" spans="2:8">
      <c r="B633" s="5"/>
      <c r="H633" s="16"/>
    </row>
    <row r="634" spans="2:8">
      <c r="B634" s="5"/>
      <c r="H634" s="16"/>
    </row>
    <row r="635" spans="2:8">
      <c r="B635" s="5"/>
      <c r="H635" s="16"/>
    </row>
    <row r="636" spans="2:8">
      <c r="B636" s="5"/>
      <c r="H636" s="16"/>
    </row>
    <row r="637" spans="2:8">
      <c r="B637" s="5"/>
      <c r="H637" s="16"/>
    </row>
    <row r="638" spans="2:8">
      <c r="B638" s="5"/>
      <c r="H638" s="16"/>
    </row>
    <row r="639" spans="2:8">
      <c r="B639" s="5"/>
      <c r="H639" s="16"/>
    </row>
    <row r="640" spans="2:8">
      <c r="B640" s="5"/>
      <c r="H640" s="16"/>
    </row>
    <row r="641" spans="2:8">
      <c r="B641" s="5"/>
      <c r="H641" s="16"/>
    </row>
    <row r="642" spans="2:8">
      <c r="B642" s="5"/>
      <c r="H642" s="16"/>
    </row>
    <row r="643" spans="2:8">
      <c r="B643" s="5"/>
      <c r="H643" s="16"/>
    </row>
    <row r="644" spans="2:8">
      <c r="B644" s="5"/>
      <c r="H644" s="16"/>
    </row>
    <row r="645" spans="2:8">
      <c r="B645" s="5"/>
      <c r="H645" s="16"/>
    </row>
    <row r="646" spans="2:8">
      <c r="B646" s="5"/>
      <c r="H646" s="16"/>
    </row>
    <row r="647" spans="2:8">
      <c r="B647" s="5"/>
      <c r="H647" s="16"/>
    </row>
    <row r="648" spans="2:8">
      <c r="B648" s="5"/>
      <c r="H648" s="16"/>
    </row>
    <row r="649" spans="2:8">
      <c r="B649" s="5"/>
      <c r="H649" s="16"/>
    </row>
    <row r="650" spans="2:8">
      <c r="B650" s="5"/>
      <c r="H650" s="16"/>
    </row>
    <row r="651" spans="2:8">
      <c r="B651" s="5"/>
      <c r="H651" s="16"/>
    </row>
    <row r="652" spans="2:8">
      <c r="B652" s="5"/>
      <c r="H652" s="16"/>
    </row>
    <row r="653" spans="2:8">
      <c r="B653" s="5"/>
      <c r="H653" s="16"/>
    </row>
    <row r="654" spans="2:8">
      <c r="B654" s="5"/>
      <c r="H654" s="16"/>
    </row>
    <row r="655" spans="2:8">
      <c r="B655" s="5"/>
      <c r="H655" s="16"/>
    </row>
    <row r="656" spans="2:8">
      <c r="B656" s="5"/>
      <c r="H656" s="16"/>
    </row>
    <row r="657" spans="2:8">
      <c r="B657" s="5"/>
      <c r="H657" s="16"/>
    </row>
    <row r="658" spans="2:8">
      <c r="B658" s="5"/>
      <c r="H658" s="16"/>
    </row>
    <row r="659" spans="2:8">
      <c r="B659" s="5"/>
      <c r="H659" s="16"/>
    </row>
    <row r="660" spans="2:8">
      <c r="B660" s="5"/>
      <c r="H660" s="16"/>
    </row>
    <row r="661" spans="2:8">
      <c r="B661" s="5"/>
      <c r="H661" s="16"/>
    </row>
    <row r="662" spans="2:8">
      <c r="B662" s="5"/>
      <c r="H662" s="16"/>
    </row>
    <row r="663" spans="2:8">
      <c r="B663" s="5"/>
      <c r="H663" s="16"/>
    </row>
    <row r="664" spans="2:8">
      <c r="B664" s="5"/>
      <c r="H664" s="16"/>
    </row>
    <row r="665" spans="2:8">
      <c r="B665" s="5"/>
      <c r="H665" s="16"/>
    </row>
    <row r="666" spans="2:8">
      <c r="B666" s="5"/>
      <c r="H666" s="16"/>
    </row>
    <row r="667" spans="2:8">
      <c r="B667" s="5"/>
      <c r="H667" s="16"/>
    </row>
    <row r="668" spans="2:8">
      <c r="B668" s="5"/>
      <c r="H668" s="16"/>
    </row>
    <row r="669" spans="2:8">
      <c r="B669" s="5"/>
      <c r="H669" s="16"/>
    </row>
    <row r="670" spans="2:8">
      <c r="B670" s="5"/>
      <c r="H670" s="16"/>
    </row>
    <row r="671" spans="2:8">
      <c r="B671" s="5"/>
      <c r="H671" s="16"/>
    </row>
    <row r="672" spans="2:8">
      <c r="B672" s="5"/>
      <c r="H672" s="16"/>
    </row>
    <row r="673" spans="2:8">
      <c r="B673" s="5"/>
      <c r="H673" s="16"/>
    </row>
    <row r="674" spans="2:8">
      <c r="B674" s="5"/>
      <c r="H674" s="16"/>
    </row>
    <row r="675" spans="2:8">
      <c r="B675" s="5"/>
      <c r="H675" s="16"/>
    </row>
    <row r="676" spans="2:8">
      <c r="B676" s="5"/>
      <c r="H676" s="16"/>
    </row>
    <row r="677" spans="2:8">
      <c r="B677" s="5"/>
      <c r="H677" s="16"/>
    </row>
    <row r="678" spans="2:8">
      <c r="B678" s="5"/>
      <c r="H678" s="16"/>
    </row>
    <row r="679" spans="2:8">
      <c r="B679" s="5"/>
      <c r="H679" s="16"/>
    </row>
    <row r="680" spans="2:8">
      <c r="B680" s="5"/>
      <c r="H680" s="16"/>
    </row>
    <row r="681" spans="2:8">
      <c r="B681" s="5"/>
      <c r="H681" s="16"/>
    </row>
    <row r="682" spans="2:8">
      <c r="B682" s="5"/>
      <c r="H682" s="16"/>
    </row>
    <row r="683" spans="2:8">
      <c r="B683" s="5"/>
      <c r="H683" s="16"/>
    </row>
    <row r="684" spans="2:8">
      <c r="B684" s="5"/>
      <c r="H684" s="16"/>
    </row>
    <row r="685" spans="2:8">
      <c r="B685" s="5"/>
      <c r="H685" s="16"/>
    </row>
    <row r="686" spans="2:8">
      <c r="B686" s="5"/>
      <c r="H686" s="16"/>
    </row>
    <row r="687" spans="2:8">
      <c r="B687" s="5"/>
      <c r="H687" s="16"/>
    </row>
    <row r="688" spans="2:8">
      <c r="B688" s="5"/>
      <c r="H688" s="16"/>
    </row>
    <row r="689" spans="2:8">
      <c r="B689" s="5"/>
      <c r="H689" s="16"/>
    </row>
    <row r="690" spans="2:8">
      <c r="B690" s="5"/>
      <c r="H690" s="16"/>
    </row>
    <row r="691" spans="2:8">
      <c r="B691" s="5"/>
      <c r="H691" s="16"/>
    </row>
    <row r="692" spans="2:8">
      <c r="B692" s="5"/>
      <c r="H692" s="16"/>
    </row>
    <row r="693" spans="2:8">
      <c r="B693" s="5"/>
      <c r="H693" s="16"/>
    </row>
    <row r="694" spans="2:8">
      <c r="B694" s="5"/>
      <c r="H694" s="16"/>
    </row>
    <row r="695" spans="2:8">
      <c r="B695" s="5"/>
      <c r="H695" s="16"/>
    </row>
    <row r="696" spans="2:8">
      <c r="B696" s="5"/>
      <c r="H696" s="16"/>
    </row>
    <row r="697" spans="2:8">
      <c r="B697" s="5"/>
      <c r="H697" s="16"/>
    </row>
    <row r="698" spans="2:8">
      <c r="B698" s="5"/>
      <c r="H698" s="16"/>
    </row>
    <row r="699" spans="2:8">
      <c r="B699" s="5"/>
      <c r="H699" s="16"/>
    </row>
    <row r="700" spans="2:8">
      <c r="B700" s="5"/>
      <c r="H700" s="16"/>
    </row>
    <row r="701" spans="2:8">
      <c r="B701" s="5"/>
      <c r="H701" s="16"/>
    </row>
    <row r="702" spans="2:8">
      <c r="B702" s="5"/>
      <c r="H702" s="16"/>
    </row>
    <row r="703" spans="2:8">
      <c r="B703" s="5"/>
      <c r="H703" s="16"/>
    </row>
    <row r="704" spans="2:8">
      <c r="B704" s="5"/>
      <c r="H704" s="16"/>
    </row>
    <row r="705" spans="2:8">
      <c r="B705" s="5"/>
      <c r="H705" s="16"/>
    </row>
    <row r="706" spans="2:8">
      <c r="B706" s="5"/>
      <c r="H706" s="16"/>
    </row>
    <row r="707" spans="2:8">
      <c r="B707" s="5"/>
      <c r="H707" s="16"/>
    </row>
    <row r="708" spans="2:8">
      <c r="B708" s="5"/>
      <c r="H708" s="16"/>
    </row>
    <row r="709" spans="2:8">
      <c r="B709" s="5"/>
      <c r="H709" s="16"/>
    </row>
    <row r="710" spans="2:8">
      <c r="B710" s="5"/>
      <c r="H710" s="16"/>
    </row>
    <row r="711" spans="2:8">
      <c r="B711" s="5"/>
      <c r="H711" s="16"/>
    </row>
    <row r="712" spans="2:8">
      <c r="B712" s="5"/>
      <c r="H712" s="16"/>
    </row>
    <row r="713" spans="2:8">
      <c r="B713" s="5"/>
      <c r="H713" s="16"/>
    </row>
    <row r="714" spans="2:8">
      <c r="B714" s="5"/>
      <c r="H714" s="16"/>
    </row>
    <row r="715" spans="2:8">
      <c r="B715" s="5"/>
      <c r="H715" s="16"/>
    </row>
    <row r="716" spans="2:8">
      <c r="B716" s="5"/>
      <c r="H716" s="16"/>
    </row>
    <row r="717" spans="2:8">
      <c r="B717" s="5"/>
      <c r="H717" s="16"/>
    </row>
    <row r="718" spans="2:8">
      <c r="B718" s="5"/>
      <c r="H718" s="16"/>
    </row>
    <row r="719" spans="2:8">
      <c r="B719" s="5"/>
      <c r="H719" s="16"/>
    </row>
    <row r="720" spans="2:8">
      <c r="B720" s="5"/>
      <c r="H720" s="16"/>
    </row>
    <row r="721" spans="2:8">
      <c r="B721" s="5"/>
      <c r="H721" s="16"/>
    </row>
    <row r="722" spans="2:8">
      <c r="B722" s="5"/>
      <c r="H722" s="16"/>
    </row>
    <row r="723" spans="2:8">
      <c r="B723" s="5"/>
      <c r="H723" s="16"/>
    </row>
    <row r="724" spans="2:8">
      <c r="B724" s="5"/>
      <c r="H724" s="16"/>
    </row>
    <row r="725" spans="2:8">
      <c r="B725" s="5"/>
      <c r="H725" s="16"/>
    </row>
    <row r="726" spans="2:8">
      <c r="B726" s="5"/>
      <c r="H726" s="16"/>
    </row>
    <row r="727" spans="2:8">
      <c r="B727" s="5"/>
      <c r="H727" s="16"/>
    </row>
    <row r="728" spans="2:8">
      <c r="B728" s="5"/>
      <c r="H728" s="16"/>
    </row>
    <row r="729" spans="2:8">
      <c r="B729" s="5"/>
      <c r="H729" s="16"/>
    </row>
    <row r="730" spans="2:8">
      <c r="B730" s="5"/>
      <c r="H730" s="16"/>
    </row>
    <row r="731" spans="2:8">
      <c r="B731" s="5"/>
      <c r="H731" s="16"/>
    </row>
    <row r="732" spans="2:8">
      <c r="B732" s="5"/>
      <c r="H732" s="16"/>
    </row>
    <row r="733" spans="2:8">
      <c r="B733" s="5"/>
      <c r="H733" s="16"/>
    </row>
    <row r="734" spans="2:8">
      <c r="B734" s="5"/>
      <c r="H734" s="16"/>
    </row>
    <row r="735" spans="2:8">
      <c r="B735" s="5"/>
      <c r="H735" s="16"/>
    </row>
    <row r="736" spans="2:8">
      <c r="B736" s="5"/>
      <c r="H736" s="16"/>
    </row>
    <row r="737" spans="2:8">
      <c r="B737" s="5"/>
      <c r="H737" s="16"/>
    </row>
    <row r="738" spans="2:8">
      <c r="B738" s="5"/>
      <c r="H738" s="16"/>
    </row>
    <row r="739" spans="2:8">
      <c r="B739" s="5"/>
      <c r="H739" s="16"/>
    </row>
    <row r="740" spans="2:8">
      <c r="B740" s="5"/>
      <c r="H740" s="16"/>
    </row>
    <row r="741" spans="2:8">
      <c r="B741" s="5"/>
      <c r="H741" s="16"/>
    </row>
    <row r="742" spans="2:8">
      <c r="B742" s="5"/>
      <c r="H742" s="16"/>
    </row>
    <row r="743" spans="2:8">
      <c r="B743" s="5"/>
      <c r="H743" s="16"/>
    </row>
    <row r="744" spans="2:8">
      <c r="B744" s="5"/>
      <c r="H744" s="16"/>
    </row>
    <row r="745" spans="2:8">
      <c r="B745" s="5"/>
      <c r="H745" s="16"/>
    </row>
    <row r="746" spans="2:8">
      <c r="B746" s="5"/>
      <c r="H746" s="16"/>
    </row>
    <row r="747" spans="2:8">
      <c r="B747" s="5"/>
      <c r="H747" s="16"/>
    </row>
    <row r="748" spans="2:8">
      <c r="B748" s="5"/>
      <c r="H748" s="16"/>
    </row>
    <row r="749" spans="2:8">
      <c r="B749" s="5"/>
      <c r="H749" s="16"/>
    </row>
    <row r="750" spans="2:8">
      <c r="B750" s="5"/>
      <c r="H750" s="16"/>
    </row>
    <row r="751" spans="2:8">
      <c r="B751" s="5"/>
      <c r="H751" s="16"/>
    </row>
    <row r="752" spans="2:8">
      <c r="B752" s="5"/>
      <c r="H752" s="16"/>
    </row>
    <row r="753" spans="2:8">
      <c r="B753" s="5"/>
      <c r="H753" s="16"/>
    </row>
    <row r="754" spans="2:8">
      <c r="B754" s="5"/>
      <c r="H754" s="16"/>
    </row>
    <row r="755" spans="2:8">
      <c r="B755" s="5"/>
      <c r="H755" s="16"/>
    </row>
    <row r="756" spans="2:8">
      <c r="B756" s="5"/>
      <c r="H756" s="16"/>
    </row>
    <row r="757" spans="2:8">
      <c r="B757" s="5"/>
      <c r="H757" s="16"/>
    </row>
    <row r="758" spans="2:8">
      <c r="B758" s="5"/>
      <c r="H758" s="16"/>
    </row>
    <row r="759" spans="2:8">
      <c r="B759" s="5"/>
      <c r="H759" s="16"/>
    </row>
    <row r="760" spans="2:8">
      <c r="B760" s="5"/>
      <c r="H760" s="16"/>
    </row>
    <row r="761" spans="2:8">
      <c r="B761" s="5"/>
      <c r="H761" s="16"/>
    </row>
    <row r="762" spans="2:8">
      <c r="B762" s="5"/>
      <c r="H762" s="16"/>
    </row>
    <row r="763" spans="2:8">
      <c r="B763" s="5"/>
      <c r="H763" s="16"/>
    </row>
    <row r="764" spans="2:8">
      <c r="B764" s="5"/>
      <c r="H764" s="16"/>
    </row>
    <row r="765" spans="2:8">
      <c r="B765" s="5"/>
      <c r="H765" s="16"/>
    </row>
    <row r="766" spans="2:8">
      <c r="B766" s="5"/>
      <c r="H766" s="16"/>
    </row>
    <row r="767" spans="2:8">
      <c r="B767" s="5"/>
      <c r="H767" s="16"/>
    </row>
    <row r="768" spans="2:8">
      <c r="B768" s="5"/>
      <c r="H768" s="16"/>
    </row>
    <row r="769" spans="2:8">
      <c r="B769" s="5"/>
      <c r="H769" s="16"/>
    </row>
    <row r="770" spans="2:8">
      <c r="B770" s="5"/>
      <c r="H770" s="16"/>
    </row>
    <row r="771" spans="2:8">
      <c r="B771" s="5"/>
      <c r="H771" s="16"/>
    </row>
    <row r="772" spans="2:8">
      <c r="B772" s="5"/>
      <c r="H772" s="16"/>
    </row>
    <row r="773" spans="2:8">
      <c r="B773" s="5"/>
      <c r="H773" s="16"/>
    </row>
    <row r="774" spans="2:8">
      <c r="B774" s="5"/>
      <c r="H774" s="16"/>
    </row>
    <row r="775" spans="2:8">
      <c r="B775" s="5"/>
      <c r="H775" s="16"/>
    </row>
    <row r="776" spans="2:8">
      <c r="B776" s="5"/>
      <c r="H776" s="16"/>
    </row>
    <row r="777" spans="2:8">
      <c r="B777" s="5"/>
      <c r="H777" s="16"/>
    </row>
    <row r="778" spans="2:8">
      <c r="B778" s="5"/>
      <c r="H778" s="16"/>
    </row>
    <row r="779" spans="2:8">
      <c r="B779" s="5"/>
      <c r="H779" s="16"/>
    </row>
    <row r="780" spans="2:8">
      <c r="B780" s="5"/>
      <c r="H780" s="16"/>
    </row>
    <row r="781" spans="2:8">
      <c r="B781" s="5"/>
      <c r="H781" s="16"/>
    </row>
    <row r="782" spans="2:8">
      <c r="B782" s="5"/>
      <c r="H782" s="16"/>
    </row>
    <row r="783" spans="2:8">
      <c r="B783" s="5"/>
      <c r="H783" s="16"/>
    </row>
    <row r="784" spans="2:8">
      <c r="B784" s="5"/>
      <c r="H784" s="16"/>
    </row>
    <row r="785" spans="2:8">
      <c r="B785" s="5"/>
      <c r="H785" s="16"/>
    </row>
    <row r="786" spans="2:8">
      <c r="B786" s="5"/>
      <c r="H786" s="16"/>
    </row>
    <row r="787" spans="2:8">
      <c r="B787" s="5"/>
      <c r="H787" s="16"/>
    </row>
    <row r="788" spans="2:8">
      <c r="B788" s="5"/>
      <c r="H788" s="16"/>
    </row>
    <row r="789" spans="2:8">
      <c r="B789" s="5"/>
      <c r="H789" s="16"/>
    </row>
    <row r="790" spans="2:8">
      <c r="B790" s="5"/>
      <c r="H790" s="16"/>
    </row>
    <row r="791" spans="2:8">
      <c r="B791" s="5"/>
      <c r="H791" s="16"/>
    </row>
    <row r="792" spans="2:8">
      <c r="B792" s="5"/>
      <c r="H792" s="16"/>
    </row>
    <row r="793" spans="2:8">
      <c r="B793" s="5"/>
      <c r="H793" s="16"/>
    </row>
    <row r="794" spans="2:8">
      <c r="B794" s="5"/>
      <c r="H794" s="16"/>
    </row>
    <row r="795" spans="2:8">
      <c r="B795" s="5"/>
      <c r="H795" s="16"/>
    </row>
    <row r="796" spans="2:8">
      <c r="B796" s="5"/>
      <c r="H796" s="16"/>
    </row>
    <row r="797" spans="2:8">
      <c r="B797" s="5"/>
      <c r="H797" s="16"/>
    </row>
    <row r="798" spans="2:8">
      <c r="B798" s="5"/>
      <c r="H798" s="16"/>
    </row>
    <row r="799" spans="2:8">
      <c r="B799" s="5"/>
      <c r="H799" s="16"/>
    </row>
    <row r="800" spans="2:8">
      <c r="B800" s="5"/>
      <c r="H800" s="16"/>
    </row>
    <row r="801" spans="2:8">
      <c r="B801" s="5"/>
      <c r="H801" s="16"/>
    </row>
    <row r="802" spans="2:8">
      <c r="B802" s="5"/>
      <c r="H802" s="16"/>
    </row>
    <row r="803" spans="2:8">
      <c r="B803" s="5"/>
      <c r="H803" s="16"/>
    </row>
    <row r="804" spans="2:8">
      <c r="B804" s="5"/>
      <c r="H804" s="16"/>
    </row>
    <row r="805" spans="2:8">
      <c r="B805" s="5"/>
      <c r="H805" s="16"/>
    </row>
    <row r="806" spans="2:8">
      <c r="B806" s="5"/>
      <c r="H806" s="16"/>
    </row>
    <row r="807" spans="2:8">
      <c r="B807" s="5"/>
      <c r="H807" s="16"/>
    </row>
    <row r="808" spans="2:8">
      <c r="B808" s="5"/>
      <c r="H808" s="16"/>
    </row>
    <row r="809" spans="2:8">
      <c r="B809" s="5"/>
      <c r="H809" s="16"/>
    </row>
    <row r="810" spans="2:8">
      <c r="B810" s="5"/>
      <c r="H810" s="16"/>
    </row>
    <row r="811" spans="2:8">
      <c r="B811" s="5"/>
      <c r="H811" s="16"/>
    </row>
    <row r="812" spans="2:8">
      <c r="B812" s="5"/>
      <c r="H812" s="16"/>
    </row>
    <row r="813" spans="2:8">
      <c r="B813" s="5"/>
      <c r="H813" s="16"/>
    </row>
    <row r="814" spans="2:8">
      <c r="B814" s="5"/>
      <c r="H814" s="16"/>
    </row>
    <row r="815" spans="2:8">
      <c r="B815" s="5"/>
      <c r="H815" s="16"/>
    </row>
    <row r="816" spans="2:8">
      <c r="B816" s="5"/>
      <c r="H816" s="16"/>
    </row>
    <row r="817" spans="2:8">
      <c r="B817" s="5"/>
      <c r="H817" s="16"/>
    </row>
    <row r="818" spans="2:8">
      <c r="B818" s="5"/>
      <c r="H818" s="16"/>
    </row>
    <row r="819" spans="2:8">
      <c r="B819" s="5"/>
      <c r="H819" s="16"/>
    </row>
    <row r="820" spans="2:8">
      <c r="B820" s="5"/>
      <c r="H820" s="16"/>
    </row>
    <row r="821" spans="2:8">
      <c r="B821" s="5"/>
      <c r="H821" s="16"/>
    </row>
    <row r="822" spans="2:8">
      <c r="B822" s="5"/>
      <c r="H822" s="16"/>
    </row>
    <row r="823" spans="2:8">
      <c r="B823" s="5"/>
      <c r="H823" s="16"/>
    </row>
    <row r="824" spans="2:8">
      <c r="B824" s="5"/>
      <c r="H824" s="16"/>
    </row>
    <row r="825" spans="2:8">
      <c r="B825" s="5"/>
      <c r="H825" s="16"/>
    </row>
    <row r="826" spans="2:8">
      <c r="B826" s="5"/>
      <c r="H826" s="16"/>
    </row>
    <row r="827" spans="2:8">
      <c r="B827" s="5"/>
      <c r="H827" s="16"/>
    </row>
    <row r="828" spans="2:8">
      <c r="B828" s="5"/>
      <c r="H828" s="16"/>
    </row>
    <row r="829" spans="2:8">
      <c r="B829" s="5"/>
      <c r="H829" s="16"/>
    </row>
    <row r="830" spans="2:8">
      <c r="B830" s="5"/>
      <c r="H830" s="16"/>
    </row>
    <row r="831" spans="2:8">
      <c r="B831" s="5"/>
      <c r="H831" s="16"/>
    </row>
    <row r="832" spans="2:8">
      <c r="B832" s="5"/>
      <c r="H832" s="16"/>
    </row>
    <row r="833" spans="2:8">
      <c r="B833" s="5"/>
      <c r="H833" s="16"/>
    </row>
    <row r="834" spans="2:8">
      <c r="B834" s="5"/>
      <c r="H834" s="16"/>
    </row>
    <row r="835" spans="2:8">
      <c r="B835" s="5"/>
      <c r="H835" s="16"/>
    </row>
    <row r="836" spans="2:8">
      <c r="B836" s="5"/>
      <c r="H836" s="16"/>
    </row>
    <row r="837" spans="2:8">
      <c r="B837" s="5"/>
      <c r="H837" s="16"/>
    </row>
    <row r="838" spans="2:8">
      <c r="B838" s="5"/>
      <c r="H838" s="16"/>
    </row>
    <row r="839" spans="2:8">
      <c r="B839" s="5"/>
      <c r="H839" s="16"/>
    </row>
    <row r="840" spans="2:8">
      <c r="B840" s="5"/>
      <c r="H840" s="16"/>
    </row>
    <row r="841" spans="2:8">
      <c r="B841" s="5"/>
      <c r="H841" s="16"/>
    </row>
    <row r="842" spans="2:8">
      <c r="B842" s="5"/>
      <c r="H842" s="16"/>
    </row>
    <row r="843" spans="2:8">
      <c r="B843" s="5"/>
      <c r="H843" s="16"/>
    </row>
    <row r="844" spans="2:8">
      <c r="B844" s="5"/>
      <c r="H844" s="16"/>
    </row>
    <row r="845" spans="2:8">
      <c r="B845" s="5"/>
      <c r="H845" s="16"/>
    </row>
    <row r="846" spans="2:8">
      <c r="B846" s="5"/>
      <c r="H846" s="16"/>
    </row>
    <row r="847" spans="2:8">
      <c r="B847" s="5"/>
      <c r="H847" s="16"/>
    </row>
    <row r="848" spans="2:8">
      <c r="B848" s="5"/>
      <c r="H848" s="16"/>
    </row>
    <row r="849" spans="2:8">
      <c r="B849" s="5"/>
      <c r="H849" s="16"/>
    </row>
    <row r="850" spans="2:8">
      <c r="B850" s="5"/>
      <c r="H850" s="16"/>
    </row>
    <row r="851" spans="2:8">
      <c r="B851" s="5"/>
      <c r="H851" s="16"/>
    </row>
    <row r="852" spans="2:8">
      <c r="B852" s="5"/>
      <c r="H852" s="16"/>
    </row>
    <row r="853" spans="2:8">
      <c r="B853" s="5"/>
      <c r="H853" s="16"/>
    </row>
    <row r="854" spans="2:8">
      <c r="B854" s="5"/>
      <c r="H854" s="16"/>
    </row>
    <row r="855" spans="2:8">
      <c r="B855" s="5"/>
      <c r="H855" s="16"/>
    </row>
    <row r="856" spans="2:8">
      <c r="B856" s="5"/>
      <c r="H856" s="16"/>
    </row>
    <row r="857" spans="2:8">
      <c r="B857" s="5"/>
      <c r="H857" s="16"/>
    </row>
    <row r="858" spans="2:8">
      <c r="B858" s="5"/>
      <c r="H858" s="16"/>
    </row>
    <row r="859" spans="2:8">
      <c r="B859" s="5"/>
      <c r="H859" s="16"/>
    </row>
    <row r="860" spans="2:8">
      <c r="B860" s="5"/>
      <c r="H860" s="16"/>
    </row>
    <row r="861" spans="2:8">
      <c r="B861" s="5"/>
      <c r="H861" s="16"/>
    </row>
    <row r="862" spans="2:8">
      <c r="B862" s="5"/>
      <c r="H862" s="16"/>
    </row>
    <row r="863" spans="2:8">
      <c r="B863" s="5"/>
      <c r="H863" s="16"/>
    </row>
    <row r="864" spans="2:8">
      <c r="B864" s="5"/>
      <c r="H864" s="16"/>
    </row>
    <row r="865" spans="2:8">
      <c r="B865" s="5"/>
      <c r="H865" s="16"/>
    </row>
    <row r="866" spans="2:8">
      <c r="B866" s="5"/>
      <c r="H866" s="16"/>
    </row>
    <row r="867" spans="2:8">
      <c r="B867" s="5"/>
      <c r="H867" s="16"/>
    </row>
    <row r="868" spans="2:8">
      <c r="B868" s="5"/>
      <c r="H868" s="16"/>
    </row>
    <row r="869" spans="2:8">
      <c r="B869" s="5"/>
      <c r="H869" s="16"/>
    </row>
    <row r="870" spans="2:8">
      <c r="B870" s="5"/>
      <c r="H870" s="16"/>
    </row>
    <row r="871" spans="2:8">
      <c r="B871" s="5"/>
      <c r="H871" s="16"/>
    </row>
    <row r="872" spans="2:8">
      <c r="B872" s="5"/>
      <c r="H872" s="16"/>
    </row>
    <row r="873" spans="2:8">
      <c r="B873" s="5"/>
      <c r="H873" s="16"/>
    </row>
    <row r="874" spans="2:8">
      <c r="B874" s="5"/>
      <c r="H874" s="16"/>
    </row>
    <row r="875" spans="2:8">
      <c r="B875" s="5"/>
      <c r="H875" s="16"/>
    </row>
    <row r="876" spans="2:8">
      <c r="B876" s="5"/>
      <c r="H876" s="16"/>
    </row>
    <row r="877" spans="2:8">
      <c r="B877" s="5"/>
      <c r="H877" s="16"/>
    </row>
    <row r="878" spans="2:8">
      <c r="B878" s="5"/>
      <c r="H878" s="16"/>
    </row>
    <row r="879" spans="2:8">
      <c r="B879" s="5"/>
      <c r="H879" s="16"/>
    </row>
    <row r="880" spans="2:8">
      <c r="B880" s="5"/>
      <c r="H880" s="16"/>
    </row>
    <row r="881" spans="2:8">
      <c r="B881" s="5"/>
      <c r="H881" s="16"/>
    </row>
    <row r="882" spans="2:8">
      <c r="B882" s="5"/>
      <c r="H882" s="16"/>
    </row>
    <row r="883" spans="2:8">
      <c r="B883" s="5"/>
      <c r="H883" s="16"/>
    </row>
    <row r="884" spans="2:8">
      <c r="B884" s="5"/>
      <c r="H884" s="16"/>
    </row>
    <row r="885" spans="2:8">
      <c r="B885" s="5"/>
      <c r="H885" s="16"/>
    </row>
    <row r="886" spans="2:8">
      <c r="B886" s="5"/>
      <c r="H886" s="16"/>
    </row>
    <row r="887" spans="2:8">
      <c r="B887" s="5"/>
      <c r="H887" s="16"/>
    </row>
    <row r="888" spans="2:8">
      <c r="B888" s="5"/>
      <c r="H888" s="16"/>
    </row>
    <row r="889" spans="2:8">
      <c r="B889" s="5"/>
      <c r="H889" s="16"/>
    </row>
    <row r="890" spans="2:8">
      <c r="B890" s="5"/>
      <c r="H890" s="16"/>
    </row>
    <row r="891" spans="2:8">
      <c r="B891" s="5"/>
      <c r="H891" s="16"/>
    </row>
    <row r="892" spans="2:8">
      <c r="B892" s="5"/>
      <c r="H892" s="16"/>
    </row>
  </sheetData>
  <mergeCells count="27">
    <mergeCell ref="C50:F50"/>
    <mergeCell ref="G50:H50"/>
    <mergeCell ref="C47:F47"/>
    <mergeCell ref="G47:H47"/>
    <mergeCell ref="C48:F48"/>
    <mergeCell ref="G48:H48"/>
    <mergeCell ref="C49:F49"/>
    <mergeCell ref="G49:H49"/>
    <mergeCell ref="C44:F44"/>
    <mergeCell ref="G44:H44"/>
    <mergeCell ref="C45:F45"/>
    <mergeCell ref="G45:H45"/>
    <mergeCell ref="C46:F46"/>
    <mergeCell ref="G46:H46"/>
    <mergeCell ref="C43:F43"/>
    <mergeCell ref="G43:H43"/>
    <mergeCell ref="A4:H4"/>
    <mergeCell ref="A10:F10"/>
    <mergeCell ref="A17:F17"/>
    <mergeCell ref="A23:F23"/>
    <mergeCell ref="A29:F29"/>
    <mergeCell ref="A35:F35"/>
    <mergeCell ref="A38:F38"/>
    <mergeCell ref="C41:F41"/>
    <mergeCell ref="G41:H41"/>
    <mergeCell ref="C42:F42"/>
    <mergeCell ref="G42:H42"/>
  </mergeCells>
  <phoneticPr fontId="24" type="noConversion"/>
  <dataValidations count="1">
    <dataValidation type="list" allowBlank="1" showInputMessage="1" showErrorMessage="1" sqref="B42:B48" xr:uid="{FD9C8397-1A7F-4868-A84F-54C13675EE8B}">
      <formula1>$L$41:$L$45</formula1>
    </dataValidation>
  </dataValidations>
  <pageMargins left="0.7" right="0.7" top="0.75" bottom="0.75" header="0.3" footer="0.3"/>
  <pageSetup scale="52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C5184-92B7-4B4A-A0C5-D27057142CD9}">
  <sheetPr>
    <pageSetUpPr fitToPage="1"/>
  </sheetPr>
  <dimension ref="A1:L892"/>
  <sheetViews>
    <sheetView showZeros="0" view="pageBreakPreview" zoomScale="60" zoomScaleNormal="70" workbookViewId="0">
      <selection activeCell="A11" sqref="A11"/>
    </sheetView>
  </sheetViews>
  <sheetFormatPr defaultColWidth="10.875" defaultRowHeight="18.75"/>
  <cols>
    <col min="1" max="1" width="35.625" customWidth="1"/>
    <col min="2" max="2" width="14.625" style="16" customWidth="1"/>
    <col min="3" max="7" width="15.875" style="5" customWidth="1"/>
    <col min="8" max="8" width="15.875" style="17" customWidth="1"/>
    <col min="9" max="9" width="9" style="5"/>
    <col min="10" max="12" width="0" style="5" hidden="1" customWidth="1"/>
    <col min="13" max="16384" width="10.875" style="5"/>
  </cols>
  <sheetData>
    <row r="1" spans="1:10" customFormat="1" ht="15.75">
      <c r="A1" s="41"/>
      <c r="B1" s="42"/>
      <c r="C1" s="43"/>
      <c r="D1" s="43"/>
      <c r="E1" s="45" t="s">
        <v>25</v>
      </c>
      <c r="F1" s="43"/>
      <c r="G1" s="45" t="s">
        <v>26</v>
      </c>
      <c r="H1" s="44">
        <v>6</v>
      </c>
    </row>
    <row r="2" spans="1:10">
      <c r="A2" s="30"/>
      <c r="B2" s="18" t="s">
        <v>27</v>
      </c>
      <c r="C2" s="19" t="s">
        <v>28</v>
      </c>
      <c r="D2" s="19" t="s">
        <v>29</v>
      </c>
      <c r="E2" s="18" t="s">
        <v>30</v>
      </c>
      <c r="F2" s="18" t="s">
        <v>31</v>
      </c>
      <c r="G2" s="18" t="s">
        <v>32</v>
      </c>
      <c r="H2" s="18" t="s">
        <v>33</v>
      </c>
    </row>
    <row r="3" spans="1:10" ht="21" customHeight="1">
      <c r="A3" s="31" t="s">
        <v>7</v>
      </c>
      <c r="B3" s="6">
        <f>'Week. 9'!H3+1</f>
        <v>46089</v>
      </c>
      <c r="C3" s="6">
        <f>B3+1</f>
        <v>46090</v>
      </c>
      <c r="D3" s="6">
        <f t="shared" ref="D3:H3" si="0">C3+1</f>
        <v>46091</v>
      </c>
      <c r="E3" s="6">
        <f t="shared" si="0"/>
        <v>46092</v>
      </c>
      <c r="F3" s="6">
        <f t="shared" si="0"/>
        <v>46093</v>
      </c>
      <c r="G3" s="6">
        <f t="shared" si="0"/>
        <v>46094</v>
      </c>
      <c r="H3" s="6">
        <f t="shared" si="0"/>
        <v>46095</v>
      </c>
    </row>
    <row r="4" spans="1:10" s="7" customFormat="1">
      <c r="A4" s="181" t="s">
        <v>135</v>
      </c>
      <c r="B4" s="181"/>
      <c r="C4" s="181"/>
      <c r="D4" s="181"/>
      <c r="E4" s="181"/>
      <c r="F4" s="181"/>
      <c r="G4" s="181"/>
      <c r="H4" s="181"/>
    </row>
    <row r="5" spans="1:10" s="7" customFormat="1" ht="26.1" customHeight="1">
      <c r="A5" s="32" t="s">
        <v>8</v>
      </c>
      <c r="B5" s="27"/>
      <c r="C5" s="27"/>
      <c r="D5" s="27"/>
      <c r="E5" s="27"/>
      <c r="F5" s="27"/>
      <c r="G5" s="27"/>
      <c r="H5" s="27"/>
    </row>
    <row r="6" spans="1:10" s="7" customFormat="1" ht="26.1" customHeight="1">
      <c r="A6" s="4" t="s">
        <v>23</v>
      </c>
      <c r="B6" s="62"/>
      <c r="C6" s="62"/>
      <c r="D6" s="62"/>
      <c r="E6" s="62"/>
      <c r="F6" s="62"/>
      <c r="G6" s="62"/>
      <c r="H6" s="62"/>
    </row>
    <row r="7" spans="1:10" s="7" customFormat="1" ht="21.95" customHeight="1">
      <c r="A7" s="32" t="s">
        <v>35</v>
      </c>
      <c r="B7" s="27"/>
      <c r="C7" s="28"/>
      <c r="D7" s="28"/>
      <c r="E7" s="28"/>
      <c r="F7" s="28"/>
      <c r="G7" s="28"/>
      <c r="H7" s="27"/>
    </row>
    <row r="8" spans="1:10" s="7" customFormat="1" ht="24.95" customHeight="1">
      <c r="A8" s="83" t="s">
        <v>36</v>
      </c>
      <c r="B8" s="84">
        <f t="shared" ref="B8:H8" si="1">B5+B6+B7</f>
        <v>0</v>
      </c>
      <c r="C8" s="84">
        <f t="shared" si="1"/>
        <v>0</v>
      </c>
      <c r="D8" s="84">
        <f t="shared" si="1"/>
        <v>0</v>
      </c>
      <c r="E8" s="84">
        <f t="shared" si="1"/>
        <v>0</v>
      </c>
      <c r="F8" s="84">
        <f t="shared" si="1"/>
        <v>0</v>
      </c>
      <c r="G8" s="84">
        <f t="shared" si="1"/>
        <v>0</v>
      </c>
      <c r="H8" s="84">
        <f t="shared" si="1"/>
        <v>0</v>
      </c>
    </row>
    <row r="9" spans="1:10" s="7" customFormat="1" ht="24.95" customHeight="1">
      <c r="A9" s="33"/>
      <c r="B9" s="29"/>
      <c r="C9" s="29"/>
      <c r="D9" s="29"/>
      <c r="E9" s="29"/>
      <c r="F9" s="29"/>
      <c r="G9" s="63" t="s">
        <v>37</v>
      </c>
      <c r="H9" s="64">
        <f>SUM(B8:H8)</f>
        <v>0</v>
      </c>
    </row>
    <row r="10" spans="1:10" s="7" customFormat="1">
      <c r="A10" s="182" t="s">
        <v>136</v>
      </c>
      <c r="B10" s="183"/>
      <c r="C10" s="183"/>
      <c r="D10" s="183"/>
      <c r="E10" s="183"/>
      <c r="F10" s="183"/>
      <c r="G10" s="65" t="s">
        <v>39</v>
      </c>
      <c r="H10" s="66">
        <v>-0.15</v>
      </c>
      <c r="I10" s="5"/>
      <c r="J10" s="26"/>
    </row>
    <row r="11" spans="1:10" s="7" customFormat="1" ht="30" customHeight="1">
      <c r="A11" s="39" t="s">
        <v>8</v>
      </c>
      <c r="B11" s="9"/>
      <c r="C11" s="9"/>
      <c r="D11" s="67"/>
      <c r="E11" s="67"/>
      <c r="F11" s="9"/>
      <c r="G11" s="68"/>
      <c r="H11" s="69"/>
    </row>
    <row r="12" spans="1:10" s="7" customFormat="1" ht="30" customHeight="1">
      <c r="A12" s="70" t="s">
        <v>23</v>
      </c>
      <c r="B12" s="59"/>
      <c r="C12" s="58"/>
      <c r="D12" s="58"/>
      <c r="E12" s="58"/>
      <c r="F12" s="58"/>
      <c r="G12" s="58"/>
      <c r="H12" s="58"/>
    </row>
    <row r="13" spans="1:10" s="7" customFormat="1" ht="30" customHeight="1">
      <c r="A13" s="3" t="s">
        <v>35</v>
      </c>
      <c r="B13" s="8"/>
      <c r="C13" s="8"/>
      <c r="D13" s="8"/>
      <c r="E13" s="8"/>
      <c r="F13" s="8"/>
      <c r="G13" s="8"/>
      <c r="H13" s="8"/>
    </row>
    <row r="14" spans="1:10" s="7" customFormat="1" ht="27" customHeight="1">
      <c r="A14" s="85" t="s">
        <v>36</v>
      </c>
      <c r="B14" s="87">
        <f t="shared" ref="B14:H14" si="2">B11+B12+B13</f>
        <v>0</v>
      </c>
      <c r="C14" s="87">
        <f t="shared" si="2"/>
        <v>0</v>
      </c>
      <c r="D14" s="87">
        <f t="shared" si="2"/>
        <v>0</v>
      </c>
      <c r="E14" s="87">
        <f t="shared" si="2"/>
        <v>0</v>
      </c>
      <c r="F14" s="87">
        <f t="shared" si="2"/>
        <v>0</v>
      </c>
      <c r="G14" s="87">
        <f t="shared" si="2"/>
        <v>0</v>
      </c>
      <c r="H14" s="87">
        <f t="shared" si="2"/>
        <v>0</v>
      </c>
    </row>
    <row r="15" spans="1:10" s="7" customFormat="1" ht="24.95" customHeight="1">
      <c r="A15" s="86" t="s">
        <v>40</v>
      </c>
      <c r="B15" s="92" t="e">
        <f t="shared" ref="B15:H15" si="3">(B14-B8)/B8</f>
        <v>#DIV/0!</v>
      </c>
      <c r="C15" s="93" t="e">
        <f t="shared" si="3"/>
        <v>#DIV/0!</v>
      </c>
      <c r="D15" s="93" t="e">
        <f t="shared" si="3"/>
        <v>#DIV/0!</v>
      </c>
      <c r="E15" s="93" t="e">
        <f t="shared" si="3"/>
        <v>#DIV/0!</v>
      </c>
      <c r="F15" s="93" t="e">
        <f t="shared" si="3"/>
        <v>#DIV/0!</v>
      </c>
      <c r="G15" s="93" t="e">
        <f t="shared" si="3"/>
        <v>#DIV/0!</v>
      </c>
      <c r="H15" s="94" t="e">
        <f t="shared" si="3"/>
        <v>#DIV/0!</v>
      </c>
      <c r="I15" s="71"/>
    </row>
    <row r="16" spans="1:10" ht="30" customHeight="1">
      <c r="B16" s="88"/>
      <c r="C16" s="88"/>
      <c r="D16" s="88"/>
      <c r="E16" s="88"/>
      <c r="F16" s="89"/>
      <c r="G16" s="90" t="s">
        <v>37</v>
      </c>
      <c r="H16" s="91">
        <f>SUM(B14:H14)</f>
        <v>0</v>
      </c>
    </row>
    <row r="17" spans="1:8" s="7" customFormat="1">
      <c r="A17" s="184" t="s">
        <v>41</v>
      </c>
      <c r="B17" s="185"/>
      <c r="C17" s="185"/>
      <c r="D17" s="185"/>
      <c r="E17" s="185"/>
      <c r="F17" s="185"/>
      <c r="G17" s="72" t="s">
        <v>42</v>
      </c>
      <c r="H17" s="66" t="e">
        <f>(H16-H9)/H9</f>
        <v>#DIV/0!</v>
      </c>
    </row>
    <row r="18" spans="1:8" s="7" customFormat="1" ht="30" customHeight="1">
      <c r="A18" s="35" t="s">
        <v>43</v>
      </c>
      <c r="B18" s="12"/>
      <c r="C18" s="12"/>
      <c r="D18" s="73"/>
      <c r="E18" s="73"/>
      <c r="F18" s="12"/>
      <c r="G18" s="24"/>
      <c r="H18" s="74"/>
    </row>
    <row r="19" spans="1:8" s="7" customFormat="1" ht="30" customHeight="1">
      <c r="A19" s="35" t="str">
        <f>'Week. 9'!A31</f>
        <v>Non Meal Plan Meals</v>
      </c>
      <c r="B19" s="12"/>
      <c r="C19" s="12"/>
      <c r="D19" s="73"/>
      <c r="E19" s="73"/>
      <c r="F19" s="12"/>
      <c r="G19" s="24"/>
      <c r="H19" s="74"/>
    </row>
    <row r="20" spans="1:8" s="7" customFormat="1" ht="30" customHeight="1">
      <c r="A20" s="35" t="str">
        <f>'Week. 9'!A32</f>
        <v xml:space="preserve">Meal numbers </v>
      </c>
      <c r="B20" s="95"/>
      <c r="C20" s="95"/>
      <c r="D20" s="67"/>
      <c r="E20" s="67"/>
      <c r="F20" s="95"/>
      <c r="G20" s="95"/>
      <c r="H20" s="75"/>
    </row>
    <row r="21" spans="1:8" s="7" customFormat="1" ht="24.95" customHeight="1">
      <c r="A21" s="36" t="s">
        <v>45</v>
      </c>
      <c r="B21" s="77">
        <f t="shared" ref="B21:G21" si="4">B18+B20</f>
        <v>0</v>
      </c>
      <c r="C21" s="77">
        <f t="shared" si="4"/>
        <v>0</v>
      </c>
      <c r="D21" s="96"/>
      <c r="E21" s="96"/>
      <c r="F21" s="77">
        <f t="shared" si="4"/>
        <v>0</v>
      </c>
      <c r="G21" s="77">
        <f t="shared" si="4"/>
        <v>0</v>
      </c>
      <c r="H21" s="77">
        <f>H18+H20</f>
        <v>0</v>
      </c>
    </row>
    <row r="22" spans="1:8" s="7" customFormat="1" ht="24.95" customHeight="1">
      <c r="A22" s="34" t="s">
        <v>40</v>
      </c>
      <c r="B22" s="92" t="e">
        <f>(B21-B5)/B5</f>
        <v>#DIV/0!</v>
      </c>
      <c r="C22" s="93" t="e">
        <f>(C21-C5)/C5</f>
        <v>#DIV/0!</v>
      </c>
      <c r="D22" s="99"/>
      <c r="E22" s="99"/>
      <c r="F22" s="93" t="e">
        <f>(F21-F5)/F5</f>
        <v>#DIV/0!</v>
      </c>
      <c r="G22" s="93" t="e">
        <f>(G21-G5)/G5</f>
        <v>#DIV/0!</v>
      </c>
      <c r="H22" s="94" t="e">
        <f>(H21-H5)/H5</f>
        <v>#DIV/0!</v>
      </c>
    </row>
    <row r="23" spans="1:8" s="7" customFormat="1">
      <c r="A23" s="186" t="s">
        <v>46</v>
      </c>
      <c r="B23" s="187"/>
      <c r="C23" s="187"/>
      <c r="D23" s="187"/>
      <c r="E23" s="187"/>
      <c r="F23" s="188" t="s">
        <v>47</v>
      </c>
      <c r="G23" s="97"/>
      <c r="H23" s="98"/>
    </row>
    <row r="24" spans="1:8" s="7" customFormat="1" ht="30" customHeight="1">
      <c r="A24" s="35" t="s">
        <v>43</v>
      </c>
      <c r="B24" s="11"/>
      <c r="C24" s="12"/>
      <c r="D24" s="12"/>
      <c r="E24" s="12"/>
      <c r="F24" s="12"/>
      <c r="G24" s="12"/>
      <c r="H24" s="11"/>
    </row>
    <row r="25" spans="1:8" s="7" customFormat="1" ht="30" customHeight="1">
      <c r="A25" s="35" t="str">
        <f>A19</f>
        <v>Non Meal Plan Meals</v>
      </c>
      <c r="B25" s="117"/>
      <c r="C25" s="117"/>
      <c r="D25" s="117"/>
      <c r="E25" s="117"/>
      <c r="F25" s="117"/>
      <c r="G25" s="117"/>
      <c r="H25" s="117"/>
    </row>
    <row r="26" spans="1:8" s="7" customFormat="1" ht="30" customHeight="1">
      <c r="A26" s="35" t="str">
        <f>A20</f>
        <v xml:space="preserve">Meal numbers </v>
      </c>
      <c r="B26" s="11"/>
      <c r="C26" s="11"/>
      <c r="D26" s="11"/>
      <c r="E26" s="11"/>
      <c r="F26" s="11"/>
      <c r="G26" s="11"/>
      <c r="H26" s="11"/>
    </row>
    <row r="27" spans="1:8" s="7" customFormat="1" ht="27.95" customHeight="1">
      <c r="A27" s="36" t="s">
        <v>50</v>
      </c>
      <c r="B27" s="100">
        <f>B24+B25+B26</f>
        <v>0</v>
      </c>
      <c r="C27" s="100">
        <f t="shared" ref="C27:G27" si="5">C24+C25+C26</f>
        <v>0</v>
      </c>
      <c r="D27" s="100">
        <f t="shared" si="5"/>
        <v>0</v>
      </c>
      <c r="E27" s="100">
        <f t="shared" si="5"/>
        <v>0</v>
      </c>
      <c r="F27" s="100">
        <f t="shared" si="5"/>
        <v>0</v>
      </c>
      <c r="G27" s="100">
        <f t="shared" si="5"/>
        <v>0</v>
      </c>
      <c r="H27" s="100">
        <f>H24+H25+H26</f>
        <v>0</v>
      </c>
    </row>
    <row r="28" spans="1:8" s="7" customFormat="1" ht="24.95" customHeight="1">
      <c r="A28" s="34" t="s">
        <v>40</v>
      </c>
      <c r="B28" s="92" t="e">
        <f t="shared" ref="B28:H28" si="6">(B27-B6)/B6</f>
        <v>#DIV/0!</v>
      </c>
      <c r="C28" s="93" t="e">
        <f t="shared" si="6"/>
        <v>#DIV/0!</v>
      </c>
      <c r="D28" s="93" t="e">
        <f t="shared" si="6"/>
        <v>#DIV/0!</v>
      </c>
      <c r="E28" s="93" t="e">
        <f t="shared" si="6"/>
        <v>#DIV/0!</v>
      </c>
      <c r="F28" s="93" t="e">
        <f t="shared" si="6"/>
        <v>#DIV/0!</v>
      </c>
      <c r="G28" s="93" t="e">
        <f t="shared" si="6"/>
        <v>#DIV/0!</v>
      </c>
      <c r="H28" s="94" t="e">
        <f t="shared" si="6"/>
        <v>#DIV/0!</v>
      </c>
    </row>
    <row r="29" spans="1:8" s="7" customFormat="1">
      <c r="A29" s="189" t="s">
        <v>51</v>
      </c>
      <c r="B29" s="190"/>
      <c r="C29" s="190"/>
      <c r="D29" s="190"/>
      <c r="E29" s="190"/>
      <c r="F29" s="191" t="s">
        <v>35</v>
      </c>
      <c r="G29" s="101"/>
      <c r="H29" s="102"/>
    </row>
    <row r="30" spans="1:8" s="7" customFormat="1" ht="30" customHeight="1">
      <c r="A30" s="35" t="s">
        <v>43</v>
      </c>
      <c r="B30" s="10"/>
      <c r="C30" s="9"/>
      <c r="D30" s="9"/>
      <c r="E30" s="9"/>
      <c r="F30" s="9"/>
      <c r="G30" s="9"/>
      <c r="H30" s="10"/>
    </row>
    <row r="31" spans="1:8" s="7" customFormat="1" ht="30" customHeight="1">
      <c r="A31" s="35" t="str">
        <f>A25</f>
        <v>Non Meal Plan Meals</v>
      </c>
      <c r="B31" s="60"/>
      <c r="C31" s="60"/>
      <c r="D31" s="60"/>
      <c r="E31" s="60"/>
      <c r="F31" s="60"/>
      <c r="G31" s="60"/>
      <c r="H31" s="60"/>
    </row>
    <row r="32" spans="1:8" s="7" customFormat="1" ht="30" customHeight="1">
      <c r="A32" s="35" t="str">
        <f>A26</f>
        <v xml:space="preserve">Meal numbers </v>
      </c>
      <c r="B32" s="10"/>
      <c r="C32" s="10"/>
      <c r="D32" s="10"/>
      <c r="E32" s="10"/>
      <c r="F32" s="10"/>
      <c r="G32" s="10"/>
      <c r="H32" s="10"/>
    </row>
    <row r="33" spans="1:12" s="7" customFormat="1" ht="30.95" customHeight="1">
      <c r="A33" s="36" t="s">
        <v>53</v>
      </c>
      <c r="B33" s="103">
        <f>B30+B31+B32</f>
        <v>0</v>
      </c>
      <c r="C33" s="103">
        <f t="shared" ref="C33:G33" si="7">C30+C31+C32</f>
        <v>0</v>
      </c>
      <c r="D33" s="103">
        <f t="shared" si="7"/>
        <v>0</v>
      </c>
      <c r="E33" s="103">
        <f t="shared" si="7"/>
        <v>0</v>
      </c>
      <c r="F33" s="103">
        <f t="shared" si="7"/>
        <v>0</v>
      </c>
      <c r="G33" s="103">
        <f t="shared" si="7"/>
        <v>0</v>
      </c>
      <c r="H33" s="103">
        <f>H30+H31+H32</f>
        <v>0</v>
      </c>
    </row>
    <row r="34" spans="1:12" s="7" customFormat="1" ht="24.95" customHeight="1">
      <c r="A34" s="34" t="s">
        <v>40</v>
      </c>
      <c r="B34" s="92" t="e">
        <f t="shared" ref="B34:H34" si="8">(B33-B7)/B7</f>
        <v>#DIV/0!</v>
      </c>
      <c r="C34" s="93" t="e">
        <f t="shared" si="8"/>
        <v>#DIV/0!</v>
      </c>
      <c r="D34" s="93" t="e">
        <f t="shared" si="8"/>
        <v>#DIV/0!</v>
      </c>
      <c r="E34" s="93" t="e">
        <f t="shared" si="8"/>
        <v>#DIV/0!</v>
      </c>
      <c r="F34" s="93" t="e">
        <f t="shared" si="8"/>
        <v>#DIV/0!</v>
      </c>
      <c r="G34" s="93" t="e">
        <f t="shared" si="8"/>
        <v>#DIV/0!</v>
      </c>
      <c r="H34" s="94" t="e">
        <f t="shared" si="8"/>
        <v>#DIV/0!</v>
      </c>
    </row>
    <row r="35" spans="1:12" s="7" customFormat="1">
      <c r="A35" s="192" t="s">
        <v>54</v>
      </c>
      <c r="B35" s="193"/>
      <c r="C35" s="193"/>
      <c r="D35" s="193"/>
      <c r="E35" s="193"/>
      <c r="F35" s="194" t="s">
        <v>35</v>
      </c>
      <c r="G35" s="104"/>
      <c r="H35" s="105"/>
    </row>
    <row r="36" spans="1:12" s="7" customFormat="1" ht="30.95" customHeight="1">
      <c r="A36" s="78" t="s">
        <v>55</v>
      </c>
      <c r="B36" s="77">
        <f>B33+B27+B21</f>
        <v>0</v>
      </c>
      <c r="C36" s="77">
        <f t="shared" ref="C36:H36" si="9">C33+C27+C21</f>
        <v>0</v>
      </c>
      <c r="D36" s="77">
        <f t="shared" si="9"/>
        <v>0</v>
      </c>
      <c r="E36" s="77">
        <f t="shared" si="9"/>
        <v>0</v>
      </c>
      <c r="F36" s="77">
        <f t="shared" si="9"/>
        <v>0</v>
      </c>
      <c r="G36" s="77">
        <f t="shared" si="9"/>
        <v>0</v>
      </c>
      <c r="H36" s="77">
        <f t="shared" si="9"/>
        <v>0</v>
      </c>
    </row>
    <row r="37" spans="1:12" s="7" customFormat="1" ht="24.95" customHeight="1">
      <c r="A37" s="34" t="s">
        <v>40</v>
      </c>
      <c r="B37" s="92" t="e">
        <f t="shared" ref="B37:H37" si="10">(B36-B8)/B8</f>
        <v>#DIV/0!</v>
      </c>
      <c r="C37" s="93" t="e">
        <f t="shared" si="10"/>
        <v>#DIV/0!</v>
      </c>
      <c r="D37" s="93" t="e">
        <f t="shared" si="10"/>
        <v>#DIV/0!</v>
      </c>
      <c r="E37" s="93" t="e">
        <f t="shared" si="10"/>
        <v>#DIV/0!</v>
      </c>
      <c r="F37" s="93" t="e">
        <f t="shared" si="10"/>
        <v>#DIV/0!</v>
      </c>
      <c r="G37" s="93" t="e">
        <f t="shared" si="10"/>
        <v>#DIV/0!</v>
      </c>
      <c r="H37" s="94" t="e">
        <f t="shared" si="10"/>
        <v>#DIV/0!</v>
      </c>
    </row>
    <row r="38" spans="1:12" ht="30" customHeight="1">
      <c r="A38" s="195"/>
      <c r="B38" s="196"/>
      <c r="C38" s="196"/>
      <c r="D38" s="196"/>
      <c r="E38" s="196"/>
      <c r="F38" s="196"/>
      <c r="G38" s="106" t="s">
        <v>37</v>
      </c>
      <c r="H38" s="107">
        <f>SUM(B36:H36)</f>
        <v>0</v>
      </c>
    </row>
    <row r="39" spans="1:12" s="7" customFormat="1" ht="24.95" customHeight="1">
      <c r="A39" s="37"/>
      <c r="B39" s="25"/>
      <c r="C39" s="25"/>
      <c r="D39" s="25"/>
      <c r="E39" s="25"/>
      <c r="F39" s="25"/>
      <c r="G39" s="79" t="s">
        <v>40</v>
      </c>
      <c r="H39" s="80" t="e">
        <f>(H38-H9)/H9</f>
        <v>#DIV/0!</v>
      </c>
    </row>
    <row r="40" spans="1:12" s="7" customFormat="1" ht="24.95" customHeight="1">
      <c r="A40" s="37"/>
      <c r="B40" s="25"/>
      <c r="C40" s="25"/>
      <c r="D40" s="25"/>
      <c r="E40" s="25"/>
      <c r="F40" s="25"/>
      <c r="G40" s="81" t="s">
        <v>56</v>
      </c>
      <c r="H40" s="82" t="e">
        <f>(H38-H16)/H16</f>
        <v>#DIV/0!</v>
      </c>
    </row>
    <row r="41" spans="1:12" s="46" customFormat="1" ht="23.1" customHeight="1">
      <c r="A41" s="40"/>
      <c r="B41" s="47" t="s">
        <v>57</v>
      </c>
      <c r="C41" s="197" t="s">
        <v>58</v>
      </c>
      <c r="D41" s="197"/>
      <c r="E41" s="197"/>
      <c r="F41" s="197"/>
      <c r="G41" s="198">
        <v>2022</v>
      </c>
      <c r="H41" s="199"/>
    </row>
    <row r="42" spans="1:12" ht="30" customHeight="1">
      <c r="A42" s="1" t="s">
        <v>60</v>
      </c>
      <c r="B42" s="57" t="s">
        <v>59</v>
      </c>
      <c r="C42" s="180"/>
      <c r="D42" s="180"/>
      <c r="E42" s="180"/>
      <c r="F42" s="180"/>
      <c r="G42" s="178"/>
      <c r="H42" s="179"/>
      <c r="L42" s="7" t="s">
        <v>61</v>
      </c>
    </row>
    <row r="43" spans="1:12" ht="30" customHeight="1">
      <c r="A43" s="1" t="s">
        <v>1</v>
      </c>
      <c r="B43" s="57" t="s">
        <v>59</v>
      </c>
      <c r="C43" s="180"/>
      <c r="D43" s="180"/>
      <c r="E43" s="180"/>
      <c r="F43" s="180"/>
      <c r="G43" s="178"/>
      <c r="H43" s="179"/>
      <c r="L43" s="5" t="s">
        <v>62</v>
      </c>
    </row>
    <row r="44" spans="1:12" ht="30" customHeight="1">
      <c r="A44" s="1" t="s">
        <v>2</v>
      </c>
      <c r="B44" s="57" t="s">
        <v>59</v>
      </c>
      <c r="C44" s="175"/>
      <c r="D44" s="175"/>
      <c r="E44" s="175"/>
      <c r="F44" s="175"/>
      <c r="G44" s="176"/>
      <c r="H44" s="177"/>
      <c r="L44" s="5" t="s">
        <v>63</v>
      </c>
    </row>
    <row r="45" spans="1:12" ht="30" customHeight="1">
      <c r="A45" s="1" t="s">
        <v>3</v>
      </c>
      <c r="B45" s="57" t="s">
        <v>59</v>
      </c>
      <c r="C45" s="175"/>
      <c r="D45" s="175"/>
      <c r="E45" s="175"/>
      <c r="F45" s="175"/>
      <c r="G45" s="176"/>
      <c r="H45" s="177"/>
      <c r="L45" s="5" t="s">
        <v>64</v>
      </c>
    </row>
    <row r="46" spans="1:12" ht="30.95" customHeight="1">
      <c r="A46" s="1" t="s">
        <v>4</v>
      </c>
      <c r="B46" s="57" t="s">
        <v>59</v>
      </c>
      <c r="C46" s="175"/>
      <c r="D46" s="175"/>
      <c r="E46" s="175"/>
      <c r="F46" s="175"/>
      <c r="G46" s="176"/>
      <c r="H46" s="177"/>
    </row>
    <row r="47" spans="1:12" ht="30" customHeight="1">
      <c r="A47" s="1" t="s">
        <v>5</v>
      </c>
      <c r="B47" s="57" t="s">
        <v>59</v>
      </c>
      <c r="C47" s="175"/>
      <c r="D47" s="175"/>
      <c r="E47" s="175"/>
      <c r="F47" s="175"/>
      <c r="G47" s="176"/>
      <c r="H47" s="177"/>
    </row>
    <row r="48" spans="1:12" ht="30" customHeight="1">
      <c r="A48" s="1" t="s">
        <v>6</v>
      </c>
      <c r="B48" s="57" t="s">
        <v>59</v>
      </c>
      <c r="C48" s="175"/>
      <c r="D48" s="175"/>
      <c r="E48" s="175"/>
      <c r="F48" s="175"/>
      <c r="G48" s="176"/>
      <c r="H48" s="177"/>
    </row>
    <row r="49" spans="1:8" ht="30" customHeight="1">
      <c r="A49" s="1"/>
      <c r="B49" s="14"/>
      <c r="C49" s="175"/>
      <c r="D49" s="175"/>
      <c r="E49" s="175"/>
      <c r="F49" s="175"/>
      <c r="G49" s="176"/>
      <c r="H49" s="177"/>
    </row>
    <row r="50" spans="1:8" ht="30" customHeight="1">
      <c r="A50" s="2"/>
      <c r="B50" s="14"/>
      <c r="C50" s="175"/>
      <c r="D50" s="175"/>
      <c r="E50" s="175"/>
      <c r="F50" s="175"/>
      <c r="G50" s="176"/>
      <c r="H50" s="177"/>
    </row>
    <row r="51" spans="1:8">
      <c r="A51" s="30"/>
      <c r="B51" s="18" t="s">
        <v>27</v>
      </c>
      <c r="C51" s="18" t="s">
        <v>28</v>
      </c>
      <c r="D51" s="18" t="s">
        <v>65</v>
      </c>
      <c r="E51" s="18" t="s">
        <v>30</v>
      </c>
      <c r="F51" s="18" t="s">
        <v>66</v>
      </c>
      <c r="G51" s="18" t="s">
        <v>32</v>
      </c>
      <c r="H51" s="18" t="s">
        <v>33</v>
      </c>
    </row>
    <row r="52" spans="1:8">
      <c r="A52" s="38" t="s">
        <v>67</v>
      </c>
      <c r="B52" s="15"/>
      <c r="C52" s="20"/>
      <c r="D52" s="20"/>
      <c r="E52" s="20"/>
      <c r="F52" s="20"/>
      <c r="G52" s="20"/>
      <c r="H52" s="15"/>
    </row>
    <row r="53" spans="1:8" customFormat="1" ht="15.75">
      <c r="A53" s="48" t="s">
        <v>68</v>
      </c>
      <c r="B53" s="22"/>
      <c r="C53" s="21"/>
      <c r="D53" s="21"/>
      <c r="E53" s="21"/>
      <c r="F53" s="21"/>
      <c r="G53" s="23" t="s">
        <v>37</v>
      </c>
      <c r="H53" s="23">
        <f>SUM(B52:H52)</f>
        <v>0</v>
      </c>
    </row>
    <row r="54" spans="1:8">
      <c r="A54" s="30"/>
      <c r="B54" s="18" t="s">
        <v>27</v>
      </c>
      <c r="C54" s="18" t="s">
        <v>28</v>
      </c>
      <c r="D54" s="18" t="s">
        <v>65</v>
      </c>
      <c r="E54" s="18" t="s">
        <v>30</v>
      </c>
      <c r="F54" s="18" t="s">
        <v>66</v>
      </c>
      <c r="G54" s="18" t="s">
        <v>32</v>
      </c>
      <c r="H54" s="18" t="s">
        <v>33</v>
      </c>
    </row>
    <row r="55" spans="1:8">
      <c r="A55" s="38" t="s">
        <v>69</v>
      </c>
      <c r="B55" s="51"/>
      <c r="C55" s="52"/>
      <c r="D55" s="52"/>
      <c r="E55" s="52"/>
      <c r="F55" s="52"/>
      <c r="G55" s="20"/>
      <c r="H55" s="15"/>
    </row>
    <row r="56" spans="1:8" customFormat="1" ht="15.75">
      <c r="A56" s="49" t="s">
        <v>70</v>
      </c>
      <c r="B56" s="53"/>
      <c r="C56" s="53" t="s">
        <v>71</v>
      </c>
      <c r="D56" s="54"/>
      <c r="E56" s="54"/>
      <c r="F56" s="55"/>
      <c r="G56" s="50" t="s">
        <v>37</v>
      </c>
      <c r="H56" s="23"/>
    </row>
    <row r="57" spans="1:8">
      <c r="H57" s="16"/>
    </row>
    <row r="58" spans="1:8">
      <c r="H58" s="16"/>
    </row>
    <row r="59" spans="1:8">
      <c r="H59" s="16"/>
    </row>
    <row r="60" spans="1:8">
      <c r="H60" s="16"/>
    </row>
    <row r="61" spans="1:8">
      <c r="H61" s="16"/>
    </row>
    <row r="62" spans="1:8">
      <c r="H62" s="16"/>
    </row>
    <row r="63" spans="1:8">
      <c r="H63" s="16"/>
    </row>
    <row r="64" spans="1:8">
      <c r="B64" s="5"/>
      <c r="H64" s="16"/>
    </row>
    <row r="65" spans="2:8">
      <c r="B65" s="5"/>
      <c r="H65" s="16"/>
    </row>
    <row r="66" spans="2:8">
      <c r="B66" s="5"/>
      <c r="H66" s="16"/>
    </row>
    <row r="67" spans="2:8">
      <c r="B67" s="5"/>
      <c r="H67" s="16"/>
    </row>
    <row r="68" spans="2:8">
      <c r="B68" s="5"/>
      <c r="H68" s="16"/>
    </row>
    <row r="69" spans="2:8">
      <c r="B69" s="5"/>
      <c r="H69" s="16"/>
    </row>
    <row r="70" spans="2:8">
      <c r="B70" s="5"/>
      <c r="H70" s="16"/>
    </row>
    <row r="71" spans="2:8">
      <c r="B71" s="5"/>
      <c r="H71" s="16"/>
    </row>
    <row r="72" spans="2:8">
      <c r="B72" s="5"/>
      <c r="H72" s="16"/>
    </row>
    <row r="73" spans="2:8">
      <c r="B73" s="5"/>
      <c r="H73" s="16"/>
    </row>
    <row r="74" spans="2:8">
      <c r="B74" s="5"/>
      <c r="H74" s="16"/>
    </row>
    <row r="75" spans="2:8">
      <c r="B75" s="5"/>
      <c r="H75" s="16"/>
    </row>
    <row r="76" spans="2:8">
      <c r="B76" s="5"/>
      <c r="H76" s="16"/>
    </row>
    <row r="77" spans="2:8">
      <c r="B77" s="5"/>
      <c r="H77" s="16"/>
    </row>
    <row r="78" spans="2:8">
      <c r="B78" s="5"/>
      <c r="H78" s="16"/>
    </row>
    <row r="79" spans="2:8">
      <c r="B79" s="5"/>
      <c r="H79" s="16"/>
    </row>
    <row r="80" spans="2:8">
      <c r="B80" s="5"/>
      <c r="H80" s="16"/>
    </row>
    <row r="81" spans="2:8">
      <c r="B81" s="5"/>
      <c r="H81" s="16"/>
    </row>
    <row r="82" spans="2:8">
      <c r="B82" s="5"/>
      <c r="H82" s="16"/>
    </row>
    <row r="83" spans="2:8">
      <c r="B83" s="5"/>
      <c r="H83" s="16"/>
    </row>
    <row r="84" spans="2:8">
      <c r="B84" s="5"/>
      <c r="H84" s="16"/>
    </row>
    <row r="85" spans="2:8">
      <c r="B85" s="5"/>
      <c r="H85" s="16"/>
    </row>
    <row r="86" spans="2:8">
      <c r="B86" s="5"/>
      <c r="H86" s="16"/>
    </row>
    <row r="87" spans="2:8">
      <c r="B87" s="5"/>
      <c r="H87" s="16"/>
    </row>
    <row r="88" spans="2:8">
      <c r="B88" s="5"/>
      <c r="H88" s="16"/>
    </row>
    <row r="89" spans="2:8">
      <c r="B89" s="5"/>
      <c r="H89" s="16"/>
    </row>
    <row r="90" spans="2:8">
      <c r="B90" s="5"/>
      <c r="H90" s="16"/>
    </row>
    <row r="91" spans="2:8">
      <c r="B91" s="5"/>
      <c r="H91" s="16"/>
    </row>
    <row r="92" spans="2:8">
      <c r="B92" s="5"/>
      <c r="H92" s="16"/>
    </row>
    <row r="93" spans="2:8">
      <c r="B93" s="5"/>
      <c r="H93" s="16"/>
    </row>
    <row r="94" spans="2:8">
      <c r="B94" s="5"/>
      <c r="H94" s="16"/>
    </row>
    <row r="95" spans="2:8">
      <c r="B95" s="5"/>
      <c r="H95" s="16"/>
    </row>
    <row r="96" spans="2:8">
      <c r="B96" s="5"/>
      <c r="H96" s="16"/>
    </row>
    <row r="97" spans="2:8">
      <c r="B97" s="5"/>
      <c r="H97" s="16"/>
    </row>
    <row r="98" spans="2:8">
      <c r="B98" s="5"/>
      <c r="H98" s="16"/>
    </row>
    <row r="99" spans="2:8">
      <c r="B99" s="5"/>
      <c r="H99" s="16"/>
    </row>
    <row r="100" spans="2:8">
      <c r="B100" s="5"/>
      <c r="H100" s="16"/>
    </row>
    <row r="101" spans="2:8">
      <c r="B101" s="5"/>
      <c r="H101" s="16"/>
    </row>
    <row r="102" spans="2:8">
      <c r="B102" s="5"/>
      <c r="H102" s="16"/>
    </row>
    <row r="103" spans="2:8">
      <c r="B103" s="5"/>
      <c r="H103" s="16"/>
    </row>
    <row r="104" spans="2:8">
      <c r="B104" s="5"/>
      <c r="H104" s="16"/>
    </row>
    <row r="105" spans="2:8">
      <c r="B105" s="5"/>
      <c r="H105" s="16"/>
    </row>
    <row r="106" spans="2:8">
      <c r="B106" s="5"/>
      <c r="H106" s="16"/>
    </row>
    <row r="107" spans="2:8">
      <c r="B107" s="5"/>
      <c r="H107" s="16"/>
    </row>
    <row r="108" spans="2:8">
      <c r="B108" s="5"/>
      <c r="H108" s="16"/>
    </row>
    <row r="109" spans="2:8">
      <c r="B109" s="5"/>
      <c r="H109" s="16"/>
    </row>
    <row r="110" spans="2:8">
      <c r="B110" s="5"/>
      <c r="H110" s="16"/>
    </row>
    <row r="111" spans="2:8">
      <c r="B111" s="5"/>
      <c r="H111" s="16"/>
    </row>
    <row r="112" spans="2:8">
      <c r="B112" s="5"/>
      <c r="H112" s="16"/>
    </row>
    <row r="113" spans="2:8">
      <c r="B113" s="5"/>
      <c r="H113" s="16"/>
    </row>
    <row r="114" spans="2:8">
      <c r="B114" s="5"/>
      <c r="H114" s="16"/>
    </row>
    <row r="115" spans="2:8">
      <c r="B115" s="5"/>
      <c r="H115" s="16"/>
    </row>
    <row r="116" spans="2:8">
      <c r="B116" s="5"/>
      <c r="H116" s="16"/>
    </row>
    <row r="117" spans="2:8">
      <c r="B117" s="5"/>
      <c r="H117" s="16"/>
    </row>
    <row r="118" spans="2:8">
      <c r="B118" s="5"/>
      <c r="H118" s="16"/>
    </row>
    <row r="119" spans="2:8">
      <c r="B119" s="5"/>
      <c r="H119" s="16"/>
    </row>
    <row r="120" spans="2:8">
      <c r="B120" s="5"/>
      <c r="H120" s="16"/>
    </row>
    <row r="121" spans="2:8">
      <c r="B121" s="5"/>
      <c r="H121" s="16"/>
    </row>
    <row r="122" spans="2:8">
      <c r="B122" s="5"/>
      <c r="H122" s="16"/>
    </row>
    <row r="123" spans="2:8">
      <c r="B123" s="5"/>
      <c r="H123" s="16"/>
    </row>
    <row r="124" spans="2:8">
      <c r="B124" s="5"/>
      <c r="H124" s="16"/>
    </row>
    <row r="125" spans="2:8">
      <c r="B125" s="5"/>
      <c r="H125" s="16"/>
    </row>
    <row r="126" spans="2:8">
      <c r="B126" s="5"/>
      <c r="H126" s="16"/>
    </row>
    <row r="127" spans="2:8">
      <c r="B127" s="5"/>
      <c r="H127" s="16"/>
    </row>
    <row r="128" spans="2:8">
      <c r="B128" s="5"/>
      <c r="H128" s="16"/>
    </row>
    <row r="129" spans="2:8">
      <c r="B129" s="5"/>
      <c r="H129" s="16"/>
    </row>
    <row r="130" spans="2:8">
      <c r="B130" s="5"/>
      <c r="H130" s="16"/>
    </row>
    <row r="131" spans="2:8">
      <c r="B131" s="5"/>
      <c r="H131" s="16"/>
    </row>
    <row r="132" spans="2:8">
      <c r="B132" s="5"/>
      <c r="H132" s="16"/>
    </row>
    <row r="133" spans="2:8">
      <c r="B133" s="5"/>
      <c r="H133" s="16"/>
    </row>
    <row r="134" spans="2:8">
      <c r="B134" s="5"/>
      <c r="H134" s="16"/>
    </row>
    <row r="135" spans="2:8">
      <c r="B135" s="5"/>
      <c r="H135" s="16"/>
    </row>
    <row r="136" spans="2:8">
      <c r="B136" s="5"/>
      <c r="H136" s="16"/>
    </row>
    <row r="137" spans="2:8">
      <c r="B137" s="5"/>
      <c r="H137" s="16"/>
    </row>
    <row r="138" spans="2:8">
      <c r="B138" s="5"/>
      <c r="H138" s="16"/>
    </row>
    <row r="139" spans="2:8">
      <c r="B139" s="5"/>
      <c r="H139" s="16"/>
    </row>
    <row r="140" spans="2:8">
      <c r="B140" s="5"/>
      <c r="H140" s="16"/>
    </row>
    <row r="141" spans="2:8">
      <c r="B141" s="5"/>
      <c r="H141" s="16"/>
    </row>
    <row r="142" spans="2:8">
      <c r="B142" s="5"/>
      <c r="H142" s="16"/>
    </row>
    <row r="143" spans="2:8">
      <c r="B143" s="5"/>
      <c r="H143" s="16"/>
    </row>
    <row r="144" spans="2:8">
      <c r="B144" s="5"/>
      <c r="H144" s="16"/>
    </row>
    <row r="145" spans="2:8">
      <c r="B145" s="5"/>
      <c r="H145" s="16"/>
    </row>
    <row r="146" spans="2:8">
      <c r="B146" s="5"/>
      <c r="H146" s="16"/>
    </row>
    <row r="147" spans="2:8">
      <c r="B147" s="5"/>
      <c r="H147" s="16"/>
    </row>
    <row r="148" spans="2:8">
      <c r="B148" s="5"/>
      <c r="H148" s="16"/>
    </row>
    <row r="149" spans="2:8">
      <c r="B149" s="5"/>
      <c r="H149" s="16"/>
    </row>
    <row r="150" spans="2:8">
      <c r="B150" s="5"/>
      <c r="H150" s="16"/>
    </row>
    <row r="151" spans="2:8">
      <c r="B151" s="5"/>
      <c r="H151" s="16"/>
    </row>
    <row r="152" spans="2:8">
      <c r="B152" s="5"/>
      <c r="H152" s="16"/>
    </row>
    <row r="153" spans="2:8">
      <c r="B153" s="5"/>
      <c r="H153" s="16"/>
    </row>
    <row r="154" spans="2:8">
      <c r="B154" s="5"/>
      <c r="H154" s="16"/>
    </row>
    <row r="155" spans="2:8">
      <c r="B155" s="5"/>
      <c r="H155" s="16"/>
    </row>
    <row r="156" spans="2:8">
      <c r="B156" s="5"/>
      <c r="H156" s="16"/>
    </row>
    <row r="157" spans="2:8">
      <c r="B157" s="5"/>
      <c r="H157" s="16"/>
    </row>
    <row r="158" spans="2:8">
      <c r="B158" s="5"/>
      <c r="H158" s="16"/>
    </row>
    <row r="159" spans="2:8">
      <c r="B159" s="5"/>
      <c r="H159" s="16"/>
    </row>
    <row r="160" spans="2:8">
      <c r="B160" s="5"/>
      <c r="H160" s="16"/>
    </row>
    <row r="161" spans="2:8">
      <c r="B161" s="5"/>
      <c r="H161" s="16"/>
    </row>
    <row r="162" spans="2:8">
      <c r="B162" s="5"/>
      <c r="H162" s="16"/>
    </row>
    <row r="163" spans="2:8">
      <c r="B163" s="5"/>
      <c r="H163" s="16"/>
    </row>
    <row r="164" spans="2:8">
      <c r="B164" s="5"/>
      <c r="H164" s="16"/>
    </row>
    <row r="165" spans="2:8">
      <c r="B165" s="5"/>
      <c r="H165" s="16"/>
    </row>
    <row r="166" spans="2:8">
      <c r="B166" s="5"/>
      <c r="H166" s="16"/>
    </row>
    <row r="167" spans="2:8">
      <c r="B167" s="5"/>
      <c r="H167" s="16"/>
    </row>
    <row r="168" spans="2:8">
      <c r="B168" s="5"/>
      <c r="H168" s="16"/>
    </row>
    <row r="169" spans="2:8">
      <c r="B169" s="5"/>
      <c r="H169" s="16"/>
    </row>
    <row r="170" spans="2:8">
      <c r="B170" s="5"/>
      <c r="H170" s="16"/>
    </row>
    <row r="171" spans="2:8">
      <c r="B171" s="5"/>
      <c r="H171" s="16"/>
    </row>
    <row r="172" spans="2:8">
      <c r="B172" s="5"/>
      <c r="H172" s="16"/>
    </row>
    <row r="173" spans="2:8">
      <c r="B173" s="5"/>
      <c r="H173" s="16"/>
    </row>
    <row r="174" spans="2:8">
      <c r="B174" s="5"/>
      <c r="H174" s="16"/>
    </row>
    <row r="175" spans="2:8">
      <c r="B175" s="5"/>
      <c r="H175" s="16"/>
    </row>
    <row r="176" spans="2:8">
      <c r="B176" s="5"/>
      <c r="H176" s="16"/>
    </row>
    <row r="177" spans="2:8">
      <c r="B177" s="5"/>
      <c r="H177" s="16"/>
    </row>
    <row r="178" spans="2:8">
      <c r="B178" s="5"/>
      <c r="H178" s="16"/>
    </row>
    <row r="179" spans="2:8">
      <c r="B179" s="5"/>
      <c r="H179" s="16"/>
    </row>
    <row r="180" spans="2:8">
      <c r="B180" s="5"/>
      <c r="H180" s="16"/>
    </row>
    <row r="181" spans="2:8">
      <c r="B181" s="5"/>
      <c r="H181" s="16"/>
    </row>
    <row r="182" spans="2:8">
      <c r="B182" s="5"/>
      <c r="H182" s="16"/>
    </row>
    <row r="183" spans="2:8">
      <c r="B183" s="5"/>
      <c r="H183" s="16"/>
    </row>
    <row r="184" spans="2:8">
      <c r="B184" s="5"/>
      <c r="H184" s="16"/>
    </row>
    <row r="185" spans="2:8">
      <c r="B185" s="5"/>
      <c r="H185" s="16"/>
    </row>
    <row r="186" spans="2:8">
      <c r="B186" s="5"/>
      <c r="H186" s="16"/>
    </row>
    <row r="187" spans="2:8">
      <c r="B187" s="5"/>
      <c r="H187" s="16"/>
    </row>
    <row r="188" spans="2:8">
      <c r="B188" s="5"/>
      <c r="H188" s="16"/>
    </row>
    <row r="189" spans="2:8">
      <c r="B189" s="5"/>
      <c r="H189" s="16"/>
    </row>
    <row r="190" spans="2:8">
      <c r="B190" s="5"/>
      <c r="H190" s="16"/>
    </row>
    <row r="191" spans="2:8">
      <c r="B191" s="5"/>
      <c r="H191" s="16"/>
    </row>
    <row r="192" spans="2:8">
      <c r="B192" s="5"/>
      <c r="H192" s="16"/>
    </row>
    <row r="193" spans="2:8">
      <c r="B193" s="5"/>
      <c r="H193" s="16"/>
    </row>
    <row r="194" spans="2:8">
      <c r="B194" s="5"/>
      <c r="H194" s="16"/>
    </row>
    <row r="195" spans="2:8">
      <c r="B195" s="5"/>
      <c r="H195" s="16"/>
    </row>
    <row r="196" spans="2:8">
      <c r="B196" s="5"/>
      <c r="H196" s="16"/>
    </row>
    <row r="197" spans="2:8">
      <c r="B197" s="5"/>
      <c r="H197" s="16"/>
    </row>
    <row r="198" spans="2:8">
      <c r="B198" s="5"/>
      <c r="H198" s="16"/>
    </row>
    <row r="199" spans="2:8">
      <c r="B199" s="5"/>
      <c r="H199" s="16"/>
    </row>
    <row r="200" spans="2:8">
      <c r="B200" s="5"/>
      <c r="H200" s="16"/>
    </row>
    <row r="201" spans="2:8">
      <c r="B201" s="5"/>
      <c r="H201" s="16"/>
    </row>
    <row r="202" spans="2:8">
      <c r="B202" s="5"/>
      <c r="H202" s="16"/>
    </row>
    <row r="203" spans="2:8">
      <c r="B203" s="5"/>
      <c r="H203" s="16"/>
    </row>
    <row r="204" spans="2:8">
      <c r="B204" s="5"/>
      <c r="H204" s="16"/>
    </row>
    <row r="205" spans="2:8">
      <c r="B205" s="5"/>
      <c r="H205" s="16"/>
    </row>
    <row r="206" spans="2:8">
      <c r="B206" s="5"/>
      <c r="H206" s="16"/>
    </row>
    <row r="207" spans="2:8">
      <c r="B207" s="5"/>
      <c r="H207" s="16"/>
    </row>
    <row r="208" spans="2:8">
      <c r="B208" s="5"/>
      <c r="H208" s="16"/>
    </row>
    <row r="209" spans="2:8">
      <c r="B209" s="5"/>
      <c r="H209" s="16"/>
    </row>
    <row r="210" spans="2:8">
      <c r="B210" s="5"/>
      <c r="H210" s="16"/>
    </row>
    <row r="211" spans="2:8">
      <c r="B211" s="5"/>
      <c r="H211" s="16"/>
    </row>
    <row r="212" spans="2:8">
      <c r="B212" s="5"/>
      <c r="H212" s="16"/>
    </row>
    <row r="213" spans="2:8">
      <c r="B213" s="5"/>
      <c r="H213" s="16"/>
    </row>
    <row r="214" spans="2:8">
      <c r="B214" s="5"/>
      <c r="H214" s="16"/>
    </row>
    <row r="215" spans="2:8">
      <c r="B215" s="5"/>
      <c r="H215" s="16"/>
    </row>
    <row r="216" spans="2:8">
      <c r="B216" s="5"/>
      <c r="H216" s="16"/>
    </row>
    <row r="217" spans="2:8">
      <c r="B217" s="5"/>
      <c r="H217" s="16"/>
    </row>
    <row r="218" spans="2:8">
      <c r="B218" s="5"/>
      <c r="H218" s="16"/>
    </row>
    <row r="219" spans="2:8">
      <c r="B219" s="5"/>
      <c r="H219" s="16"/>
    </row>
    <row r="220" spans="2:8">
      <c r="B220" s="5"/>
      <c r="H220" s="16"/>
    </row>
    <row r="221" spans="2:8">
      <c r="B221" s="5"/>
      <c r="H221" s="16"/>
    </row>
    <row r="222" spans="2:8">
      <c r="B222" s="5"/>
      <c r="H222" s="16"/>
    </row>
    <row r="223" spans="2:8">
      <c r="B223" s="5"/>
      <c r="H223" s="16"/>
    </row>
    <row r="224" spans="2:8">
      <c r="B224" s="5"/>
      <c r="H224" s="16"/>
    </row>
    <row r="225" spans="2:8">
      <c r="B225" s="5"/>
      <c r="H225" s="16"/>
    </row>
    <row r="226" spans="2:8">
      <c r="B226" s="5"/>
      <c r="H226" s="16"/>
    </row>
    <row r="227" spans="2:8">
      <c r="B227" s="5"/>
      <c r="H227" s="16"/>
    </row>
    <row r="228" spans="2:8">
      <c r="B228" s="5"/>
      <c r="H228" s="16"/>
    </row>
    <row r="229" spans="2:8">
      <c r="B229" s="5"/>
      <c r="H229" s="16"/>
    </row>
    <row r="230" spans="2:8">
      <c r="B230" s="5"/>
      <c r="H230" s="16"/>
    </row>
    <row r="231" spans="2:8">
      <c r="B231" s="5"/>
      <c r="H231" s="16"/>
    </row>
    <row r="232" spans="2:8">
      <c r="B232" s="5"/>
      <c r="H232" s="16"/>
    </row>
    <row r="233" spans="2:8">
      <c r="B233" s="5"/>
      <c r="H233" s="16"/>
    </row>
    <row r="234" spans="2:8">
      <c r="B234" s="5"/>
      <c r="H234" s="16"/>
    </row>
    <row r="235" spans="2:8">
      <c r="B235" s="5"/>
      <c r="H235" s="16"/>
    </row>
    <row r="236" spans="2:8">
      <c r="B236" s="5"/>
      <c r="H236" s="16"/>
    </row>
    <row r="237" spans="2:8">
      <c r="B237" s="5"/>
      <c r="H237" s="16"/>
    </row>
    <row r="238" spans="2:8">
      <c r="B238" s="5"/>
      <c r="H238" s="16"/>
    </row>
    <row r="239" spans="2:8">
      <c r="B239" s="5"/>
      <c r="H239" s="16"/>
    </row>
    <row r="240" spans="2:8">
      <c r="B240" s="5"/>
      <c r="H240" s="16"/>
    </row>
    <row r="241" spans="2:8">
      <c r="B241" s="5"/>
      <c r="H241" s="16"/>
    </row>
    <row r="242" spans="2:8">
      <c r="B242" s="5"/>
      <c r="H242" s="16"/>
    </row>
    <row r="243" spans="2:8">
      <c r="B243" s="5"/>
      <c r="H243" s="16"/>
    </row>
    <row r="244" spans="2:8">
      <c r="B244" s="5"/>
      <c r="H244" s="16"/>
    </row>
    <row r="245" spans="2:8">
      <c r="B245" s="5"/>
      <c r="H245" s="16"/>
    </row>
    <row r="246" spans="2:8">
      <c r="B246" s="5"/>
      <c r="H246" s="16"/>
    </row>
    <row r="247" spans="2:8">
      <c r="B247" s="5"/>
      <c r="H247" s="16"/>
    </row>
    <row r="248" spans="2:8">
      <c r="B248" s="5"/>
      <c r="H248" s="16"/>
    </row>
    <row r="249" spans="2:8">
      <c r="B249" s="5"/>
      <c r="H249" s="16"/>
    </row>
    <row r="250" spans="2:8">
      <c r="B250" s="5"/>
      <c r="H250" s="16"/>
    </row>
    <row r="251" spans="2:8">
      <c r="B251" s="5"/>
      <c r="H251" s="16"/>
    </row>
    <row r="252" spans="2:8">
      <c r="B252" s="5"/>
      <c r="H252" s="16"/>
    </row>
    <row r="253" spans="2:8">
      <c r="B253" s="5"/>
      <c r="H253" s="16"/>
    </row>
    <row r="254" spans="2:8">
      <c r="B254" s="5"/>
      <c r="H254" s="16"/>
    </row>
    <row r="255" spans="2:8">
      <c r="B255" s="5"/>
      <c r="H255" s="16"/>
    </row>
    <row r="256" spans="2:8">
      <c r="B256" s="5"/>
      <c r="H256" s="16"/>
    </row>
    <row r="257" spans="2:8">
      <c r="B257" s="5"/>
      <c r="H257" s="16"/>
    </row>
    <row r="258" spans="2:8">
      <c r="B258" s="5"/>
      <c r="H258" s="16"/>
    </row>
    <row r="259" spans="2:8">
      <c r="B259" s="5"/>
      <c r="H259" s="16"/>
    </row>
    <row r="260" spans="2:8">
      <c r="B260" s="5"/>
      <c r="H260" s="16"/>
    </row>
    <row r="261" spans="2:8">
      <c r="B261" s="5"/>
      <c r="H261" s="16"/>
    </row>
    <row r="262" spans="2:8">
      <c r="B262" s="5"/>
      <c r="H262" s="16"/>
    </row>
    <row r="263" spans="2:8">
      <c r="B263" s="5"/>
      <c r="H263" s="16"/>
    </row>
    <row r="264" spans="2:8">
      <c r="B264" s="5"/>
      <c r="H264" s="16"/>
    </row>
    <row r="265" spans="2:8">
      <c r="B265" s="5"/>
      <c r="H265" s="16"/>
    </row>
    <row r="266" spans="2:8">
      <c r="B266" s="5"/>
      <c r="H266" s="16"/>
    </row>
    <row r="267" spans="2:8">
      <c r="B267" s="5"/>
      <c r="H267" s="16"/>
    </row>
    <row r="268" spans="2:8">
      <c r="B268" s="5"/>
      <c r="H268" s="16"/>
    </row>
    <row r="269" spans="2:8">
      <c r="B269" s="5"/>
      <c r="H269" s="16"/>
    </row>
    <row r="270" spans="2:8">
      <c r="B270" s="5"/>
      <c r="H270" s="16"/>
    </row>
    <row r="271" spans="2:8">
      <c r="B271" s="5"/>
      <c r="H271" s="16"/>
    </row>
    <row r="272" spans="2:8">
      <c r="B272" s="5"/>
      <c r="H272" s="16"/>
    </row>
    <row r="273" spans="2:8">
      <c r="B273" s="5"/>
      <c r="H273" s="16"/>
    </row>
    <row r="274" spans="2:8">
      <c r="B274" s="5"/>
      <c r="H274" s="16"/>
    </row>
    <row r="275" spans="2:8">
      <c r="B275" s="5"/>
      <c r="H275" s="16"/>
    </row>
    <row r="276" spans="2:8">
      <c r="B276" s="5"/>
      <c r="H276" s="16"/>
    </row>
    <row r="277" spans="2:8">
      <c r="B277" s="5"/>
      <c r="H277" s="16"/>
    </row>
    <row r="278" spans="2:8">
      <c r="B278" s="5"/>
      <c r="H278" s="16"/>
    </row>
    <row r="279" spans="2:8">
      <c r="B279" s="5"/>
      <c r="H279" s="16"/>
    </row>
    <row r="280" spans="2:8">
      <c r="B280" s="5"/>
      <c r="H280" s="16"/>
    </row>
    <row r="281" spans="2:8">
      <c r="B281" s="5"/>
      <c r="H281" s="16"/>
    </row>
    <row r="282" spans="2:8">
      <c r="B282" s="5"/>
      <c r="H282" s="16"/>
    </row>
    <row r="283" spans="2:8">
      <c r="B283" s="5"/>
      <c r="H283" s="16"/>
    </row>
    <row r="284" spans="2:8">
      <c r="B284" s="5"/>
      <c r="H284" s="16"/>
    </row>
    <row r="285" spans="2:8">
      <c r="B285" s="5"/>
      <c r="H285" s="16"/>
    </row>
    <row r="286" spans="2:8">
      <c r="B286" s="5"/>
      <c r="H286" s="16"/>
    </row>
    <row r="287" spans="2:8">
      <c r="B287" s="5"/>
      <c r="H287" s="16"/>
    </row>
    <row r="288" spans="2:8">
      <c r="B288" s="5"/>
      <c r="H288" s="16"/>
    </row>
    <row r="289" spans="2:8">
      <c r="B289" s="5"/>
      <c r="H289" s="16"/>
    </row>
    <row r="290" spans="2:8">
      <c r="B290" s="5"/>
      <c r="H290" s="16"/>
    </row>
    <row r="291" spans="2:8">
      <c r="B291" s="5"/>
      <c r="H291" s="16"/>
    </row>
    <row r="292" spans="2:8">
      <c r="B292" s="5"/>
      <c r="H292" s="16"/>
    </row>
    <row r="293" spans="2:8">
      <c r="B293" s="5"/>
      <c r="H293" s="16"/>
    </row>
    <row r="294" spans="2:8">
      <c r="B294" s="5"/>
      <c r="H294" s="16"/>
    </row>
    <row r="295" spans="2:8">
      <c r="B295" s="5"/>
      <c r="H295" s="16"/>
    </row>
    <row r="296" spans="2:8">
      <c r="B296" s="5"/>
      <c r="H296" s="16"/>
    </row>
    <row r="297" spans="2:8">
      <c r="B297" s="5"/>
      <c r="H297" s="16"/>
    </row>
    <row r="298" spans="2:8">
      <c r="B298" s="5"/>
      <c r="H298" s="16"/>
    </row>
    <row r="299" spans="2:8">
      <c r="B299" s="5"/>
      <c r="H299" s="16"/>
    </row>
    <row r="300" spans="2:8">
      <c r="B300" s="5"/>
      <c r="H300" s="16"/>
    </row>
    <row r="301" spans="2:8">
      <c r="B301" s="5"/>
      <c r="H301" s="16"/>
    </row>
    <row r="302" spans="2:8">
      <c r="B302" s="5"/>
      <c r="H302" s="16"/>
    </row>
    <row r="303" spans="2:8">
      <c r="B303" s="5"/>
      <c r="H303" s="16"/>
    </row>
    <row r="304" spans="2:8">
      <c r="B304" s="5"/>
      <c r="H304" s="16"/>
    </row>
    <row r="305" spans="2:8">
      <c r="B305" s="5"/>
      <c r="H305" s="16"/>
    </row>
    <row r="306" spans="2:8">
      <c r="B306" s="5"/>
      <c r="H306" s="16"/>
    </row>
    <row r="307" spans="2:8">
      <c r="B307" s="5"/>
      <c r="H307" s="16"/>
    </row>
    <row r="308" spans="2:8">
      <c r="B308" s="5"/>
      <c r="H308" s="16"/>
    </row>
    <row r="309" spans="2:8">
      <c r="B309" s="5"/>
      <c r="H309" s="16"/>
    </row>
    <row r="310" spans="2:8">
      <c r="B310" s="5"/>
      <c r="H310" s="16"/>
    </row>
    <row r="311" spans="2:8">
      <c r="B311" s="5"/>
      <c r="H311" s="16"/>
    </row>
    <row r="312" spans="2:8">
      <c r="B312" s="5"/>
      <c r="H312" s="16"/>
    </row>
    <row r="313" spans="2:8">
      <c r="B313" s="5"/>
      <c r="H313" s="16"/>
    </row>
    <row r="314" spans="2:8">
      <c r="B314" s="5"/>
      <c r="H314" s="16"/>
    </row>
    <row r="315" spans="2:8">
      <c r="B315" s="5"/>
      <c r="H315" s="16"/>
    </row>
    <row r="316" spans="2:8">
      <c r="B316" s="5"/>
      <c r="H316" s="16"/>
    </row>
    <row r="317" spans="2:8">
      <c r="B317" s="5"/>
      <c r="H317" s="16"/>
    </row>
    <row r="318" spans="2:8">
      <c r="B318" s="5"/>
      <c r="H318" s="16"/>
    </row>
    <row r="319" spans="2:8">
      <c r="B319" s="5"/>
      <c r="H319" s="16"/>
    </row>
    <row r="320" spans="2:8">
      <c r="B320" s="5"/>
      <c r="H320" s="16"/>
    </row>
    <row r="321" spans="2:8">
      <c r="B321" s="5"/>
      <c r="H321" s="16"/>
    </row>
    <row r="322" spans="2:8">
      <c r="B322" s="5"/>
      <c r="H322" s="16"/>
    </row>
    <row r="323" spans="2:8">
      <c r="B323" s="5"/>
      <c r="H323" s="16"/>
    </row>
    <row r="324" spans="2:8">
      <c r="B324" s="5"/>
      <c r="H324" s="16"/>
    </row>
    <row r="325" spans="2:8">
      <c r="B325" s="5"/>
      <c r="H325" s="16"/>
    </row>
    <row r="326" spans="2:8">
      <c r="B326" s="5"/>
      <c r="H326" s="16"/>
    </row>
    <row r="327" spans="2:8">
      <c r="B327" s="5"/>
      <c r="H327" s="16"/>
    </row>
    <row r="328" spans="2:8">
      <c r="B328" s="5"/>
      <c r="H328" s="16"/>
    </row>
    <row r="329" spans="2:8">
      <c r="B329" s="5"/>
      <c r="H329" s="16"/>
    </row>
    <row r="330" spans="2:8">
      <c r="B330" s="5"/>
      <c r="H330" s="16"/>
    </row>
    <row r="331" spans="2:8">
      <c r="B331" s="5"/>
      <c r="H331" s="16"/>
    </row>
    <row r="332" spans="2:8">
      <c r="B332" s="5"/>
      <c r="H332" s="16"/>
    </row>
    <row r="333" spans="2:8">
      <c r="B333" s="5"/>
      <c r="H333" s="16"/>
    </row>
    <row r="334" spans="2:8">
      <c r="B334" s="5"/>
      <c r="H334" s="16"/>
    </row>
    <row r="335" spans="2:8">
      <c r="B335" s="5"/>
      <c r="H335" s="16"/>
    </row>
    <row r="336" spans="2:8">
      <c r="B336" s="5"/>
      <c r="H336" s="16"/>
    </row>
    <row r="337" spans="2:8">
      <c r="B337" s="5"/>
      <c r="H337" s="16"/>
    </row>
    <row r="338" spans="2:8">
      <c r="B338" s="5"/>
      <c r="H338" s="16"/>
    </row>
    <row r="339" spans="2:8">
      <c r="B339" s="5"/>
      <c r="H339" s="16"/>
    </row>
    <row r="340" spans="2:8">
      <c r="B340" s="5"/>
      <c r="H340" s="16"/>
    </row>
    <row r="341" spans="2:8">
      <c r="B341" s="5"/>
      <c r="H341" s="16"/>
    </row>
    <row r="342" spans="2:8">
      <c r="B342" s="5"/>
      <c r="H342" s="16"/>
    </row>
    <row r="343" spans="2:8">
      <c r="B343" s="5"/>
      <c r="H343" s="16"/>
    </row>
    <row r="344" spans="2:8">
      <c r="B344" s="5"/>
      <c r="H344" s="16"/>
    </row>
    <row r="345" spans="2:8">
      <c r="B345" s="5"/>
      <c r="H345" s="16"/>
    </row>
    <row r="346" spans="2:8">
      <c r="B346" s="5"/>
      <c r="H346" s="16"/>
    </row>
    <row r="347" spans="2:8">
      <c r="B347" s="5"/>
      <c r="H347" s="16"/>
    </row>
    <row r="348" spans="2:8">
      <c r="B348" s="5"/>
      <c r="H348" s="16"/>
    </row>
    <row r="349" spans="2:8">
      <c r="B349" s="5"/>
      <c r="H349" s="16"/>
    </row>
    <row r="350" spans="2:8">
      <c r="B350" s="5"/>
      <c r="H350" s="16"/>
    </row>
    <row r="351" spans="2:8">
      <c r="B351" s="5"/>
      <c r="H351" s="16"/>
    </row>
    <row r="352" spans="2:8">
      <c r="B352" s="5"/>
      <c r="H352" s="16"/>
    </row>
    <row r="353" spans="2:8">
      <c r="B353" s="5"/>
      <c r="H353" s="16"/>
    </row>
    <row r="354" spans="2:8">
      <c r="B354" s="5"/>
      <c r="H354" s="16"/>
    </row>
    <row r="355" spans="2:8">
      <c r="B355" s="5"/>
      <c r="H355" s="16"/>
    </row>
    <row r="356" spans="2:8">
      <c r="B356" s="5"/>
      <c r="H356" s="16"/>
    </row>
    <row r="357" spans="2:8">
      <c r="B357" s="5"/>
      <c r="H357" s="16"/>
    </row>
    <row r="358" spans="2:8">
      <c r="B358" s="5"/>
      <c r="H358" s="16"/>
    </row>
    <row r="359" spans="2:8">
      <c r="B359" s="5"/>
      <c r="H359" s="16"/>
    </row>
    <row r="360" spans="2:8">
      <c r="B360" s="5"/>
      <c r="H360" s="16"/>
    </row>
    <row r="361" spans="2:8">
      <c r="B361" s="5"/>
      <c r="H361" s="16"/>
    </row>
    <row r="362" spans="2:8">
      <c r="B362" s="5"/>
      <c r="H362" s="16"/>
    </row>
    <row r="363" spans="2:8">
      <c r="B363" s="5"/>
      <c r="H363" s="16"/>
    </row>
    <row r="364" spans="2:8">
      <c r="B364" s="5"/>
      <c r="H364" s="16"/>
    </row>
    <row r="365" spans="2:8">
      <c r="B365" s="5"/>
      <c r="H365" s="16"/>
    </row>
    <row r="366" spans="2:8">
      <c r="B366" s="5"/>
      <c r="H366" s="16"/>
    </row>
    <row r="367" spans="2:8">
      <c r="B367" s="5"/>
      <c r="H367" s="16"/>
    </row>
    <row r="368" spans="2:8">
      <c r="B368" s="5"/>
      <c r="H368" s="16"/>
    </row>
    <row r="369" spans="2:8">
      <c r="B369" s="5"/>
      <c r="H369" s="16"/>
    </row>
    <row r="370" spans="2:8">
      <c r="B370" s="5"/>
      <c r="H370" s="16"/>
    </row>
    <row r="371" spans="2:8">
      <c r="B371" s="5"/>
      <c r="H371" s="16"/>
    </row>
    <row r="372" spans="2:8">
      <c r="B372" s="5"/>
      <c r="H372" s="16"/>
    </row>
    <row r="373" spans="2:8">
      <c r="B373" s="5"/>
      <c r="H373" s="16"/>
    </row>
    <row r="374" spans="2:8">
      <c r="B374" s="5"/>
      <c r="H374" s="16"/>
    </row>
    <row r="375" spans="2:8">
      <c r="B375" s="5"/>
      <c r="H375" s="16"/>
    </row>
    <row r="376" spans="2:8">
      <c r="B376" s="5"/>
      <c r="H376" s="16"/>
    </row>
    <row r="377" spans="2:8">
      <c r="B377" s="5"/>
      <c r="H377" s="16"/>
    </row>
    <row r="378" spans="2:8">
      <c r="B378" s="5"/>
      <c r="H378" s="16"/>
    </row>
    <row r="379" spans="2:8">
      <c r="B379" s="5"/>
      <c r="H379" s="16"/>
    </row>
    <row r="380" spans="2:8">
      <c r="B380" s="5"/>
      <c r="H380" s="16"/>
    </row>
    <row r="381" spans="2:8">
      <c r="B381" s="5"/>
      <c r="H381" s="16"/>
    </row>
    <row r="382" spans="2:8">
      <c r="B382" s="5"/>
      <c r="H382" s="16"/>
    </row>
    <row r="383" spans="2:8">
      <c r="B383" s="5"/>
      <c r="H383" s="16"/>
    </row>
    <row r="384" spans="2:8">
      <c r="B384" s="5"/>
      <c r="H384" s="16"/>
    </row>
    <row r="385" spans="2:8">
      <c r="B385" s="5"/>
      <c r="H385" s="16"/>
    </row>
    <row r="386" spans="2:8">
      <c r="B386" s="5"/>
      <c r="H386" s="16"/>
    </row>
    <row r="387" spans="2:8">
      <c r="B387" s="5"/>
      <c r="H387" s="16"/>
    </row>
    <row r="388" spans="2:8">
      <c r="B388" s="5"/>
      <c r="H388" s="16"/>
    </row>
    <row r="389" spans="2:8">
      <c r="B389" s="5"/>
      <c r="H389" s="16"/>
    </row>
    <row r="390" spans="2:8">
      <c r="B390" s="5"/>
      <c r="H390" s="16"/>
    </row>
    <row r="391" spans="2:8">
      <c r="B391" s="5"/>
      <c r="H391" s="16"/>
    </row>
    <row r="392" spans="2:8">
      <c r="B392" s="5"/>
      <c r="H392" s="16"/>
    </row>
    <row r="393" spans="2:8">
      <c r="B393" s="5"/>
      <c r="H393" s="16"/>
    </row>
    <row r="394" spans="2:8">
      <c r="B394" s="5"/>
      <c r="H394" s="16"/>
    </row>
    <row r="395" spans="2:8">
      <c r="B395" s="5"/>
      <c r="H395" s="16"/>
    </row>
    <row r="396" spans="2:8">
      <c r="B396" s="5"/>
      <c r="H396" s="16"/>
    </row>
    <row r="397" spans="2:8">
      <c r="B397" s="5"/>
      <c r="H397" s="16"/>
    </row>
    <row r="398" spans="2:8">
      <c r="B398" s="5"/>
      <c r="H398" s="16"/>
    </row>
    <row r="399" spans="2:8">
      <c r="B399" s="5"/>
      <c r="H399" s="16"/>
    </row>
    <row r="400" spans="2:8">
      <c r="B400" s="5"/>
      <c r="H400" s="16"/>
    </row>
    <row r="401" spans="2:8">
      <c r="B401" s="5"/>
      <c r="H401" s="16"/>
    </row>
    <row r="402" spans="2:8">
      <c r="B402" s="5"/>
      <c r="H402" s="16"/>
    </row>
    <row r="403" spans="2:8">
      <c r="B403" s="5"/>
      <c r="H403" s="16"/>
    </row>
    <row r="404" spans="2:8">
      <c r="B404" s="5"/>
      <c r="H404" s="16"/>
    </row>
    <row r="405" spans="2:8">
      <c r="B405" s="5"/>
      <c r="H405" s="16"/>
    </row>
    <row r="406" spans="2:8">
      <c r="B406" s="5"/>
      <c r="H406" s="16"/>
    </row>
    <row r="407" spans="2:8">
      <c r="B407" s="5"/>
      <c r="H407" s="16"/>
    </row>
    <row r="408" spans="2:8">
      <c r="B408" s="5"/>
      <c r="H408" s="16"/>
    </row>
    <row r="409" spans="2:8">
      <c r="B409" s="5"/>
      <c r="H409" s="16"/>
    </row>
    <row r="410" spans="2:8">
      <c r="B410" s="5"/>
      <c r="H410" s="16"/>
    </row>
    <row r="411" spans="2:8">
      <c r="B411" s="5"/>
      <c r="H411" s="16"/>
    </row>
    <row r="412" spans="2:8">
      <c r="B412" s="5"/>
      <c r="H412" s="16"/>
    </row>
    <row r="413" spans="2:8">
      <c r="B413" s="5"/>
      <c r="H413" s="16"/>
    </row>
    <row r="414" spans="2:8">
      <c r="B414" s="5"/>
      <c r="H414" s="16"/>
    </row>
    <row r="415" spans="2:8">
      <c r="B415" s="5"/>
      <c r="H415" s="16"/>
    </row>
    <row r="416" spans="2:8">
      <c r="B416" s="5"/>
      <c r="H416" s="16"/>
    </row>
    <row r="417" spans="2:8">
      <c r="B417" s="5"/>
      <c r="H417" s="16"/>
    </row>
    <row r="418" spans="2:8">
      <c r="B418" s="5"/>
      <c r="H418" s="16"/>
    </row>
    <row r="419" spans="2:8">
      <c r="B419" s="5"/>
      <c r="H419" s="16"/>
    </row>
    <row r="420" spans="2:8">
      <c r="B420" s="5"/>
      <c r="H420" s="16"/>
    </row>
    <row r="421" spans="2:8">
      <c r="B421" s="5"/>
      <c r="H421" s="16"/>
    </row>
    <row r="422" spans="2:8">
      <c r="B422" s="5"/>
      <c r="H422" s="16"/>
    </row>
    <row r="423" spans="2:8">
      <c r="B423" s="5"/>
      <c r="H423" s="16"/>
    </row>
    <row r="424" spans="2:8">
      <c r="B424" s="5"/>
      <c r="H424" s="16"/>
    </row>
    <row r="425" spans="2:8">
      <c r="B425" s="5"/>
      <c r="H425" s="16"/>
    </row>
    <row r="426" spans="2:8">
      <c r="B426" s="5"/>
      <c r="H426" s="16"/>
    </row>
    <row r="427" spans="2:8">
      <c r="B427" s="5"/>
      <c r="H427" s="16"/>
    </row>
    <row r="428" spans="2:8">
      <c r="B428" s="5"/>
      <c r="H428" s="16"/>
    </row>
    <row r="429" spans="2:8">
      <c r="B429" s="5"/>
      <c r="H429" s="16"/>
    </row>
    <row r="430" spans="2:8">
      <c r="B430" s="5"/>
      <c r="H430" s="16"/>
    </row>
    <row r="431" spans="2:8">
      <c r="B431" s="5"/>
      <c r="H431" s="16"/>
    </row>
    <row r="432" spans="2:8">
      <c r="B432" s="5"/>
      <c r="H432" s="16"/>
    </row>
    <row r="433" spans="2:8">
      <c r="B433" s="5"/>
      <c r="H433" s="16"/>
    </row>
    <row r="434" spans="2:8">
      <c r="B434" s="5"/>
      <c r="H434" s="16"/>
    </row>
    <row r="435" spans="2:8">
      <c r="B435" s="5"/>
      <c r="H435" s="16"/>
    </row>
    <row r="436" spans="2:8">
      <c r="B436" s="5"/>
      <c r="H436" s="16"/>
    </row>
    <row r="437" spans="2:8">
      <c r="B437" s="5"/>
      <c r="H437" s="16"/>
    </row>
    <row r="438" spans="2:8">
      <c r="B438" s="5"/>
      <c r="H438" s="16"/>
    </row>
    <row r="439" spans="2:8">
      <c r="B439" s="5"/>
      <c r="H439" s="16"/>
    </row>
    <row r="440" spans="2:8">
      <c r="B440" s="5"/>
      <c r="H440" s="16"/>
    </row>
    <row r="441" spans="2:8">
      <c r="B441" s="5"/>
      <c r="H441" s="16"/>
    </row>
    <row r="442" spans="2:8">
      <c r="B442" s="5"/>
      <c r="H442" s="16"/>
    </row>
    <row r="443" spans="2:8">
      <c r="B443" s="5"/>
      <c r="H443" s="16"/>
    </row>
    <row r="444" spans="2:8">
      <c r="B444" s="5"/>
      <c r="H444" s="16"/>
    </row>
    <row r="445" spans="2:8">
      <c r="B445" s="5"/>
      <c r="H445" s="16"/>
    </row>
    <row r="446" spans="2:8">
      <c r="B446" s="5"/>
      <c r="H446" s="16"/>
    </row>
    <row r="447" spans="2:8">
      <c r="B447" s="5"/>
      <c r="H447" s="16"/>
    </row>
    <row r="448" spans="2:8">
      <c r="B448" s="5"/>
      <c r="H448" s="16"/>
    </row>
    <row r="449" spans="2:8">
      <c r="B449" s="5"/>
      <c r="H449" s="16"/>
    </row>
    <row r="450" spans="2:8">
      <c r="B450" s="5"/>
      <c r="H450" s="16"/>
    </row>
    <row r="451" spans="2:8">
      <c r="B451" s="5"/>
      <c r="H451" s="16"/>
    </row>
    <row r="452" spans="2:8">
      <c r="B452" s="5"/>
      <c r="H452" s="16"/>
    </row>
    <row r="453" spans="2:8">
      <c r="B453" s="5"/>
      <c r="H453" s="16"/>
    </row>
    <row r="454" spans="2:8">
      <c r="B454" s="5"/>
      <c r="H454" s="16"/>
    </row>
    <row r="455" spans="2:8">
      <c r="B455" s="5"/>
      <c r="H455" s="16"/>
    </row>
    <row r="456" spans="2:8">
      <c r="B456" s="5"/>
      <c r="H456" s="16"/>
    </row>
    <row r="457" spans="2:8">
      <c r="B457" s="5"/>
      <c r="H457" s="16"/>
    </row>
    <row r="458" spans="2:8">
      <c r="B458" s="5"/>
      <c r="H458" s="16"/>
    </row>
    <row r="459" spans="2:8">
      <c r="B459" s="5"/>
      <c r="H459" s="16"/>
    </row>
    <row r="460" spans="2:8">
      <c r="B460" s="5"/>
      <c r="H460" s="16"/>
    </row>
    <row r="461" spans="2:8">
      <c r="B461" s="5"/>
      <c r="H461" s="16"/>
    </row>
    <row r="462" spans="2:8">
      <c r="B462" s="5"/>
      <c r="H462" s="16"/>
    </row>
    <row r="463" spans="2:8">
      <c r="B463" s="5"/>
      <c r="H463" s="16"/>
    </row>
    <row r="464" spans="2:8">
      <c r="B464" s="5"/>
      <c r="H464" s="16"/>
    </row>
    <row r="465" spans="2:8">
      <c r="B465" s="5"/>
      <c r="H465" s="16"/>
    </row>
    <row r="466" spans="2:8">
      <c r="B466" s="5"/>
      <c r="H466" s="16"/>
    </row>
    <row r="467" spans="2:8">
      <c r="B467" s="5"/>
      <c r="H467" s="16"/>
    </row>
    <row r="468" spans="2:8">
      <c r="B468" s="5"/>
      <c r="H468" s="16"/>
    </row>
    <row r="469" spans="2:8">
      <c r="B469" s="5"/>
      <c r="H469" s="16"/>
    </row>
    <row r="470" spans="2:8">
      <c r="B470" s="5"/>
      <c r="H470" s="16"/>
    </row>
    <row r="471" spans="2:8">
      <c r="B471" s="5"/>
      <c r="H471" s="16"/>
    </row>
    <row r="472" spans="2:8">
      <c r="B472" s="5"/>
      <c r="H472" s="16"/>
    </row>
    <row r="473" spans="2:8">
      <c r="B473" s="5"/>
      <c r="H473" s="16"/>
    </row>
    <row r="474" spans="2:8">
      <c r="B474" s="5"/>
      <c r="H474" s="16"/>
    </row>
    <row r="475" spans="2:8">
      <c r="B475" s="5"/>
      <c r="H475" s="16"/>
    </row>
    <row r="476" spans="2:8">
      <c r="B476" s="5"/>
      <c r="H476" s="16"/>
    </row>
    <row r="477" spans="2:8">
      <c r="B477" s="5"/>
      <c r="H477" s="16"/>
    </row>
    <row r="478" spans="2:8">
      <c r="B478" s="5"/>
      <c r="H478" s="16"/>
    </row>
    <row r="479" spans="2:8">
      <c r="B479" s="5"/>
      <c r="H479" s="16"/>
    </row>
    <row r="480" spans="2:8">
      <c r="B480" s="5"/>
      <c r="H480" s="16"/>
    </row>
    <row r="481" spans="2:8">
      <c r="B481" s="5"/>
      <c r="H481" s="16"/>
    </row>
    <row r="482" spans="2:8">
      <c r="B482" s="5"/>
      <c r="H482" s="16"/>
    </row>
    <row r="483" spans="2:8">
      <c r="B483" s="5"/>
      <c r="H483" s="16"/>
    </row>
    <row r="484" spans="2:8">
      <c r="B484" s="5"/>
      <c r="H484" s="16"/>
    </row>
    <row r="485" spans="2:8">
      <c r="B485" s="5"/>
      <c r="H485" s="16"/>
    </row>
    <row r="486" spans="2:8">
      <c r="B486" s="5"/>
      <c r="H486" s="16"/>
    </row>
    <row r="487" spans="2:8">
      <c r="B487" s="5"/>
      <c r="H487" s="16"/>
    </row>
    <row r="488" spans="2:8">
      <c r="B488" s="5"/>
      <c r="H488" s="16"/>
    </row>
    <row r="489" spans="2:8">
      <c r="B489" s="5"/>
      <c r="H489" s="16"/>
    </row>
    <row r="490" spans="2:8">
      <c r="B490" s="5"/>
      <c r="H490" s="16"/>
    </row>
    <row r="491" spans="2:8">
      <c r="B491" s="5"/>
      <c r="H491" s="16"/>
    </row>
    <row r="492" spans="2:8">
      <c r="B492" s="5"/>
      <c r="H492" s="16"/>
    </row>
    <row r="493" spans="2:8">
      <c r="B493" s="5"/>
      <c r="H493" s="16"/>
    </row>
    <row r="494" spans="2:8">
      <c r="B494" s="5"/>
      <c r="H494" s="16"/>
    </row>
    <row r="495" spans="2:8">
      <c r="B495" s="5"/>
      <c r="H495" s="16"/>
    </row>
    <row r="496" spans="2:8">
      <c r="B496" s="5"/>
      <c r="H496" s="16"/>
    </row>
    <row r="497" spans="2:8">
      <c r="B497" s="5"/>
      <c r="H497" s="16"/>
    </row>
    <row r="498" spans="2:8">
      <c r="B498" s="5"/>
      <c r="H498" s="16"/>
    </row>
    <row r="499" spans="2:8">
      <c r="B499" s="5"/>
      <c r="H499" s="16"/>
    </row>
    <row r="500" spans="2:8">
      <c r="B500" s="5"/>
      <c r="H500" s="16"/>
    </row>
    <row r="501" spans="2:8">
      <c r="B501" s="5"/>
      <c r="H501" s="16"/>
    </row>
    <row r="502" spans="2:8">
      <c r="B502" s="5"/>
      <c r="H502" s="16"/>
    </row>
    <row r="503" spans="2:8">
      <c r="B503" s="5"/>
      <c r="H503" s="16"/>
    </row>
    <row r="504" spans="2:8">
      <c r="B504" s="5"/>
      <c r="H504" s="16"/>
    </row>
    <row r="505" spans="2:8">
      <c r="B505" s="5"/>
      <c r="H505" s="16"/>
    </row>
    <row r="506" spans="2:8">
      <c r="B506" s="5"/>
      <c r="H506" s="16"/>
    </row>
    <row r="507" spans="2:8">
      <c r="B507" s="5"/>
      <c r="H507" s="16"/>
    </row>
    <row r="508" spans="2:8">
      <c r="B508" s="5"/>
      <c r="H508" s="16"/>
    </row>
    <row r="509" spans="2:8">
      <c r="B509" s="5"/>
      <c r="H509" s="16"/>
    </row>
    <row r="510" spans="2:8">
      <c r="B510" s="5"/>
      <c r="H510" s="16"/>
    </row>
    <row r="511" spans="2:8">
      <c r="B511" s="5"/>
      <c r="H511" s="16"/>
    </row>
    <row r="512" spans="2:8">
      <c r="B512" s="5"/>
      <c r="H512" s="16"/>
    </row>
    <row r="513" spans="2:8">
      <c r="B513" s="5"/>
      <c r="H513" s="16"/>
    </row>
    <row r="514" spans="2:8">
      <c r="B514" s="5"/>
      <c r="H514" s="16"/>
    </row>
    <row r="515" spans="2:8">
      <c r="B515" s="5"/>
      <c r="H515" s="16"/>
    </row>
    <row r="516" spans="2:8">
      <c r="B516" s="5"/>
      <c r="H516" s="16"/>
    </row>
    <row r="517" spans="2:8">
      <c r="B517" s="5"/>
      <c r="H517" s="16"/>
    </row>
    <row r="518" spans="2:8">
      <c r="B518" s="5"/>
      <c r="H518" s="16"/>
    </row>
    <row r="519" spans="2:8">
      <c r="B519" s="5"/>
      <c r="H519" s="16"/>
    </row>
    <row r="520" spans="2:8">
      <c r="B520" s="5"/>
      <c r="H520" s="16"/>
    </row>
    <row r="521" spans="2:8">
      <c r="B521" s="5"/>
      <c r="H521" s="16"/>
    </row>
    <row r="522" spans="2:8">
      <c r="B522" s="5"/>
      <c r="H522" s="16"/>
    </row>
    <row r="523" spans="2:8">
      <c r="B523" s="5"/>
      <c r="H523" s="16"/>
    </row>
    <row r="524" spans="2:8">
      <c r="B524" s="5"/>
      <c r="H524" s="16"/>
    </row>
    <row r="525" spans="2:8">
      <c r="B525" s="5"/>
      <c r="H525" s="16"/>
    </row>
    <row r="526" spans="2:8">
      <c r="B526" s="5"/>
      <c r="H526" s="16"/>
    </row>
    <row r="527" spans="2:8">
      <c r="B527" s="5"/>
      <c r="H527" s="16"/>
    </row>
    <row r="528" spans="2:8">
      <c r="B528" s="5"/>
      <c r="H528" s="16"/>
    </row>
    <row r="529" spans="2:8">
      <c r="B529" s="5"/>
      <c r="H529" s="16"/>
    </row>
    <row r="530" spans="2:8">
      <c r="B530" s="5"/>
      <c r="H530" s="16"/>
    </row>
    <row r="531" spans="2:8">
      <c r="B531" s="5"/>
      <c r="H531" s="16"/>
    </row>
    <row r="532" spans="2:8">
      <c r="B532" s="5"/>
      <c r="H532" s="16"/>
    </row>
    <row r="533" spans="2:8">
      <c r="B533" s="5"/>
      <c r="H533" s="16"/>
    </row>
    <row r="534" spans="2:8">
      <c r="B534" s="5"/>
      <c r="H534" s="16"/>
    </row>
    <row r="535" spans="2:8">
      <c r="B535" s="5"/>
      <c r="H535" s="16"/>
    </row>
    <row r="536" spans="2:8">
      <c r="B536" s="5"/>
      <c r="H536" s="16"/>
    </row>
    <row r="537" spans="2:8">
      <c r="B537" s="5"/>
      <c r="H537" s="16"/>
    </row>
    <row r="538" spans="2:8">
      <c r="B538" s="5"/>
      <c r="H538" s="16"/>
    </row>
    <row r="539" spans="2:8">
      <c r="B539" s="5"/>
      <c r="H539" s="16"/>
    </row>
    <row r="540" spans="2:8">
      <c r="B540" s="5"/>
      <c r="H540" s="16"/>
    </row>
    <row r="541" spans="2:8">
      <c r="B541" s="5"/>
      <c r="H541" s="16"/>
    </row>
    <row r="542" spans="2:8">
      <c r="B542" s="5"/>
      <c r="H542" s="16"/>
    </row>
    <row r="543" spans="2:8">
      <c r="B543" s="5"/>
      <c r="H543" s="16"/>
    </row>
    <row r="544" spans="2:8">
      <c r="B544" s="5"/>
      <c r="H544" s="16"/>
    </row>
    <row r="545" spans="2:8">
      <c r="B545" s="5"/>
      <c r="H545" s="16"/>
    </row>
    <row r="546" spans="2:8">
      <c r="B546" s="5"/>
      <c r="H546" s="16"/>
    </row>
    <row r="547" spans="2:8">
      <c r="B547" s="5"/>
      <c r="H547" s="16"/>
    </row>
    <row r="548" spans="2:8">
      <c r="B548" s="5"/>
      <c r="H548" s="16"/>
    </row>
    <row r="549" spans="2:8">
      <c r="B549" s="5"/>
      <c r="H549" s="16"/>
    </row>
    <row r="550" spans="2:8">
      <c r="B550" s="5"/>
      <c r="H550" s="16"/>
    </row>
    <row r="551" spans="2:8">
      <c r="B551" s="5"/>
      <c r="H551" s="16"/>
    </row>
    <row r="552" spans="2:8">
      <c r="B552" s="5"/>
      <c r="H552" s="16"/>
    </row>
    <row r="553" spans="2:8">
      <c r="B553" s="5"/>
      <c r="H553" s="16"/>
    </row>
    <row r="554" spans="2:8">
      <c r="B554" s="5"/>
      <c r="H554" s="16"/>
    </row>
    <row r="555" spans="2:8">
      <c r="B555" s="5"/>
      <c r="H555" s="16"/>
    </row>
    <row r="556" spans="2:8">
      <c r="B556" s="5"/>
      <c r="H556" s="16"/>
    </row>
    <row r="557" spans="2:8">
      <c r="B557" s="5"/>
      <c r="H557" s="16"/>
    </row>
    <row r="558" spans="2:8">
      <c r="B558" s="5"/>
      <c r="H558" s="16"/>
    </row>
    <row r="559" spans="2:8">
      <c r="B559" s="5"/>
      <c r="H559" s="16"/>
    </row>
    <row r="560" spans="2:8">
      <c r="B560" s="5"/>
      <c r="H560" s="16"/>
    </row>
    <row r="561" spans="2:8">
      <c r="B561" s="5"/>
      <c r="H561" s="16"/>
    </row>
    <row r="562" spans="2:8">
      <c r="B562" s="5"/>
      <c r="H562" s="16"/>
    </row>
    <row r="563" spans="2:8">
      <c r="B563" s="5"/>
      <c r="H563" s="16"/>
    </row>
    <row r="564" spans="2:8">
      <c r="B564" s="5"/>
      <c r="H564" s="16"/>
    </row>
    <row r="565" spans="2:8">
      <c r="B565" s="5"/>
      <c r="H565" s="16"/>
    </row>
    <row r="566" spans="2:8">
      <c r="B566" s="5"/>
      <c r="H566" s="16"/>
    </row>
    <row r="567" spans="2:8">
      <c r="B567" s="5"/>
      <c r="H567" s="16"/>
    </row>
    <row r="568" spans="2:8">
      <c r="B568" s="5"/>
      <c r="H568" s="16"/>
    </row>
    <row r="569" spans="2:8">
      <c r="B569" s="5"/>
      <c r="H569" s="16"/>
    </row>
    <row r="570" spans="2:8">
      <c r="B570" s="5"/>
      <c r="H570" s="16"/>
    </row>
    <row r="571" spans="2:8">
      <c r="B571" s="5"/>
      <c r="H571" s="16"/>
    </row>
    <row r="572" spans="2:8">
      <c r="B572" s="5"/>
      <c r="H572" s="16"/>
    </row>
    <row r="573" spans="2:8">
      <c r="B573" s="5"/>
      <c r="H573" s="16"/>
    </row>
    <row r="574" spans="2:8">
      <c r="B574" s="5"/>
      <c r="H574" s="16"/>
    </row>
    <row r="575" spans="2:8">
      <c r="B575" s="5"/>
      <c r="H575" s="16"/>
    </row>
    <row r="576" spans="2:8">
      <c r="B576" s="5"/>
      <c r="H576" s="16"/>
    </row>
    <row r="577" spans="2:8">
      <c r="B577" s="5"/>
      <c r="H577" s="16"/>
    </row>
    <row r="578" spans="2:8">
      <c r="B578" s="5"/>
      <c r="H578" s="16"/>
    </row>
    <row r="579" spans="2:8">
      <c r="B579" s="5"/>
      <c r="H579" s="16"/>
    </row>
    <row r="580" spans="2:8">
      <c r="B580" s="5"/>
      <c r="H580" s="16"/>
    </row>
    <row r="581" spans="2:8">
      <c r="B581" s="5"/>
      <c r="H581" s="16"/>
    </row>
    <row r="582" spans="2:8">
      <c r="B582" s="5"/>
      <c r="H582" s="16"/>
    </row>
    <row r="583" spans="2:8">
      <c r="B583" s="5"/>
      <c r="H583" s="16"/>
    </row>
    <row r="584" spans="2:8">
      <c r="B584" s="5"/>
      <c r="H584" s="16"/>
    </row>
    <row r="585" spans="2:8">
      <c r="B585" s="5"/>
      <c r="H585" s="16"/>
    </row>
    <row r="586" spans="2:8">
      <c r="B586" s="5"/>
      <c r="H586" s="16"/>
    </row>
    <row r="587" spans="2:8">
      <c r="B587" s="5"/>
      <c r="H587" s="16"/>
    </row>
    <row r="588" spans="2:8">
      <c r="B588" s="5"/>
      <c r="H588" s="16"/>
    </row>
    <row r="589" spans="2:8">
      <c r="B589" s="5"/>
      <c r="H589" s="16"/>
    </row>
    <row r="590" spans="2:8">
      <c r="B590" s="5"/>
      <c r="H590" s="16"/>
    </row>
    <row r="591" spans="2:8">
      <c r="B591" s="5"/>
      <c r="H591" s="16"/>
    </row>
    <row r="592" spans="2:8">
      <c r="B592" s="5"/>
      <c r="H592" s="16"/>
    </row>
    <row r="593" spans="2:8">
      <c r="B593" s="5"/>
      <c r="H593" s="16"/>
    </row>
    <row r="594" spans="2:8">
      <c r="B594" s="5"/>
      <c r="H594" s="16"/>
    </row>
    <row r="595" spans="2:8">
      <c r="B595" s="5"/>
      <c r="H595" s="16"/>
    </row>
    <row r="596" spans="2:8">
      <c r="B596" s="5"/>
      <c r="H596" s="16"/>
    </row>
    <row r="597" spans="2:8">
      <c r="B597" s="5"/>
      <c r="H597" s="16"/>
    </row>
    <row r="598" spans="2:8">
      <c r="B598" s="5"/>
      <c r="H598" s="16"/>
    </row>
    <row r="599" spans="2:8">
      <c r="B599" s="5"/>
      <c r="H599" s="16"/>
    </row>
    <row r="600" spans="2:8">
      <c r="B600" s="5"/>
      <c r="H600" s="16"/>
    </row>
    <row r="601" spans="2:8">
      <c r="B601" s="5"/>
      <c r="H601" s="16"/>
    </row>
    <row r="602" spans="2:8">
      <c r="B602" s="5"/>
      <c r="H602" s="16"/>
    </row>
    <row r="603" spans="2:8">
      <c r="B603" s="5"/>
      <c r="H603" s="16"/>
    </row>
    <row r="604" spans="2:8">
      <c r="B604" s="5"/>
      <c r="H604" s="16"/>
    </row>
    <row r="605" spans="2:8">
      <c r="B605" s="5"/>
      <c r="H605" s="16"/>
    </row>
    <row r="606" spans="2:8">
      <c r="B606" s="5"/>
      <c r="H606" s="16"/>
    </row>
    <row r="607" spans="2:8">
      <c r="B607" s="5"/>
      <c r="H607" s="16"/>
    </row>
    <row r="608" spans="2:8">
      <c r="B608" s="5"/>
      <c r="H608" s="16"/>
    </row>
    <row r="609" spans="2:8">
      <c r="B609" s="5"/>
      <c r="H609" s="16"/>
    </row>
    <row r="610" spans="2:8">
      <c r="B610" s="5"/>
      <c r="H610" s="16"/>
    </row>
    <row r="611" spans="2:8">
      <c r="B611" s="5"/>
      <c r="H611" s="16"/>
    </row>
    <row r="612" spans="2:8">
      <c r="B612" s="5"/>
      <c r="H612" s="16"/>
    </row>
    <row r="613" spans="2:8">
      <c r="B613" s="5"/>
      <c r="H613" s="16"/>
    </row>
    <row r="614" spans="2:8">
      <c r="B614" s="5"/>
      <c r="H614" s="16"/>
    </row>
    <row r="615" spans="2:8">
      <c r="B615" s="5"/>
      <c r="H615" s="16"/>
    </row>
    <row r="616" spans="2:8">
      <c r="B616" s="5"/>
      <c r="H616" s="16"/>
    </row>
    <row r="617" spans="2:8">
      <c r="B617" s="5"/>
      <c r="H617" s="16"/>
    </row>
    <row r="618" spans="2:8">
      <c r="B618" s="5"/>
      <c r="H618" s="16"/>
    </row>
    <row r="619" spans="2:8">
      <c r="B619" s="5"/>
      <c r="H619" s="16"/>
    </row>
    <row r="620" spans="2:8">
      <c r="B620" s="5"/>
      <c r="H620" s="16"/>
    </row>
    <row r="621" spans="2:8">
      <c r="B621" s="5"/>
      <c r="H621" s="16"/>
    </row>
    <row r="622" spans="2:8">
      <c r="B622" s="5"/>
      <c r="H622" s="16"/>
    </row>
    <row r="623" spans="2:8">
      <c r="B623" s="5"/>
      <c r="H623" s="16"/>
    </row>
    <row r="624" spans="2:8">
      <c r="B624" s="5"/>
      <c r="H624" s="16"/>
    </row>
    <row r="625" spans="2:8">
      <c r="B625" s="5"/>
      <c r="H625" s="16"/>
    </row>
    <row r="626" spans="2:8">
      <c r="B626" s="5"/>
      <c r="H626" s="16"/>
    </row>
    <row r="627" spans="2:8">
      <c r="B627" s="5"/>
      <c r="H627" s="16"/>
    </row>
    <row r="628" spans="2:8">
      <c r="B628" s="5"/>
      <c r="H628" s="16"/>
    </row>
    <row r="629" spans="2:8">
      <c r="B629" s="5"/>
      <c r="H629" s="16"/>
    </row>
    <row r="630" spans="2:8">
      <c r="B630" s="5"/>
      <c r="H630" s="16"/>
    </row>
    <row r="631" spans="2:8">
      <c r="B631" s="5"/>
      <c r="H631" s="16"/>
    </row>
    <row r="632" spans="2:8">
      <c r="B632" s="5"/>
      <c r="H632" s="16"/>
    </row>
    <row r="633" spans="2:8">
      <c r="B633" s="5"/>
      <c r="H633" s="16"/>
    </row>
    <row r="634" spans="2:8">
      <c r="B634" s="5"/>
      <c r="H634" s="16"/>
    </row>
    <row r="635" spans="2:8">
      <c r="B635" s="5"/>
      <c r="H635" s="16"/>
    </row>
    <row r="636" spans="2:8">
      <c r="B636" s="5"/>
      <c r="H636" s="16"/>
    </row>
    <row r="637" spans="2:8">
      <c r="B637" s="5"/>
      <c r="H637" s="16"/>
    </row>
    <row r="638" spans="2:8">
      <c r="B638" s="5"/>
      <c r="H638" s="16"/>
    </row>
    <row r="639" spans="2:8">
      <c r="B639" s="5"/>
      <c r="H639" s="16"/>
    </row>
    <row r="640" spans="2:8">
      <c r="B640" s="5"/>
      <c r="H640" s="16"/>
    </row>
    <row r="641" spans="2:8">
      <c r="B641" s="5"/>
      <c r="H641" s="16"/>
    </row>
    <row r="642" spans="2:8">
      <c r="B642" s="5"/>
      <c r="H642" s="16"/>
    </row>
    <row r="643" spans="2:8">
      <c r="B643" s="5"/>
      <c r="H643" s="16"/>
    </row>
    <row r="644" spans="2:8">
      <c r="B644" s="5"/>
      <c r="H644" s="16"/>
    </row>
    <row r="645" spans="2:8">
      <c r="B645" s="5"/>
      <c r="H645" s="16"/>
    </row>
    <row r="646" spans="2:8">
      <c r="B646" s="5"/>
      <c r="H646" s="16"/>
    </row>
    <row r="647" spans="2:8">
      <c r="B647" s="5"/>
      <c r="H647" s="16"/>
    </row>
    <row r="648" spans="2:8">
      <c r="B648" s="5"/>
      <c r="H648" s="16"/>
    </row>
    <row r="649" spans="2:8">
      <c r="B649" s="5"/>
      <c r="H649" s="16"/>
    </row>
    <row r="650" spans="2:8">
      <c r="B650" s="5"/>
      <c r="H650" s="16"/>
    </row>
    <row r="651" spans="2:8">
      <c r="B651" s="5"/>
      <c r="H651" s="16"/>
    </row>
    <row r="652" spans="2:8">
      <c r="B652" s="5"/>
      <c r="H652" s="16"/>
    </row>
    <row r="653" spans="2:8">
      <c r="B653" s="5"/>
      <c r="H653" s="16"/>
    </row>
    <row r="654" spans="2:8">
      <c r="B654" s="5"/>
      <c r="H654" s="16"/>
    </row>
    <row r="655" spans="2:8">
      <c r="B655" s="5"/>
      <c r="H655" s="16"/>
    </row>
    <row r="656" spans="2:8">
      <c r="B656" s="5"/>
      <c r="H656" s="16"/>
    </row>
    <row r="657" spans="2:8">
      <c r="B657" s="5"/>
      <c r="H657" s="16"/>
    </row>
    <row r="658" spans="2:8">
      <c r="B658" s="5"/>
      <c r="H658" s="16"/>
    </row>
    <row r="659" spans="2:8">
      <c r="B659" s="5"/>
      <c r="H659" s="16"/>
    </row>
    <row r="660" spans="2:8">
      <c r="B660" s="5"/>
      <c r="H660" s="16"/>
    </row>
    <row r="661" spans="2:8">
      <c r="B661" s="5"/>
      <c r="H661" s="16"/>
    </row>
    <row r="662" spans="2:8">
      <c r="B662" s="5"/>
      <c r="H662" s="16"/>
    </row>
    <row r="663" spans="2:8">
      <c r="B663" s="5"/>
      <c r="H663" s="16"/>
    </row>
    <row r="664" spans="2:8">
      <c r="B664" s="5"/>
      <c r="H664" s="16"/>
    </row>
    <row r="665" spans="2:8">
      <c r="B665" s="5"/>
      <c r="H665" s="16"/>
    </row>
    <row r="666" spans="2:8">
      <c r="B666" s="5"/>
      <c r="H666" s="16"/>
    </row>
    <row r="667" spans="2:8">
      <c r="B667" s="5"/>
      <c r="H667" s="16"/>
    </row>
    <row r="668" spans="2:8">
      <c r="B668" s="5"/>
      <c r="H668" s="16"/>
    </row>
    <row r="669" spans="2:8">
      <c r="B669" s="5"/>
      <c r="H669" s="16"/>
    </row>
    <row r="670" spans="2:8">
      <c r="B670" s="5"/>
      <c r="H670" s="16"/>
    </row>
    <row r="671" spans="2:8">
      <c r="B671" s="5"/>
      <c r="H671" s="16"/>
    </row>
    <row r="672" spans="2:8">
      <c r="B672" s="5"/>
      <c r="H672" s="16"/>
    </row>
    <row r="673" spans="2:8">
      <c r="B673" s="5"/>
      <c r="H673" s="16"/>
    </row>
    <row r="674" spans="2:8">
      <c r="B674" s="5"/>
      <c r="H674" s="16"/>
    </row>
    <row r="675" spans="2:8">
      <c r="B675" s="5"/>
      <c r="H675" s="16"/>
    </row>
    <row r="676" spans="2:8">
      <c r="B676" s="5"/>
      <c r="H676" s="16"/>
    </row>
    <row r="677" spans="2:8">
      <c r="B677" s="5"/>
      <c r="H677" s="16"/>
    </row>
    <row r="678" spans="2:8">
      <c r="B678" s="5"/>
      <c r="H678" s="16"/>
    </row>
    <row r="679" spans="2:8">
      <c r="B679" s="5"/>
      <c r="H679" s="16"/>
    </row>
    <row r="680" spans="2:8">
      <c r="B680" s="5"/>
      <c r="H680" s="16"/>
    </row>
    <row r="681" spans="2:8">
      <c r="B681" s="5"/>
      <c r="H681" s="16"/>
    </row>
    <row r="682" spans="2:8">
      <c r="B682" s="5"/>
      <c r="H682" s="16"/>
    </row>
    <row r="683" spans="2:8">
      <c r="B683" s="5"/>
      <c r="H683" s="16"/>
    </row>
    <row r="684" spans="2:8">
      <c r="B684" s="5"/>
      <c r="H684" s="16"/>
    </row>
    <row r="685" spans="2:8">
      <c r="B685" s="5"/>
      <c r="H685" s="16"/>
    </row>
    <row r="686" spans="2:8">
      <c r="B686" s="5"/>
      <c r="H686" s="16"/>
    </row>
    <row r="687" spans="2:8">
      <c r="B687" s="5"/>
      <c r="H687" s="16"/>
    </row>
    <row r="688" spans="2:8">
      <c r="B688" s="5"/>
      <c r="H688" s="16"/>
    </row>
    <row r="689" spans="2:8">
      <c r="B689" s="5"/>
      <c r="H689" s="16"/>
    </row>
    <row r="690" spans="2:8">
      <c r="B690" s="5"/>
      <c r="H690" s="16"/>
    </row>
    <row r="691" spans="2:8">
      <c r="B691" s="5"/>
      <c r="H691" s="16"/>
    </row>
    <row r="692" spans="2:8">
      <c r="B692" s="5"/>
      <c r="H692" s="16"/>
    </row>
    <row r="693" spans="2:8">
      <c r="B693" s="5"/>
      <c r="H693" s="16"/>
    </row>
    <row r="694" spans="2:8">
      <c r="B694" s="5"/>
      <c r="H694" s="16"/>
    </row>
    <row r="695" spans="2:8">
      <c r="B695" s="5"/>
      <c r="H695" s="16"/>
    </row>
    <row r="696" spans="2:8">
      <c r="B696" s="5"/>
      <c r="H696" s="16"/>
    </row>
    <row r="697" spans="2:8">
      <c r="B697" s="5"/>
      <c r="H697" s="16"/>
    </row>
    <row r="698" spans="2:8">
      <c r="B698" s="5"/>
      <c r="H698" s="16"/>
    </row>
    <row r="699" spans="2:8">
      <c r="B699" s="5"/>
      <c r="H699" s="16"/>
    </row>
    <row r="700" spans="2:8">
      <c r="B700" s="5"/>
      <c r="H700" s="16"/>
    </row>
    <row r="701" spans="2:8">
      <c r="B701" s="5"/>
      <c r="H701" s="16"/>
    </row>
    <row r="702" spans="2:8">
      <c r="B702" s="5"/>
      <c r="H702" s="16"/>
    </row>
    <row r="703" spans="2:8">
      <c r="B703" s="5"/>
      <c r="H703" s="16"/>
    </row>
    <row r="704" spans="2:8">
      <c r="B704" s="5"/>
      <c r="H704" s="16"/>
    </row>
    <row r="705" spans="2:8">
      <c r="B705" s="5"/>
      <c r="H705" s="16"/>
    </row>
    <row r="706" spans="2:8">
      <c r="B706" s="5"/>
      <c r="H706" s="16"/>
    </row>
    <row r="707" spans="2:8">
      <c r="B707" s="5"/>
      <c r="H707" s="16"/>
    </row>
    <row r="708" spans="2:8">
      <c r="B708" s="5"/>
      <c r="H708" s="16"/>
    </row>
    <row r="709" spans="2:8">
      <c r="B709" s="5"/>
      <c r="H709" s="16"/>
    </row>
    <row r="710" spans="2:8">
      <c r="B710" s="5"/>
      <c r="H710" s="16"/>
    </row>
    <row r="711" spans="2:8">
      <c r="B711" s="5"/>
      <c r="H711" s="16"/>
    </row>
    <row r="712" spans="2:8">
      <c r="B712" s="5"/>
      <c r="H712" s="16"/>
    </row>
    <row r="713" spans="2:8">
      <c r="B713" s="5"/>
      <c r="H713" s="16"/>
    </row>
    <row r="714" spans="2:8">
      <c r="B714" s="5"/>
      <c r="H714" s="16"/>
    </row>
    <row r="715" spans="2:8">
      <c r="B715" s="5"/>
      <c r="H715" s="16"/>
    </row>
    <row r="716" spans="2:8">
      <c r="B716" s="5"/>
      <c r="H716" s="16"/>
    </row>
    <row r="717" spans="2:8">
      <c r="B717" s="5"/>
      <c r="H717" s="16"/>
    </row>
    <row r="718" spans="2:8">
      <c r="B718" s="5"/>
      <c r="H718" s="16"/>
    </row>
    <row r="719" spans="2:8">
      <c r="B719" s="5"/>
      <c r="H719" s="16"/>
    </row>
    <row r="720" spans="2:8">
      <c r="B720" s="5"/>
      <c r="H720" s="16"/>
    </row>
    <row r="721" spans="2:8">
      <c r="B721" s="5"/>
      <c r="H721" s="16"/>
    </row>
    <row r="722" spans="2:8">
      <c r="B722" s="5"/>
      <c r="H722" s="16"/>
    </row>
    <row r="723" spans="2:8">
      <c r="B723" s="5"/>
      <c r="H723" s="16"/>
    </row>
    <row r="724" spans="2:8">
      <c r="B724" s="5"/>
      <c r="H724" s="16"/>
    </row>
    <row r="725" spans="2:8">
      <c r="B725" s="5"/>
      <c r="H725" s="16"/>
    </row>
    <row r="726" spans="2:8">
      <c r="B726" s="5"/>
      <c r="H726" s="16"/>
    </row>
    <row r="727" spans="2:8">
      <c r="B727" s="5"/>
      <c r="H727" s="16"/>
    </row>
    <row r="728" spans="2:8">
      <c r="B728" s="5"/>
      <c r="H728" s="16"/>
    </row>
    <row r="729" spans="2:8">
      <c r="B729" s="5"/>
      <c r="H729" s="16"/>
    </row>
    <row r="730" spans="2:8">
      <c r="B730" s="5"/>
      <c r="H730" s="16"/>
    </row>
    <row r="731" spans="2:8">
      <c r="B731" s="5"/>
      <c r="H731" s="16"/>
    </row>
    <row r="732" spans="2:8">
      <c r="B732" s="5"/>
      <c r="H732" s="16"/>
    </row>
    <row r="733" spans="2:8">
      <c r="B733" s="5"/>
      <c r="H733" s="16"/>
    </row>
    <row r="734" spans="2:8">
      <c r="B734" s="5"/>
      <c r="H734" s="16"/>
    </row>
    <row r="735" spans="2:8">
      <c r="B735" s="5"/>
      <c r="H735" s="16"/>
    </row>
    <row r="736" spans="2:8">
      <c r="B736" s="5"/>
      <c r="H736" s="16"/>
    </row>
    <row r="737" spans="2:8">
      <c r="B737" s="5"/>
      <c r="H737" s="16"/>
    </row>
    <row r="738" spans="2:8">
      <c r="B738" s="5"/>
      <c r="H738" s="16"/>
    </row>
    <row r="739" spans="2:8">
      <c r="B739" s="5"/>
      <c r="H739" s="16"/>
    </row>
    <row r="740" spans="2:8">
      <c r="B740" s="5"/>
      <c r="H740" s="16"/>
    </row>
    <row r="741" spans="2:8">
      <c r="B741" s="5"/>
      <c r="H741" s="16"/>
    </row>
    <row r="742" spans="2:8">
      <c r="B742" s="5"/>
      <c r="H742" s="16"/>
    </row>
    <row r="743" spans="2:8">
      <c r="B743" s="5"/>
      <c r="H743" s="16"/>
    </row>
    <row r="744" spans="2:8">
      <c r="B744" s="5"/>
      <c r="H744" s="16"/>
    </row>
    <row r="745" spans="2:8">
      <c r="B745" s="5"/>
      <c r="H745" s="16"/>
    </row>
    <row r="746" spans="2:8">
      <c r="B746" s="5"/>
      <c r="H746" s="16"/>
    </row>
    <row r="747" spans="2:8">
      <c r="B747" s="5"/>
      <c r="H747" s="16"/>
    </row>
    <row r="748" spans="2:8">
      <c r="B748" s="5"/>
      <c r="H748" s="16"/>
    </row>
    <row r="749" spans="2:8">
      <c r="B749" s="5"/>
      <c r="H749" s="16"/>
    </row>
    <row r="750" spans="2:8">
      <c r="B750" s="5"/>
      <c r="H750" s="16"/>
    </row>
    <row r="751" spans="2:8">
      <c r="B751" s="5"/>
      <c r="H751" s="16"/>
    </row>
    <row r="752" spans="2:8">
      <c r="B752" s="5"/>
      <c r="H752" s="16"/>
    </row>
    <row r="753" spans="2:8">
      <c r="B753" s="5"/>
      <c r="H753" s="16"/>
    </row>
    <row r="754" spans="2:8">
      <c r="B754" s="5"/>
      <c r="H754" s="16"/>
    </row>
    <row r="755" spans="2:8">
      <c r="B755" s="5"/>
      <c r="H755" s="16"/>
    </row>
    <row r="756" spans="2:8">
      <c r="B756" s="5"/>
      <c r="H756" s="16"/>
    </row>
    <row r="757" spans="2:8">
      <c r="B757" s="5"/>
      <c r="H757" s="16"/>
    </row>
    <row r="758" spans="2:8">
      <c r="B758" s="5"/>
      <c r="H758" s="16"/>
    </row>
    <row r="759" spans="2:8">
      <c r="B759" s="5"/>
      <c r="H759" s="16"/>
    </row>
    <row r="760" spans="2:8">
      <c r="B760" s="5"/>
      <c r="H760" s="16"/>
    </row>
    <row r="761" spans="2:8">
      <c r="B761" s="5"/>
      <c r="H761" s="16"/>
    </row>
    <row r="762" spans="2:8">
      <c r="B762" s="5"/>
      <c r="H762" s="16"/>
    </row>
    <row r="763" spans="2:8">
      <c r="B763" s="5"/>
      <c r="H763" s="16"/>
    </row>
    <row r="764" spans="2:8">
      <c r="B764" s="5"/>
      <c r="H764" s="16"/>
    </row>
    <row r="765" spans="2:8">
      <c r="B765" s="5"/>
      <c r="H765" s="16"/>
    </row>
    <row r="766" spans="2:8">
      <c r="B766" s="5"/>
      <c r="H766" s="16"/>
    </row>
    <row r="767" spans="2:8">
      <c r="B767" s="5"/>
      <c r="H767" s="16"/>
    </row>
    <row r="768" spans="2:8">
      <c r="B768" s="5"/>
      <c r="H768" s="16"/>
    </row>
    <row r="769" spans="2:8">
      <c r="B769" s="5"/>
      <c r="H769" s="16"/>
    </row>
    <row r="770" spans="2:8">
      <c r="B770" s="5"/>
      <c r="H770" s="16"/>
    </row>
    <row r="771" spans="2:8">
      <c r="B771" s="5"/>
      <c r="H771" s="16"/>
    </row>
    <row r="772" spans="2:8">
      <c r="B772" s="5"/>
      <c r="H772" s="16"/>
    </row>
    <row r="773" spans="2:8">
      <c r="B773" s="5"/>
      <c r="H773" s="16"/>
    </row>
    <row r="774" spans="2:8">
      <c r="B774" s="5"/>
      <c r="H774" s="16"/>
    </row>
    <row r="775" spans="2:8">
      <c r="B775" s="5"/>
      <c r="H775" s="16"/>
    </row>
    <row r="776" spans="2:8">
      <c r="B776" s="5"/>
      <c r="H776" s="16"/>
    </row>
    <row r="777" spans="2:8">
      <c r="B777" s="5"/>
      <c r="H777" s="16"/>
    </row>
    <row r="778" spans="2:8">
      <c r="B778" s="5"/>
      <c r="H778" s="16"/>
    </row>
    <row r="779" spans="2:8">
      <c r="B779" s="5"/>
      <c r="H779" s="16"/>
    </row>
    <row r="780" spans="2:8">
      <c r="B780" s="5"/>
      <c r="H780" s="16"/>
    </row>
    <row r="781" spans="2:8">
      <c r="B781" s="5"/>
      <c r="H781" s="16"/>
    </row>
    <row r="782" spans="2:8">
      <c r="B782" s="5"/>
      <c r="H782" s="16"/>
    </row>
    <row r="783" spans="2:8">
      <c r="B783" s="5"/>
      <c r="H783" s="16"/>
    </row>
    <row r="784" spans="2:8">
      <c r="B784" s="5"/>
      <c r="H784" s="16"/>
    </row>
    <row r="785" spans="2:8">
      <c r="B785" s="5"/>
      <c r="H785" s="16"/>
    </row>
    <row r="786" spans="2:8">
      <c r="B786" s="5"/>
      <c r="H786" s="16"/>
    </row>
    <row r="787" spans="2:8">
      <c r="B787" s="5"/>
      <c r="H787" s="16"/>
    </row>
    <row r="788" spans="2:8">
      <c r="B788" s="5"/>
      <c r="H788" s="16"/>
    </row>
    <row r="789" spans="2:8">
      <c r="B789" s="5"/>
      <c r="H789" s="16"/>
    </row>
    <row r="790" spans="2:8">
      <c r="B790" s="5"/>
      <c r="H790" s="16"/>
    </row>
    <row r="791" spans="2:8">
      <c r="B791" s="5"/>
      <c r="H791" s="16"/>
    </row>
    <row r="792" spans="2:8">
      <c r="B792" s="5"/>
      <c r="H792" s="16"/>
    </row>
    <row r="793" spans="2:8">
      <c r="B793" s="5"/>
      <c r="H793" s="16"/>
    </row>
    <row r="794" spans="2:8">
      <c r="B794" s="5"/>
      <c r="H794" s="16"/>
    </row>
    <row r="795" spans="2:8">
      <c r="B795" s="5"/>
      <c r="H795" s="16"/>
    </row>
    <row r="796" spans="2:8">
      <c r="B796" s="5"/>
      <c r="H796" s="16"/>
    </row>
    <row r="797" spans="2:8">
      <c r="B797" s="5"/>
      <c r="H797" s="16"/>
    </row>
    <row r="798" spans="2:8">
      <c r="B798" s="5"/>
      <c r="H798" s="16"/>
    </row>
    <row r="799" spans="2:8">
      <c r="B799" s="5"/>
      <c r="H799" s="16"/>
    </row>
    <row r="800" spans="2:8">
      <c r="B800" s="5"/>
      <c r="H800" s="16"/>
    </row>
    <row r="801" spans="2:8">
      <c r="B801" s="5"/>
      <c r="H801" s="16"/>
    </row>
    <row r="802" spans="2:8">
      <c r="B802" s="5"/>
      <c r="H802" s="16"/>
    </row>
    <row r="803" spans="2:8">
      <c r="B803" s="5"/>
      <c r="H803" s="16"/>
    </row>
    <row r="804" spans="2:8">
      <c r="B804" s="5"/>
      <c r="H804" s="16"/>
    </row>
    <row r="805" spans="2:8">
      <c r="B805" s="5"/>
      <c r="H805" s="16"/>
    </row>
    <row r="806" spans="2:8">
      <c r="B806" s="5"/>
      <c r="H806" s="16"/>
    </row>
    <row r="807" spans="2:8">
      <c r="B807" s="5"/>
      <c r="H807" s="16"/>
    </row>
    <row r="808" spans="2:8">
      <c r="B808" s="5"/>
      <c r="H808" s="16"/>
    </row>
    <row r="809" spans="2:8">
      <c r="B809" s="5"/>
      <c r="H809" s="16"/>
    </row>
    <row r="810" spans="2:8">
      <c r="B810" s="5"/>
      <c r="H810" s="16"/>
    </row>
    <row r="811" spans="2:8">
      <c r="B811" s="5"/>
      <c r="H811" s="16"/>
    </row>
    <row r="812" spans="2:8">
      <c r="B812" s="5"/>
      <c r="H812" s="16"/>
    </row>
    <row r="813" spans="2:8">
      <c r="B813" s="5"/>
      <c r="H813" s="16"/>
    </row>
    <row r="814" spans="2:8">
      <c r="B814" s="5"/>
      <c r="H814" s="16"/>
    </row>
    <row r="815" spans="2:8">
      <c r="B815" s="5"/>
      <c r="H815" s="16"/>
    </row>
    <row r="816" spans="2:8">
      <c r="B816" s="5"/>
      <c r="H816" s="16"/>
    </row>
    <row r="817" spans="2:8">
      <c r="B817" s="5"/>
      <c r="H817" s="16"/>
    </row>
    <row r="818" spans="2:8">
      <c r="B818" s="5"/>
      <c r="H818" s="16"/>
    </row>
    <row r="819" spans="2:8">
      <c r="B819" s="5"/>
      <c r="H819" s="16"/>
    </row>
    <row r="820" spans="2:8">
      <c r="B820" s="5"/>
      <c r="H820" s="16"/>
    </row>
    <row r="821" spans="2:8">
      <c r="B821" s="5"/>
      <c r="H821" s="16"/>
    </row>
    <row r="822" spans="2:8">
      <c r="B822" s="5"/>
      <c r="H822" s="16"/>
    </row>
    <row r="823" spans="2:8">
      <c r="B823" s="5"/>
      <c r="H823" s="16"/>
    </row>
    <row r="824" spans="2:8">
      <c r="B824" s="5"/>
      <c r="H824" s="16"/>
    </row>
    <row r="825" spans="2:8">
      <c r="B825" s="5"/>
      <c r="H825" s="16"/>
    </row>
    <row r="826" spans="2:8">
      <c r="B826" s="5"/>
      <c r="H826" s="16"/>
    </row>
    <row r="827" spans="2:8">
      <c r="B827" s="5"/>
      <c r="H827" s="16"/>
    </row>
    <row r="828" spans="2:8">
      <c r="B828" s="5"/>
      <c r="H828" s="16"/>
    </row>
    <row r="829" spans="2:8">
      <c r="B829" s="5"/>
      <c r="H829" s="16"/>
    </row>
    <row r="830" spans="2:8">
      <c r="B830" s="5"/>
      <c r="H830" s="16"/>
    </row>
    <row r="831" spans="2:8">
      <c r="B831" s="5"/>
      <c r="H831" s="16"/>
    </row>
    <row r="832" spans="2:8">
      <c r="B832" s="5"/>
      <c r="H832" s="16"/>
    </row>
    <row r="833" spans="2:8">
      <c r="B833" s="5"/>
      <c r="H833" s="16"/>
    </row>
    <row r="834" spans="2:8">
      <c r="B834" s="5"/>
      <c r="H834" s="16"/>
    </row>
    <row r="835" spans="2:8">
      <c r="B835" s="5"/>
      <c r="H835" s="16"/>
    </row>
    <row r="836" spans="2:8">
      <c r="B836" s="5"/>
      <c r="H836" s="16"/>
    </row>
    <row r="837" spans="2:8">
      <c r="B837" s="5"/>
      <c r="H837" s="16"/>
    </row>
    <row r="838" spans="2:8">
      <c r="B838" s="5"/>
      <c r="H838" s="16"/>
    </row>
    <row r="839" spans="2:8">
      <c r="B839" s="5"/>
      <c r="H839" s="16"/>
    </row>
    <row r="840" spans="2:8">
      <c r="B840" s="5"/>
      <c r="H840" s="16"/>
    </row>
    <row r="841" spans="2:8">
      <c r="B841" s="5"/>
      <c r="H841" s="16"/>
    </row>
    <row r="842" spans="2:8">
      <c r="B842" s="5"/>
      <c r="H842" s="16"/>
    </row>
    <row r="843" spans="2:8">
      <c r="B843" s="5"/>
      <c r="H843" s="16"/>
    </row>
    <row r="844" spans="2:8">
      <c r="B844" s="5"/>
      <c r="H844" s="16"/>
    </row>
    <row r="845" spans="2:8">
      <c r="B845" s="5"/>
      <c r="H845" s="16"/>
    </row>
    <row r="846" spans="2:8">
      <c r="B846" s="5"/>
      <c r="H846" s="16"/>
    </row>
    <row r="847" spans="2:8">
      <c r="B847" s="5"/>
      <c r="H847" s="16"/>
    </row>
    <row r="848" spans="2:8">
      <c r="B848" s="5"/>
      <c r="H848" s="16"/>
    </row>
    <row r="849" spans="2:8">
      <c r="B849" s="5"/>
      <c r="H849" s="16"/>
    </row>
    <row r="850" spans="2:8">
      <c r="B850" s="5"/>
      <c r="H850" s="16"/>
    </row>
    <row r="851" spans="2:8">
      <c r="B851" s="5"/>
      <c r="H851" s="16"/>
    </row>
    <row r="852" spans="2:8">
      <c r="B852" s="5"/>
      <c r="H852" s="16"/>
    </row>
    <row r="853" spans="2:8">
      <c r="B853" s="5"/>
      <c r="H853" s="16"/>
    </row>
    <row r="854" spans="2:8">
      <c r="B854" s="5"/>
      <c r="H854" s="16"/>
    </row>
    <row r="855" spans="2:8">
      <c r="B855" s="5"/>
      <c r="H855" s="16"/>
    </row>
    <row r="856" spans="2:8">
      <c r="B856" s="5"/>
      <c r="H856" s="16"/>
    </row>
    <row r="857" spans="2:8">
      <c r="B857" s="5"/>
      <c r="H857" s="16"/>
    </row>
    <row r="858" spans="2:8">
      <c r="B858" s="5"/>
      <c r="H858" s="16"/>
    </row>
    <row r="859" spans="2:8">
      <c r="B859" s="5"/>
      <c r="H859" s="16"/>
    </row>
    <row r="860" spans="2:8">
      <c r="B860" s="5"/>
      <c r="H860" s="16"/>
    </row>
    <row r="861" spans="2:8">
      <c r="B861" s="5"/>
      <c r="H861" s="16"/>
    </row>
    <row r="862" spans="2:8">
      <c r="B862" s="5"/>
      <c r="H862" s="16"/>
    </row>
    <row r="863" spans="2:8">
      <c r="B863" s="5"/>
      <c r="H863" s="16"/>
    </row>
    <row r="864" spans="2:8">
      <c r="B864" s="5"/>
      <c r="H864" s="16"/>
    </row>
    <row r="865" spans="2:8">
      <c r="B865" s="5"/>
      <c r="H865" s="16"/>
    </row>
    <row r="866" spans="2:8">
      <c r="B866" s="5"/>
      <c r="H866" s="16"/>
    </row>
    <row r="867" spans="2:8">
      <c r="B867" s="5"/>
      <c r="H867" s="16"/>
    </row>
    <row r="868" spans="2:8">
      <c r="B868" s="5"/>
      <c r="H868" s="16"/>
    </row>
    <row r="869" spans="2:8">
      <c r="B869" s="5"/>
      <c r="H869" s="16"/>
    </row>
    <row r="870" spans="2:8">
      <c r="B870" s="5"/>
      <c r="H870" s="16"/>
    </row>
    <row r="871" spans="2:8">
      <c r="B871" s="5"/>
      <c r="H871" s="16"/>
    </row>
    <row r="872" spans="2:8">
      <c r="B872" s="5"/>
      <c r="H872" s="16"/>
    </row>
    <row r="873" spans="2:8">
      <c r="B873" s="5"/>
      <c r="H873" s="16"/>
    </row>
    <row r="874" spans="2:8">
      <c r="B874" s="5"/>
      <c r="H874" s="16"/>
    </row>
    <row r="875" spans="2:8">
      <c r="B875" s="5"/>
      <c r="H875" s="16"/>
    </row>
    <row r="876" spans="2:8">
      <c r="B876" s="5"/>
      <c r="H876" s="16"/>
    </row>
    <row r="877" spans="2:8">
      <c r="B877" s="5"/>
      <c r="H877" s="16"/>
    </row>
    <row r="878" spans="2:8">
      <c r="B878" s="5"/>
      <c r="H878" s="16"/>
    </row>
    <row r="879" spans="2:8">
      <c r="B879" s="5"/>
      <c r="H879" s="16"/>
    </row>
    <row r="880" spans="2:8">
      <c r="B880" s="5"/>
      <c r="H880" s="16"/>
    </row>
    <row r="881" spans="2:8">
      <c r="B881" s="5"/>
      <c r="H881" s="16"/>
    </row>
    <row r="882" spans="2:8">
      <c r="B882" s="5"/>
      <c r="H882" s="16"/>
    </row>
    <row r="883" spans="2:8">
      <c r="B883" s="5"/>
      <c r="H883" s="16"/>
    </row>
    <row r="884" spans="2:8">
      <c r="B884" s="5"/>
      <c r="H884" s="16"/>
    </row>
    <row r="885" spans="2:8">
      <c r="B885" s="5"/>
      <c r="H885" s="16"/>
    </row>
    <row r="886" spans="2:8">
      <c r="B886" s="5"/>
      <c r="H886" s="16"/>
    </row>
    <row r="887" spans="2:8">
      <c r="B887" s="5"/>
      <c r="H887" s="16"/>
    </row>
    <row r="888" spans="2:8">
      <c r="B888" s="5"/>
      <c r="H888" s="16"/>
    </row>
    <row r="889" spans="2:8">
      <c r="B889" s="5"/>
      <c r="H889" s="16"/>
    </row>
    <row r="890" spans="2:8">
      <c r="B890" s="5"/>
      <c r="H890" s="16"/>
    </row>
    <row r="891" spans="2:8">
      <c r="B891" s="5"/>
      <c r="H891" s="16"/>
    </row>
    <row r="892" spans="2:8">
      <c r="B892" s="5"/>
      <c r="H892" s="16"/>
    </row>
  </sheetData>
  <mergeCells count="27">
    <mergeCell ref="C50:F50"/>
    <mergeCell ref="G50:H50"/>
    <mergeCell ref="C47:F47"/>
    <mergeCell ref="G47:H47"/>
    <mergeCell ref="C48:F48"/>
    <mergeCell ref="G48:H48"/>
    <mergeCell ref="C49:F49"/>
    <mergeCell ref="G49:H49"/>
    <mergeCell ref="C44:F44"/>
    <mergeCell ref="G44:H44"/>
    <mergeCell ref="C45:F45"/>
    <mergeCell ref="G45:H45"/>
    <mergeCell ref="C46:F46"/>
    <mergeCell ref="G46:H46"/>
    <mergeCell ref="C43:F43"/>
    <mergeCell ref="G43:H43"/>
    <mergeCell ref="A4:H4"/>
    <mergeCell ref="A10:F10"/>
    <mergeCell ref="A17:F17"/>
    <mergeCell ref="A23:F23"/>
    <mergeCell ref="A29:F29"/>
    <mergeCell ref="A35:F35"/>
    <mergeCell ref="A38:F38"/>
    <mergeCell ref="C41:F41"/>
    <mergeCell ref="G41:H41"/>
    <mergeCell ref="C42:F42"/>
    <mergeCell ref="G42:H42"/>
  </mergeCells>
  <phoneticPr fontId="24" type="noConversion"/>
  <dataValidations count="1">
    <dataValidation type="list" allowBlank="1" showInputMessage="1" showErrorMessage="1" sqref="B42:B48" xr:uid="{21AD3244-7D51-4043-8FA3-379590CB3B2D}">
      <formula1>$L$41:$L$45</formula1>
    </dataValidation>
  </dataValidations>
  <pageMargins left="0.7" right="0.7" top="0.75" bottom="0.75" header="0.3" footer="0.3"/>
  <pageSetup scale="52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E6686-F136-45F6-B66C-B1C33A1A6465}">
  <sheetPr>
    <pageSetUpPr fitToPage="1"/>
  </sheetPr>
  <dimension ref="A1:L892"/>
  <sheetViews>
    <sheetView showZeros="0" view="pageBreakPreview" zoomScale="60" zoomScaleNormal="70" workbookViewId="0">
      <selection activeCell="A11" sqref="A11"/>
    </sheetView>
  </sheetViews>
  <sheetFormatPr defaultColWidth="10.875" defaultRowHeight="18.75"/>
  <cols>
    <col min="1" max="1" width="35.625" customWidth="1"/>
    <col min="2" max="2" width="14.625" style="16" customWidth="1"/>
    <col min="3" max="7" width="15.875" style="5" customWidth="1"/>
    <col min="8" max="8" width="15.875" style="17" customWidth="1"/>
    <col min="9" max="9" width="9" style="5"/>
    <col min="10" max="12" width="0" style="5" hidden="1" customWidth="1"/>
    <col min="13" max="16384" width="10.875" style="5"/>
  </cols>
  <sheetData>
    <row r="1" spans="1:10" customFormat="1" ht="15.75">
      <c r="A1" s="41"/>
      <c r="B1" s="42"/>
      <c r="C1" s="43"/>
      <c r="D1" s="43"/>
      <c r="E1" s="45" t="s">
        <v>25</v>
      </c>
      <c r="F1" s="43"/>
      <c r="G1" s="45" t="s">
        <v>26</v>
      </c>
      <c r="H1" s="44">
        <v>6</v>
      </c>
    </row>
    <row r="2" spans="1:10">
      <c r="A2" s="30"/>
      <c r="B2" s="18" t="s">
        <v>27</v>
      </c>
      <c r="C2" s="19" t="s">
        <v>28</v>
      </c>
      <c r="D2" s="19" t="s">
        <v>29</v>
      </c>
      <c r="E2" s="18" t="s">
        <v>30</v>
      </c>
      <c r="F2" s="18" t="s">
        <v>31</v>
      </c>
      <c r="G2" s="18" t="s">
        <v>32</v>
      </c>
      <c r="H2" s="18" t="s">
        <v>33</v>
      </c>
    </row>
    <row r="3" spans="1:10" ht="21" customHeight="1">
      <c r="A3" s="31" t="s">
        <v>7</v>
      </c>
      <c r="B3" s="6">
        <f>'Week. 10'!H3+1</f>
        <v>46096</v>
      </c>
      <c r="C3" s="6">
        <f>B3+1</f>
        <v>46097</v>
      </c>
      <c r="D3" s="6">
        <f t="shared" ref="D3:H3" si="0">C3+1</f>
        <v>46098</v>
      </c>
      <c r="E3" s="6">
        <f t="shared" si="0"/>
        <v>46099</v>
      </c>
      <c r="F3" s="6">
        <f t="shared" si="0"/>
        <v>46100</v>
      </c>
      <c r="G3" s="6">
        <f t="shared" si="0"/>
        <v>46101</v>
      </c>
      <c r="H3" s="6">
        <f t="shared" si="0"/>
        <v>46102</v>
      </c>
    </row>
    <row r="4" spans="1:10" s="7" customFormat="1">
      <c r="A4" s="181" t="s">
        <v>135</v>
      </c>
      <c r="B4" s="181"/>
      <c r="C4" s="181"/>
      <c r="D4" s="181"/>
      <c r="E4" s="181"/>
      <c r="F4" s="181"/>
      <c r="G4" s="181"/>
      <c r="H4" s="181"/>
    </row>
    <row r="5" spans="1:10" s="7" customFormat="1" ht="26.1" customHeight="1">
      <c r="A5" s="32" t="s">
        <v>8</v>
      </c>
      <c r="B5" s="27"/>
      <c r="C5" s="27"/>
      <c r="D5" s="27"/>
      <c r="E5" s="27"/>
      <c r="F5" s="27"/>
      <c r="G5" s="27"/>
      <c r="H5" s="27"/>
    </row>
    <row r="6" spans="1:10" s="7" customFormat="1" ht="26.1" customHeight="1">
      <c r="A6" s="4" t="s">
        <v>23</v>
      </c>
      <c r="B6" s="62"/>
      <c r="C6" s="62"/>
      <c r="D6" s="62"/>
      <c r="E6" s="62"/>
      <c r="F6" s="62"/>
      <c r="G6" s="62"/>
      <c r="H6" s="62"/>
    </row>
    <row r="7" spans="1:10" s="7" customFormat="1" ht="21.95" customHeight="1">
      <c r="A7" s="32" t="s">
        <v>35</v>
      </c>
      <c r="B7" s="27"/>
      <c r="C7" s="28"/>
      <c r="D7" s="28"/>
      <c r="E7" s="28"/>
      <c r="F7" s="28"/>
      <c r="G7" s="28"/>
      <c r="H7" s="27"/>
    </row>
    <row r="8" spans="1:10" s="7" customFormat="1" ht="24.95" customHeight="1">
      <c r="A8" s="83" t="s">
        <v>36</v>
      </c>
      <c r="B8" s="84">
        <f t="shared" ref="B8:H8" si="1">B5+B6+B7</f>
        <v>0</v>
      </c>
      <c r="C8" s="84">
        <f t="shared" si="1"/>
        <v>0</v>
      </c>
      <c r="D8" s="84">
        <f t="shared" si="1"/>
        <v>0</v>
      </c>
      <c r="E8" s="84">
        <f t="shared" si="1"/>
        <v>0</v>
      </c>
      <c r="F8" s="84">
        <f t="shared" si="1"/>
        <v>0</v>
      </c>
      <c r="G8" s="84">
        <f t="shared" si="1"/>
        <v>0</v>
      </c>
      <c r="H8" s="84">
        <f t="shared" si="1"/>
        <v>0</v>
      </c>
    </row>
    <row r="9" spans="1:10" s="7" customFormat="1" ht="24.95" customHeight="1">
      <c r="A9" s="33"/>
      <c r="B9" s="29"/>
      <c r="C9" s="29"/>
      <c r="D9" s="29"/>
      <c r="E9" s="29"/>
      <c r="F9" s="29"/>
      <c r="G9" s="63" t="s">
        <v>37</v>
      </c>
      <c r="H9" s="64">
        <f>SUM(B8:H8)</f>
        <v>0</v>
      </c>
    </row>
    <row r="10" spans="1:10" s="7" customFormat="1">
      <c r="A10" s="182" t="s">
        <v>136</v>
      </c>
      <c r="B10" s="183"/>
      <c r="C10" s="183"/>
      <c r="D10" s="183"/>
      <c r="E10" s="183"/>
      <c r="F10" s="183"/>
      <c r="G10" s="65" t="s">
        <v>39</v>
      </c>
      <c r="H10" s="66">
        <v>-0.15</v>
      </c>
      <c r="I10" s="5"/>
      <c r="J10" s="26"/>
    </row>
    <row r="11" spans="1:10" s="7" customFormat="1" ht="30" customHeight="1">
      <c r="A11" s="39" t="s">
        <v>8</v>
      </c>
      <c r="B11" s="9"/>
      <c r="C11" s="9"/>
      <c r="D11" s="67"/>
      <c r="E11" s="67"/>
      <c r="F11" s="9"/>
      <c r="G11" s="68"/>
      <c r="H11" s="69"/>
    </row>
    <row r="12" spans="1:10" s="7" customFormat="1" ht="30" customHeight="1">
      <c r="A12" s="70" t="s">
        <v>23</v>
      </c>
      <c r="B12" s="59"/>
      <c r="C12" s="58"/>
      <c r="D12" s="58"/>
      <c r="E12" s="58"/>
      <c r="F12" s="58"/>
      <c r="G12" s="58"/>
      <c r="H12" s="58"/>
    </row>
    <row r="13" spans="1:10" s="7" customFormat="1" ht="30" customHeight="1">
      <c r="A13" s="3" t="s">
        <v>35</v>
      </c>
      <c r="B13" s="8"/>
      <c r="C13" s="8"/>
      <c r="D13" s="8"/>
      <c r="E13" s="8"/>
      <c r="F13" s="8"/>
      <c r="G13" s="8"/>
      <c r="H13" s="8"/>
    </row>
    <row r="14" spans="1:10" s="7" customFormat="1" ht="27" customHeight="1">
      <c r="A14" s="85" t="s">
        <v>36</v>
      </c>
      <c r="B14" s="87">
        <f t="shared" ref="B14:H14" si="2">B11+B12+B13</f>
        <v>0</v>
      </c>
      <c r="C14" s="87">
        <f t="shared" si="2"/>
        <v>0</v>
      </c>
      <c r="D14" s="87">
        <f t="shared" si="2"/>
        <v>0</v>
      </c>
      <c r="E14" s="87">
        <f t="shared" si="2"/>
        <v>0</v>
      </c>
      <c r="F14" s="87">
        <f t="shared" si="2"/>
        <v>0</v>
      </c>
      <c r="G14" s="87">
        <f t="shared" si="2"/>
        <v>0</v>
      </c>
      <c r="H14" s="87">
        <f t="shared" si="2"/>
        <v>0</v>
      </c>
    </row>
    <row r="15" spans="1:10" s="7" customFormat="1" ht="24.95" customHeight="1">
      <c r="A15" s="86" t="s">
        <v>40</v>
      </c>
      <c r="B15" s="92" t="e">
        <f t="shared" ref="B15:H15" si="3">(B14-B8)/B8</f>
        <v>#DIV/0!</v>
      </c>
      <c r="C15" s="93" t="e">
        <f t="shared" si="3"/>
        <v>#DIV/0!</v>
      </c>
      <c r="D15" s="93" t="e">
        <f t="shared" si="3"/>
        <v>#DIV/0!</v>
      </c>
      <c r="E15" s="93" t="e">
        <f t="shared" si="3"/>
        <v>#DIV/0!</v>
      </c>
      <c r="F15" s="93" t="e">
        <f t="shared" si="3"/>
        <v>#DIV/0!</v>
      </c>
      <c r="G15" s="93" t="e">
        <f t="shared" si="3"/>
        <v>#DIV/0!</v>
      </c>
      <c r="H15" s="94" t="e">
        <f t="shared" si="3"/>
        <v>#DIV/0!</v>
      </c>
      <c r="I15" s="71"/>
    </row>
    <row r="16" spans="1:10" ht="30" customHeight="1">
      <c r="B16" s="88"/>
      <c r="C16" s="88"/>
      <c r="D16" s="88"/>
      <c r="E16" s="88"/>
      <c r="F16" s="89"/>
      <c r="G16" s="90" t="s">
        <v>37</v>
      </c>
      <c r="H16" s="91">
        <f>SUM(B14:H14)</f>
        <v>0</v>
      </c>
    </row>
    <row r="17" spans="1:8" s="7" customFormat="1">
      <c r="A17" s="184" t="s">
        <v>41</v>
      </c>
      <c r="B17" s="185"/>
      <c r="C17" s="185"/>
      <c r="D17" s="185"/>
      <c r="E17" s="185"/>
      <c r="F17" s="185"/>
      <c r="G17" s="72" t="s">
        <v>42</v>
      </c>
      <c r="H17" s="66" t="e">
        <f>(H16-H9)/H9</f>
        <v>#DIV/0!</v>
      </c>
    </row>
    <row r="18" spans="1:8" s="7" customFormat="1" ht="30" customHeight="1">
      <c r="A18" s="35" t="s">
        <v>43</v>
      </c>
      <c r="B18" s="12"/>
      <c r="C18" s="12"/>
      <c r="D18" s="73"/>
      <c r="E18" s="73"/>
      <c r="F18" s="12"/>
      <c r="G18" s="24"/>
      <c r="H18" s="74"/>
    </row>
    <row r="19" spans="1:8" s="7" customFormat="1" ht="30" customHeight="1">
      <c r="A19" s="35" t="str">
        <f>'Week. 10'!A31</f>
        <v>Non Meal Plan Meals</v>
      </c>
      <c r="B19" s="12"/>
      <c r="C19" s="12"/>
      <c r="D19" s="73"/>
      <c r="E19" s="73"/>
      <c r="F19" s="12"/>
      <c r="G19" s="24"/>
      <c r="H19" s="74"/>
    </row>
    <row r="20" spans="1:8" s="7" customFormat="1" ht="30" customHeight="1">
      <c r="A20" s="35" t="str">
        <f>'Week. 10'!A32</f>
        <v xml:space="preserve">Meal numbers </v>
      </c>
      <c r="B20" s="95"/>
      <c r="C20" s="95"/>
      <c r="D20" s="67"/>
      <c r="E20" s="67"/>
      <c r="F20" s="95"/>
      <c r="G20" s="95"/>
      <c r="H20" s="75"/>
    </row>
    <row r="21" spans="1:8" s="7" customFormat="1" ht="24.95" customHeight="1">
      <c r="A21" s="36" t="s">
        <v>45</v>
      </c>
      <c r="B21" s="77">
        <f t="shared" ref="B21:G21" si="4">B18+B20</f>
        <v>0</v>
      </c>
      <c r="C21" s="77">
        <f t="shared" si="4"/>
        <v>0</v>
      </c>
      <c r="D21" s="96"/>
      <c r="E21" s="96"/>
      <c r="F21" s="77">
        <f t="shared" si="4"/>
        <v>0</v>
      </c>
      <c r="G21" s="77">
        <f t="shared" si="4"/>
        <v>0</v>
      </c>
      <c r="H21" s="77">
        <f>H18+H20</f>
        <v>0</v>
      </c>
    </row>
    <row r="22" spans="1:8" s="7" customFormat="1" ht="24.95" customHeight="1">
      <c r="A22" s="34" t="s">
        <v>40</v>
      </c>
      <c r="B22" s="92" t="e">
        <f>(B21-B5)/B5</f>
        <v>#DIV/0!</v>
      </c>
      <c r="C22" s="93" t="e">
        <f>(C21-C5)/C5</f>
        <v>#DIV/0!</v>
      </c>
      <c r="D22" s="99"/>
      <c r="E22" s="99"/>
      <c r="F22" s="93" t="e">
        <f>(F21-F5)/F5</f>
        <v>#DIV/0!</v>
      </c>
      <c r="G22" s="93" t="e">
        <f>(G21-G5)/G5</f>
        <v>#DIV/0!</v>
      </c>
      <c r="H22" s="94" t="e">
        <f>(H21-H5)/H5</f>
        <v>#DIV/0!</v>
      </c>
    </row>
    <row r="23" spans="1:8" s="7" customFormat="1">
      <c r="A23" s="186" t="s">
        <v>46</v>
      </c>
      <c r="B23" s="187"/>
      <c r="C23" s="187"/>
      <c r="D23" s="187"/>
      <c r="E23" s="187"/>
      <c r="F23" s="188" t="s">
        <v>47</v>
      </c>
      <c r="G23" s="97"/>
      <c r="H23" s="98"/>
    </row>
    <row r="24" spans="1:8" s="7" customFormat="1" ht="30" customHeight="1">
      <c r="A24" s="35" t="s">
        <v>43</v>
      </c>
      <c r="B24" s="11"/>
      <c r="C24" s="12"/>
      <c r="D24" s="12"/>
      <c r="E24" s="12"/>
      <c r="F24" s="12"/>
      <c r="G24" s="12"/>
      <c r="H24" s="11"/>
    </row>
    <row r="25" spans="1:8" s="7" customFormat="1" ht="30" customHeight="1">
      <c r="A25" s="35" t="str">
        <f>A19</f>
        <v>Non Meal Plan Meals</v>
      </c>
      <c r="B25" s="117"/>
      <c r="C25" s="117"/>
      <c r="D25" s="117"/>
      <c r="E25" s="117"/>
      <c r="F25" s="117"/>
      <c r="G25" s="117"/>
      <c r="H25" s="117"/>
    </row>
    <row r="26" spans="1:8" s="7" customFormat="1" ht="30" customHeight="1">
      <c r="A26" s="35" t="str">
        <f>A20</f>
        <v xml:space="preserve">Meal numbers </v>
      </c>
      <c r="B26" s="11"/>
      <c r="C26" s="11"/>
      <c r="D26" s="11"/>
      <c r="E26" s="11"/>
      <c r="F26" s="11"/>
      <c r="G26" s="11"/>
      <c r="H26" s="11"/>
    </row>
    <row r="27" spans="1:8" s="7" customFormat="1" ht="27.95" customHeight="1">
      <c r="A27" s="36" t="s">
        <v>50</v>
      </c>
      <c r="B27" s="100">
        <f>B24+B25+B26</f>
        <v>0</v>
      </c>
      <c r="C27" s="100">
        <f t="shared" ref="C27:G27" si="5">C24+C25+C26</f>
        <v>0</v>
      </c>
      <c r="D27" s="100">
        <f t="shared" si="5"/>
        <v>0</v>
      </c>
      <c r="E27" s="100">
        <f t="shared" si="5"/>
        <v>0</v>
      </c>
      <c r="F27" s="100">
        <f t="shared" si="5"/>
        <v>0</v>
      </c>
      <c r="G27" s="100">
        <f t="shared" si="5"/>
        <v>0</v>
      </c>
      <c r="H27" s="100">
        <f>H24+H25+H26</f>
        <v>0</v>
      </c>
    </row>
    <row r="28" spans="1:8" s="7" customFormat="1" ht="24.95" customHeight="1">
      <c r="A28" s="34" t="s">
        <v>40</v>
      </c>
      <c r="B28" s="92" t="e">
        <f t="shared" ref="B28:H28" si="6">(B27-B6)/B6</f>
        <v>#DIV/0!</v>
      </c>
      <c r="C28" s="93" t="e">
        <f t="shared" si="6"/>
        <v>#DIV/0!</v>
      </c>
      <c r="D28" s="93" t="e">
        <f t="shared" si="6"/>
        <v>#DIV/0!</v>
      </c>
      <c r="E28" s="93" t="e">
        <f t="shared" si="6"/>
        <v>#DIV/0!</v>
      </c>
      <c r="F28" s="93" t="e">
        <f t="shared" si="6"/>
        <v>#DIV/0!</v>
      </c>
      <c r="G28" s="93" t="e">
        <f t="shared" si="6"/>
        <v>#DIV/0!</v>
      </c>
      <c r="H28" s="94" t="e">
        <f t="shared" si="6"/>
        <v>#DIV/0!</v>
      </c>
    </row>
    <row r="29" spans="1:8" s="7" customFormat="1">
      <c r="A29" s="189" t="s">
        <v>51</v>
      </c>
      <c r="B29" s="190"/>
      <c r="C29" s="190"/>
      <c r="D29" s="190"/>
      <c r="E29" s="190"/>
      <c r="F29" s="191" t="s">
        <v>35</v>
      </c>
      <c r="G29" s="101"/>
      <c r="H29" s="102"/>
    </row>
    <row r="30" spans="1:8" s="7" customFormat="1" ht="30" customHeight="1">
      <c r="A30" s="35" t="s">
        <v>43</v>
      </c>
      <c r="B30" s="10"/>
      <c r="C30" s="9"/>
      <c r="D30" s="9"/>
      <c r="E30" s="9"/>
      <c r="F30" s="9"/>
      <c r="G30" s="9"/>
      <c r="H30" s="10"/>
    </row>
    <row r="31" spans="1:8" s="7" customFormat="1" ht="30" customHeight="1">
      <c r="A31" s="35" t="str">
        <f>A25</f>
        <v>Non Meal Plan Meals</v>
      </c>
      <c r="B31" s="60"/>
      <c r="C31" s="60"/>
      <c r="D31" s="60"/>
      <c r="E31" s="60"/>
      <c r="F31" s="60"/>
      <c r="G31" s="60"/>
      <c r="H31" s="60"/>
    </row>
    <row r="32" spans="1:8" s="7" customFormat="1" ht="30" customHeight="1">
      <c r="A32" s="35" t="str">
        <f>A26</f>
        <v xml:space="preserve">Meal numbers </v>
      </c>
      <c r="B32" s="10"/>
      <c r="C32" s="10"/>
      <c r="D32" s="10"/>
      <c r="E32" s="10"/>
      <c r="F32" s="10"/>
      <c r="G32" s="10"/>
      <c r="H32" s="10"/>
    </row>
    <row r="33" spans="1:12" s="7" customFormat="1" ht="30.95" customHeight="1">
      <c r="A33" s="36" t="s">
        <v>53</v>
      </c>
      <c r="B33" s="103">
        <f>B30+B31+B32</f>
        <v>0</v>
      </c>
      <c r="C33" s="103">
        <f t="shared" ref="C33:G33" si="7">C30+C31+C32</f>
        <v>0</v>
      </c>
      <c r="D33" s="103">
        <f t="shared" si="7"/>
        <v>0</v>
      </c>
      <c r="E33" s="103">
        <f t="shared" si="7"/>
        <v>0</v>
      </c>
      <c r="F33" s="103">
        <f t="shared" si="7"/>
        <v>0</v>
      </c>
      <c r="G33" s="103">
        <f t="shared" si="7"/>
        <v>0</v>
      </c>
      <c r="H33" s="103">
        <f>H30+H31+H32</f>
        <v>0</v>
      </c>
    </row>
    <row r="34" spans="1:12" s="7" customFormat="1" ht="24.95" customHeight="1">
      <c r="A34" s="34" t="s">
        <v>40</v>
      </c>
      <c r="B34" s="92" t="e">
        <f t="shared" ref="B34:H34" si="8">(B33-B7)/B7</f>
        <v>#DIV/0!</v>
      </c>
      <c r="C34" s="93" t="e">
        <f t="shared" si="8"/>
        <v>#DIV/0!</v>
      </c>
      <c r="D34" s="93" t="e">
        <f t="shared" si="8"/>
        <v>#DIV/0!</v>
      </c>
      <c r="E34" s="93" t="e">
        <f t="shared" si="8"/>
        <v>#DIV/0!</v>
      </c>
      <c r="F34" s="93" t="e">
        <f t="shared" si="8"/>
        <v>#DIV/0!</v>
      </c>
      <c r="G34" s="93" t="e">
        <f t="shared" si="8"/>
        <v>#DIV/0!</v>
      </c>
      <c r="H34" s="94" t="e">
        <f t="shared" si="8"/>
        <v>#DIV/0!</v>
      </c>
    </row>
    <row r="35" spans="1:12" s="7" customFormat="1">
      <c r="A35" s="192" t="s">
        <v>54</v>
      </c>
      <c r="B35" s="193"/>
      <c r="C35" s="193"/>
      <c r="D35" s="193"/>
      <c r="E35" s="193"/>
      <c r="F35" s="194" t="s">
        <v>35</v>
      </c>
      <c r="G35" s="104"/>
      <c r="H35" s="105"/>
    </row>
    <row r="36" spans="1:12" s="7" customFormat="1" ht="30.95" customHeight="1">
      <c r="A36" s="78" t="s">
        <v>55</v>
      </c>
      <c r="B36" s="77">
        <f>B33+B27+B21</f>
        <v>0</v>
      </c>
      <c r="C36" s="77">
        <f t="shared" ref="C36:H36" si="9">C33+C27+C21</f>
        <v>0</v>
      </c>
      <c r="D36" s="77">
        <f t="shared" si="9"/>
        <v>0</v>
      </c>
      <c r="E36" s="77">
        <f t="shared" si="9"/>
        <v>0</v>
      </c>
      <c r="F36" s="77">
        <f t="shared" si="9"/>
        <v>0</v>
      </c>
      <c r="G36" s="77">
        <f t="shared" si="9"/>
        <v>0</v>
      </c>
      <c r="H36" s="77">
        <f t="shared" si="9"/>
        <v>0</v>
      </c>
    </row>
    <row r="37" spans="1:12" s="7" customFormat="1" ht="24.95" customHeight="1">
      <c r="A37" s="34" t="s">
        <v>40</v>
      </c>
      <c r="B37" s="92" t="e">
        <f t="shared" ref="B37:H37" si="10">(B36-B8)/B8</f>
        <v>#DIV/0!</v>
      </c>
      <c r="C37" s="93" t="e">
        <f t="shared" si="10"/>
        <v>#DIV/0!</v>
      </c>
      <c r="D37" s="93" t="e">
        <f t="shared" si="10"/>
        <v>#DIV/0!</v>
      </c>
      <c r="E37" s="93" t="e">
        <f t="shared" si="10"/>
        <v>#DIV/0!</v>
      </c>
      <c r="F37" s="93" t="e">
        <f t="shared" si="10"/>
        <v>#DIV/0!</v>
      </c>
      <c r="G37" s="93" t="e">
        <f t="shared" si="10"/>
        <v>#DIV/0!</v>
      </c>
      <c r="H37" s="94" t="e">
        <f t="shared" si="10"/>
        <v>#DIV/0!</v>
      </c>
    </row>
    <row r="38" spans="1:12" ht="30" customHeight="1">
      <c r="A38" s="195"/>
      <c r="B38" s="196"/>
      <c r="C38" s="196"/>
      <c r="D38" s="196"/>
      <c r="E38" s="196"/>
      <c r="F38" s="196"/>
      <c r="G38" s="106" t="s">
        <v>37</v>
      </c>
      <c r="H38" s="107">
        <f>SUM(B36:H36)</f>
        <v>0</v>
      </c>
    </row>
    <row r="39" spans="1:12" s="7" customFormat="1" ht="24.95" customHeight="1">
      <c r="A39" s="37"/>
      <c r="B39" s="25"/>
      <c r="C39" s="25"/>
      <c r="D39" s="25"/>
      <c r="E39" s="25"/>
      <c r="F39" s="25"/>
      <c r="G39" s="79" t="s">
        <v>40</v>
      </c>
      <c r="H39" s="80" t="e">
        <f>(H38-H9)/H9</f>
        <v>#DIV/0!</v>
      </c>
    </row>
    <row r="40" spans="1:12" s="7" customFormat="1" ht="24.95" customHeight="1">
      <c r="A40" s="37"/>
      <c r="B40" s="25"/>
      <c r="C40" s="25"/>
      <c r="D40" s="25"/>
      <c r="E40" s="25"/>
      <c r="F40" s="25"/>
      <c r="G40" s="81" t="s">
        <v>56</v>
      </c>
      <c r="H40" s="82" t="e">
        <f>(H38-H16)/H16</f>
        <v>#DIV/0!</v>
      </c>
    </row>
    <row r="41" spans="1:12" s="46" customFormat="1" ht="23.1" customHeight="1">
      <c r="A41" s="40"/>
      <c r="B41" s="47" t="s">
        <v>57</v>
      </c>
      <c r="C41" s="197" t="s">
        <v>58</v>
      </c>
      <c r="D41" s="197"/>
      <c r="E41" s="197"/>
      <c r="F41" s="197"/>
      <c r="G41" s="198">
        <v>2022</v>
      </c>
      <c r="H41" s="199"/>
    </row>
    <row r="42" spans="1:12" ht="30" customHeight="1">
      <c r="A42" s="1" t="s">
        <v>60</v>
      </c>
      <c r="B42" s="57" t="s">
        <v>59</v>
      </c>
      <c r="C42" s="180"/>
      <c r="D42" s="180"/>
      <c r="E42" s="180"/>
      <c r="F42" s="180"/>
      <c r="G42" s="178"/>
      <c r="H42" s="179"/>
      <c r="L42" s="7" t="s">
        <v>61</v>
      </c>
    </row>
    <row r="43" spans="1:12" ht="30" customHeight="1">
      <c r="A43" s="1" t="s">
        <v>1</v>
      </c>
      <c r="B43" s="57" t="s">
        <v>59</v>
      </c>
      <c r="C43" s="180"/>
      <c r="D43" s="180"/>
      <c r="E43" s="180"/>
      <c r="F43" s="180"/>
      <c r="G43" s="178"/>
      <c r="H43" s="179"/>
      <c r="L43" s="5" t="s">
        <v>62</v>
      </c>
    </row>
    <row r="44" spans="1:12" ht="30" customHeight="1">
      <c r="A44" s="1" t="s">
        <v>2</v>
      </c>
      <c r="B44" s="57" t="s">
        <v>59</v>
      </c>
      <c r="C44" s="175"/>
      <c r="D44" s="175"/>
      <c r="E44" s="175"/>
      <c r="F44" s="175"/>
      <c r="G44" s="176"/>
      <c r="H44" s="177"/>
      <c r="L44" s="5" t="s">
        <v>63</v>
      </c>
    </row>
    <row r="45" spans="1:12" ht="30" customHeight="1">
      <c r="A45" s="1" t="s">
        <v>3</v>
      </c>
      <c r="B45" s="57" t="s">
        <v>59</v>
      </c>
      <c r="C45" s="175"/>
      <c r="D45" s="175"/>
      <c r="E45" s="175"/>
      <c r="F45" s="175"/>
      <c r="G45" s="176"/>
      <c r="H45" s="177"/>
      <c r="L45" s="5" t="s">
        <v>64</v>
      </c>
    </row>
    <row r="46" spans="1:12" ht="30.95" customHeight="1">
      <c r="A46" s="1" t="s">
        <v>4</v>
      </c>
      <c r="B46" s="57" t="s">
        <v>59</v>
      </c>
      <c r="C46" s="175"/>
      <c r="D46" s="175"/>
      <c r="E46" s="175"/>
      <c r="F46" s="175"/>
      <c r="G46" s="176"/>
      <c r="H46" s="177"/>
    </row>
    <row r="47" spans="1:12" ht="30" customHeight="1">
      <c r="A47" s="1" t="s">
        <v>5</v>
      </c>
      <c r="B47" s="57" t="s">
        <v>59</v>
      </c>
      <c r="C47" s="175"/>
      <c r="D47" s="175"/>
      <c r="E47" s="175"/>
      <c r="F47" s="175"/>
      <c r="G47" s="176"/>
      <c r="H47" s="177"/>
    </row>
    <row r="48" spans="1:12" ht="30" customHeight="1">
      <c r="A48" s="1" t="s">
        <v>6</v>
      </c>
      <c r="B48" s="57" t="s">
        <v>59</v>
      </c>
      <c r="C48" s="175"/>
      <c r="D48" s="175"/>
      <c r="E48" s="175"/>
      <c r="F48" s="175"/>
      <c r="G48" s="176"/>
      <c r="H48" s="177"/>
    </row>
    <row r="49" spans="1:8" ht="30" customHeight="1">
      <c r="A49" s="1"/>
      <c r="B49" s="14"/>
      <c r="C49" s="175"/>
      <c r="D49" s="175"/>
      <c r="E49" s="175"/>
      <c r="F49" s="175"/>
      <c r="G49" s="176"/>
      <c r="H49" s="177"/>
    </row>
    <row r="50" spans="1:8" ht="30" customHeight="1">
      <c r="A50" s="2"/>
      <c r="B50" s="14"/>
      <c r="C50" s="175"/>
      <c r="D50" s="175"/>
      <c r="E50" s="175"/>
      <c r="F50" s="175"/>
      <c r="G50" s="176"/>
      <c r="H50" s="177"/>
    </row>
    <row r="51" spans="1:8">
      <c r="A51" s="30"/>
      <c r="B51" s="18" t="s">
        <v>27</v>
      </c>
      <c r="C51" s="18" t="s">
        <v>28</v>
      </c>
      <c r="D51" s="18" t="s">
        <v>65</v>
      </c>
      <c r="E51" s="18" t="s">
        <v>30</v>
      </c>
      <c r="F51" s="18" t="s">
        <v>66</v>
      </c>
      <c r="G51" s="18" t="s">
        <v>32</v>
      </c>
      <c r="H51" s="18" t="s">
        <v>33</v>
      </c>
    </row>
    <row r="52" spans="1:8">
      <c r="A52" s="38" t="s">
        <v>67</v>
      </c>
      <c r="B52" s="15"/>
      <c r="C52" s="20"/>
      <c r="D52" s="20"/>
      <c r="E52" s="20"/>
      <c r="F52" s="20"/>
      <c r="G52" s="20"/>
      <c r="H52" s="15"/>
    </row>
    <row r="53" spans="1:8" customFormat="1" ht="15.75">
      <c r="A53" s="48" t="s">
        <v>68</v>
      </c>
      <c r="B53" s="22"/>
      <c r="C53" s="21"/>
      <c r="D53" s="21"/>
      <c r="E53" s="21"/>
      <c r="F53" s="21"/>
      <c r="G53" s="23" t="s">
        <v>37</v>
      </c>
      <c r="H53" s="23">
        <f>SUM(B52:H52)</f>
        <v>0</v>
      </c>
    </row>
    <row r="54" spans="1:8">
      <c r="A54" s="30"/>
      <c r="B54" s="18" t="s">
        <v>27</v>
      </c>
      <c r="C54" s="18" t="s">
        <v>28</v>
      </c>
      <c r="D54" s="18" t="s">
        <v>65</v>
      </c>
      <c r="E54" s="18" t="s">
        <v>30</v>
      </c>
      <c r="F54" s="18" t="s">
        <v>66</v>
      </c>
      <c r="G54" s="18" t="s">
        <v>32</v>
      </c>
      <c r="H54" s="18" t="s">
        <v>33</v>
      </c>
    </row>
    <row r="55" spans="1:8">
      <c r="A55" s="38" t="s">
        <v>69</v>
      </c>
      <c r="B55" s="51"/>
      <c r="C55" s="52"/>
      <c r="D55" s="52"/>
      <c r="E55" s="52"/>
      <c r="F55" s="52"/>
      <c r="G55" s="20"/>
      <c r="H55" s="15"/>
    </row>
    <row r="56" spans="1:8" customFormat="1" ht="15.75">
      <c r="A56" s="49" t="s">
        <v>70</v>
      </c>
      <c r="B56" s="53"/>
      <c r="C56" s="53" t="s">
        <v>71</v>
      </c>
      <c r="D56" s="54"/>
      <c r="E56" s="54"/>
      <c r="F56" s="55"/>
      <c r="G56" s="50" t="s">
        <v>37</v>
      </c>
      <c r="H56" s="23"/>
    </row>
    <row r="57" spans="1:8">
      <c r="H57" s="16"/>
    </row>
    <row r="58" spans="1:8">
      <c r="H58" s="16"/>
    </row>
    <row r="59" spans="1:8">
      <c r="H59" s="16"/>
    </row>
    <row r="60" spans="1:8">
      <c r="H60" s="16"/>
    </row>
    <row r="61" spans="1:8">
      <c r="H61" s="16"/>
    </row>
    <row r="62" spans="1:8">
      <c r="H62" s="16"/>
    </row>
    <row r="63" spans="1:8">
      <c r="H63" s="16"/>
    </row>
    <row r="64" spans="1:8">
      <c r="B64" s="5"/>
      <c r="H64" s="16"/>
    </row>
    <row r="65" spans="2:8">
      <c r="B65" s="5"/>
      <c r="H65" s="16"/>
    </row>
    <row r="66" spans="2:8">
      <c r="B66" s="5"/>
      <c r="H66" s="16"/>
    </row>
    <row r="67" spans="2:8">
      <c r="B67" s="5"/>
      <c r="H67" s="16"/>
    </row>
    <row r="68" spans="2:8">
      <c r="B68" s="5"/>
      <c r="H68" s="16"/>
    </row>
    <row r="69" spans="2:8">
      <c r="B69" s="5"/>
      <c r="H69" s="16"/>
    </row>
    <row r="70" spans="2:8">
      <c r="B70" s="5"/>
      <c r="H70" s="16"/>
    </row>
    <row r="71" spans="2:8">
      <c r="B71" s="5"/>
      <c r="H71" s="16"/>
    </row>
    <row r="72" spans="2:8">
      <c r="B72" s="5"/>
      <c r="H72" s="16"/>
    </row>
    <row r="73" spans="2:8">
      <c r="B73" s="5"/>
      <c r="H73" s="16"/>
    </row>
    <row r="74" spans="2:8">
      <c r="B74" s="5"/>
      <c r="H74" s="16"/>
    </row>
    <row r="75" spans="2:8">
      <c r="B75" s="5"/>
      <c r="H75" s="16"/>
    </row>
    <row r="76" spans="2:8">
      <c r="B76" s="5"/>
      <c r="H76" s="16"/>
    </row>
    <row r="77" spans="2:8">
      <c r="B77" s="5"/>
      <c r="H77" s="16"/>
    </row>
    <row r="78" spans="2:8">
      <c r="B78" s="5"/>
      <c r="H78" s="16"/>
    </row>
    <row r="79" spans="2:8">
      <c r="B79" s="5"/>
      <c r="H79" s="16"/>
    </row>
    <row r="80" spans="2:8">
      <c r="B80" s="5"/>
      <c r="H80" s="16"/>
    </row>
    <row r="81" spans="2:8">
      <c r="B81" s="5"/>
      <c r="H81" s="16"/>
    </row>
    <row r="82" spans="2:8">
      <c r="B82" s="5"/>
      <c r="H82" s="16"/>
    </row>
    <row r="83" spans="2:8">
      <c r="B83" s="5"/>
      <c r="H83" s="16"/>
    </row>
    <row r="84" spans="2:8">
      <c r="B84" s="5"/>
      <c r="H84" s="16"/>
    </row>
    <row r="85" spans="2:8">
      <c r="B85" s="5"/>
      <c r="H85" s="16"/>
    </row>
    <row r="86" spans="2:8">
      <c r="B86" s="5"/>
      <c r="H86" s="16"/>
    </row>
    <row r="87" spans="2:8">
      <c r="B87" s="5"/>
      <c r="H87" s="16"/>
    </row>
    <row r="88" spans="2:8">
      <c r="B88" s="5"/>
      <c r="H88" s="16"/>
    </row>
    <row r="89" spans="2:8">
      <c r="B89" s="5"/>
      <c r="H89" s="16"/>
    </row>
    <row r="90" spans="2:8">
      <c r="B90" s="5"/>
      <c r="H90" s="16"/>
    </row>
    <row r="91" spans="2:8">
      <c r="B91" s="5"/>
      <c r="H91" s="16"/>
    </row>
    <row r="92" spans="2:8">
      <c r="B92" s="5"/>
      <c r="H92" s="16"/>
    </row>
    <row r="93" spans="2:8">
      <c r="B93" s="5"/>
      <c r="H93" s="16"/>
    </row>
    <row r="94" spans="2:8">
      <c r="B94" s="5"/>
      <c r="H94" s="16"/>
    </row>
    <row r="95" spans="2:8">
      <c r="B95" s="5"/>
      <c r="H95" s="16"/>
    </row>
    <row r="96" spans="2:8">
      <c r="B96" s="5"/>
      <c r="H96" s="16"/>
    </row>
    <row r="97" spans="2:8">
      <c r="B97" s="5"/>
      <c r="H97" s="16"/>
    </row>
    <row r="98" spans="2:8">
      <c r="B98" s="5"/>
      <c r="H98" s="16"/>
    </row>
    <row r="99" spans="2:8">
      <c r="B99" s="5"/>
      <c r="H99" s="16"/>
    </row>
    <row r="100" spans="2:8">
      <c r="B100" s="5"/>
      <c r="H100" s="16"/>
    </row>
    <row r="101" spans="2:8">
      <c r="B101" s="5"/>
      <c r="H101" s="16"/>
    </row>
    <row r="102" spans="2:8">
      <c r="B102" s="5"/>
      <c r="H102" s="16"/>
    </row>
    <row r="103" spans="2:8">
      <c r="B103" s="5"/>
      <c r="H103" s="16"/>
    </row>
    <row r="104" spans="2:8">
      <c r="B104" s="5"/>
      <c r="H104" s="16"/>
    </row>
    <row r="105" spans="2:8">
      <c r="B105" s="5"/>
      <c r="H105" s="16"/>
    </row>
    <row r="106" spans="2:8">
      <c r="B106" s="5"/>
      <c r="H106" s="16"/>
    </row>
    <row r="107" spans="2:8">
      <c r="B107" s="5"/>
      <c r="H107" s="16"/>
    </row>
    <row r="108" spans="2:8">
      <c r="B108" s="5"/>
      <c r="H108" s="16"/>
    </row>
    <row r="109" spans="2:8">
      <c r="B109" s="5"/>
      <c r="H109" s="16"/>
    </row>
    <row r="110" spans="2:8">
      <c r="B110" s="5"/>
      <c r="H110" s="16"/>
    </row>
    <row r="111" spans="2:8">
      <c r="B111" s="5"/>
      <c r="H111" s="16"/>
    </row>
    <row r="112" spans="2:8">
      <c r="B112" s="5"/>
      <c r="H112" s="16"/>
    </row>
    <row r="113" spans="2:8">
      <c r="B113" s="5"/>
      <c r="H113" s="16"/>
    </row>
    <row r="114" spans="2:8">
      <c r="B114" s="5"/>
      <c r="H114" s="16"/>
    </row>
    <row r="115" spans="2:8">
      <c r="B115" s="5"/>
      <c r="H115" s="16"/>
    </row>
    <row r="116" spans="2:8">
      <c r="B116" s="5"/>
      <c r="H116" s="16"/>
    </row>
    <row r="117" spans="2:8">
      <c r="B117" s="5"/>
      <c r="H117" s="16"/>
    </row>
    <row r="118" spans="2:8">
      <c r="B118" s="5"/>
      <c r="H118" s="16"/>
    </row>
    <row r="119" spans="2:8">
      <c r="B119" s="5"/>
      <c r="H119" s="16"/>
    </row>
    <row r="120" spans="2:8">
      <c r="B120" s="5"/>
      <c r="H120" s="16"/>
    </row>
    <row r="121" spans="2:8">
      <c r="B121" s="5"/>
      <c r="H121" s="16"/>
    </row>
    <row r="122" spans="2:8">
      <c r="B122" s="5"/>
      <c r="H122" s="16"/>
    </row>
    <row r="123" spans="2:8">
      <c r="B123" s="5"/>
      <c r="H123" s="16"/>
    </row>
    <row r="124" spans="2:8">
      <c r="B124" s="5"/>
      <c r="H124" s="16"/>
    </row>
    <row r="125" spans="2:8">
      <c r="B125" s="5"/>
      <c r="H125" s="16"/>
    </row>
    <row r="126" spans="2:8">
      <c r="B126" s="5"/>
      <c r="H126" s="16"/>
    </row>
    <row r="127" spans="2:8">
      <c r="B127" s="5"/>
      <c r="H127" s="16"/>
    </row>
    <row r="128" spans="2:8">
      <c r="B128" s="5"/>
      <c r="H128" s="16"/>
    </row>
    <row r="129" spans="2:8">
      <c r="B129" s="5"/>
      <c r="H129" s="16"/>
    </row>
    <row r="130" spans="2:8">
      <c r="B130" s="5"/>
      <c r="H130" s="16"/>
    </row>
    <row r="131" spans="2:8">
      <c r="B131" s="5"/>
      <c r="H131" s="16"/>
    </row>
    <row r="132" spans="2:8">
      <c r="B132" s="5"/>
      <c r="H132" s="16"/>
    </row>
    <row r="133" spans="2:8">
      <c r="B133" s="5"/>
      <c r="H133" s="16"/>
    </row>
    <row r="134" spans="2:8">
      <c r="B134" s="5"/>
      <c r="H134" s="16"/>
    </row>
    <row r="135" spans="2:8">
      <c r="B135" s="5"/>
      <c r="H135" s="16"/>
    </row>
    <row r="136" spans="2:8">
      <c r="B136" s="5"/>
      <c r="H136" s="16"/>
    </row>
    <row r="137" spans="2:8">
      <c r="B137" s="5"/>
      <c r="H137" s="16"/>
    </row>
    <row r="138" spans="2:8">
      <c r="B138" s="5"/>
      <c r="H138" s="16"/>
    </row>
    <row r="139" spans="2:8">
      <c r="B139" s="5"/>
      <c r="H139" s="16"/>
    </row>
    <row r="140" spans="2:8">
      <c r="B140" s="5"/>
      <c r="H140" s="16"/>
    </row>
    <row r="141" spans="2:8">
      <c r="B141" s="5"/>
      <c r="H141" s="16"/>
    </row>
    <row r="142" spans="2:8">
      <c r="B142" s="5"/>
      <c r="H142" s="16"/>
    </row>
    <row r="143" spans="2:8">
      <c r="B143" s="5"/>
      <c r="H143" s="16"/>
    </row>
    <row r="144" spans="2:8">
      <c r="B144" s="5"/>
      <c r="H144" s="16"/>
    </row>
    <row r="145" spans="2:8">
      <c r="B145" s="5"/>
      <c r="H145" s="16"/>
    </row>
    <row r="146" spans="2:8">
      <c r="B146" s="5"/>
      <c r="H146" s="16"/>
    </row>
    <row r="147" spans="2:8">
      <c r="B147" s="5"/>
      <c r="H147" s="16"/>
    </row>
    <row r="148" spans="2:8">
      <c r="B148" s="5"/>
      <c r="H148" s="16"/>
    </row>
    <row r="149" spans="2:8">
      <c r="B149" s="5"/>
      <c r="H149" s="16"/>
    </row>
    <row r="150" spans="2:8">
      <c r="B150" s="5"/>
      <c r="H150" s="16"/>
    </row>
    <row r="151" spans="2:8">
      <c r="B151" s="5"/>
      <c r="H151" s="16"/>
    </row>
    <row r="152" spans="2:8">
      <c r="B152" s="5"/>
      <c r="H152" s="16"/>
    </row>
    <row r="153" spans="2:8">
      <c r="B153" s="5"/>
      <c r="H153" s="16"/>
    </row>
    <row r="154" spans="2:8">
      <c r="B154" s="5"/>
      <c r="H154" s="16"/>
    </row>
    <row r="155" spans="2:8">
      <c r="B155" s="5"/>
      <c r="H155" s="16"/>
    </row>
    <row r="156" spans="2:8">
      <c r="B156" s="5"/>
      <c r="H156" s="16"/>
    </row>
    <row r="157" spans="2:8">
      <c r="B157" s="5"/>
      <c r="H157" s="16"/>
    </row>
    <row r="158" spans="2:8">
      <c r="B158" s="5"/>
      <c r="H158" s="16"/>
    </row>
    <row r="159" spans="2:8">
      <c r="B159" s="5"/>
      <c r="H159" s="16"/>
    </row>
    <row r="160" spans="2:8">
      <c r="B160" s="5"/>
      <c r="H160" s="16"/>
    </row>
    <row r="161" spans="2:8">
      <c r="B161" s="5"/>
      <c r="H161" s="16"/>
    </row>
    <row r="162" spans="2:8">
      <c r="B162" s="5"/>
      <c r="H162" s="16"/>
    </row>
    <row r="163" spans="2:8">
      <c r="B163" s="5"/>
      <c r="H163" s="16"/>
    </row>
    <row r="164" spans="2:8">
      <c r="B164" s="5"/>
      <c r="H164" s="16"/>
    </row>
    <row r="165" spans="2:8">
      <c r="B165" s="5"/>
      <c r="H165" s="16"/>
    </row>
    <row r="166" spans="2:8">
      <c r="B166" s="5"/>
      <c r="H166" s="16"/>
    </row>
    <row r="167" spans="2:8">
      <c r="B167" s="5"/>
      <c r="H167" s="16"/>
    </row>
    <row r="168" spans="2:8">
      <c r="B168" s="5"/>
      <c r="H168" s="16"/>
    </row>
    <row r="169" spans="2:8">
      <c r="B169" s="5"/>
      <c r="H169" s="16"/>
    </row>
    <row r="170" spans="2:8">
      <c r="B170" s="5"/>
      <c r="H170" s="16"/>
    </row>
    <row r="171" spans="2:8">
      <c r="B171" s="5"/>
      <c r="H171" s="16"/>
    </row>
    <row r="172" spans="2:8">
      <c r="B172" s="5"/>
      <c r="H172" s="16"/>
    </row>
    <row r="173" spans="2:8">
      <c r="B173" s="5"/>
      <c r="H173" s="16"/>
    </row>
    <row r="174" spans="2:8">
      <c r="B174" s="5"/>
      <c r="H174" s="16"/>
    </row>
    <row r="175" spans="2:8">
      <c r="B175" s="5"/>
      <c r="H175" s="16"/>
    </row>
    <row r="176" spans="2:8">
      <c r="B176" s="5"/>
      <c r="H176" s="16"/>
    </row>
    <row r="177" spans="2:8">
      <c r="B177" s="5"/>
      <c r="H177" s="16"/>
    </row>
    <row r="178" spans="2:8">
      <c r="B178" s="5"/>
      <c r="H178" s="16"/>
    </row>
    <row r="179" spans="2:8">
      <c r="B179" s="5"/>
      <c r="H179" s="16"/>
    </row>
    <row r="180" spans="2:8">
      <c r="B180" s="5"/>
      <c r="H180" s="16"/>
    </row>
    <row r="181" spans="2:8">
      <c r="B181" s="5"/>
      <c r="H181" s="16"/>
    </row>
    <row r="182" spans="2:8">
      <c r="B182" s="5"/>
      <c r="H182" s="16"/>
    </row>
    <row r="183" spans="2:8">
      <c r="B183" s="5"/>
      <c r="H183" s="16"/>
    </row>
    <row r="184" spans="2:8">
      <c r="B184" s="5"/>
      <c r="H184" s="16"/>
    </row>
    <row r="185" spans="2:8">
      <c r="B185" s="5"/>
      <c r="H185" s="16"/>
    </row>
    <row r="186" spans="2:8">
      <c r="B186" s="5"/>
      <c r="H186" s="16"/>
    </row>
    <row r="187" spans="2:8">
      <c r="B187" s="5"/>
      <c r="H187" s="16"/>
    </row>
    <row r="188" spans="2:8">
      <c r="B188" s="5"/>
      <c r="H188" s="16"/>
    </row>
    <row r="189" spans="2:8">
      <c r="B189" s="5"/>
      <c r="H189" s="16"/>
    </row>
    <row r="190" spans="2:8">
      <c r="B190" s="5"/>
      <c r="H190" s="16"/>
    </row>
    <row r="191" spans="2:8">
      <c r="B191" s="5"/>
      <c r="H191" s="16"/>
    </row>
    <row r="192" spans="2:8">
      <c r="B192" s="5"/>
      <c r="H192" s="16"/>
    </row>
    <row r="193" spans="2:8">
      <c r="B193" s="5"/>
      <c r="H193" s="16"/>
    </row>
    <row r="194" spans="2:8">
      <c r="B194" s="5"/>
      <c r="H194" s="16"/>
    </row>
    <row r="195" spans="2:8">
      <c r="B195" s="5"/>
      <c r="H195" s="16"/>
    </row>
    <row r="196" spans="2:8">
      <c r="B196" s="5"/>
      <c r="H196" s="16"/>
    </row>
    <row r="197" spans="2:8">
      <c r="B197" s="5"/>
      <c r="H197" s="16"/>
    </row>
    <row r="198" spans="2:8">
      <c r="B198" s="5"/>
      <c r="H198" s="16"/>
    </row>
    <row r="199" spans="2:8">
      <c r="B199" s="5"/>
      <c r="H199" s="16"/>
    </row>
    <row r="200" spans="2:8">
      <c r="B200" s="5"/>
      <c r="H200" s="16"/>
    </row>
    <row r="201" spans="2:8">
      <c r="B201" s="5"/>
      <c r="H201" s="16"/>
    </row>
    <row r="202" spans="2:8">
      <c r="B202" s="5"/>
      <c r="H202" s="16"/>
    </row>
    <row r="203" spans="2:8">
      <c r="B203" s="5"/>
      <c r="H203" s="16"/>
    </row>
    <row r="204" spans="2:8">
      <c r="B204" s="5"/>
      <c r="H204" s="16"/>
    </row>
    <row r="205" spans="2:8">
      <c r="B205" s="5"/>
      <c r="H205" s="16"/>
    </row>
    <row r="206" spans="2:8">
      <c r="B206" s="5"/>
      <c r="H206" s="16"/>
    </row>
    <row r="207" spans="2:8">
      <c r="B207" s="5"/>
      <c r="H207" s="16"/>
    </row>
    <row r="208" spans="2:8">
      <c r="B208" s="5"/>
      <c r="H208" s="16"/>
    </row>
    <row r="209" spans="2:8">
      <c r="B209" s="5"/>
      <c r="H209" s="16"/>
    </row>
    <row r="210" spans="2:8">
      <c r="B210" s="5"/>
      <c r="H210" s="16"/>
    </row>
    <row r="211" spans="2:8">
      <c r="B211" s="5"/>
      <c r="H211" s="16"/>
    </row>
    <row r="212" spans="2:8">
      <c r="B212" s="5"/>
      <c r="H212" s="16"/>
    </row>
    <row r="213" spans="2:8">
      <c r="B213" s="5"/>
      <c r="H213" s="16"/>
    </row>
    <row r="214" spans="2:8">
      <c r="B214" s="5"/>
      <c r="H214" s="16"/>
    </row>
    <row r="215" spans="2:8">
      <c r="B215" s="5"/>
      <c r="H215" s="16"/>
    </row>
    <row r="216" spans="2:8">
      <c r="B216" s="5"/>
      <c r="H216" s="16"/>
    </row>
    <row r="217" spans="2:8">
      <c r="B217" s="5"/>
      <c r="H217" s="16"/>
    </row>
    <row r="218" spans="2:8">
      <c r="B218" s="5"/>
      <c r="H218" s="16"/>
    </row>
    <row r="219" spans="2:8">
      <c r="B219" s="5"/>
      <c r="H219" s="16"/>
    </row>
    <row r="220" spans="2:8">
      <c r="B220" s="5"/>
      <c r="H220" s="16"/>
    </row>
    <row r="221" spans="2:8">
      <c r="B221" s="5"/>
      <c r="H221" s="16"/>
    </row>
    <row r="222" spans="2:8">
      <c r="B222" s="5"/>
      <c r="H222" s="16"/>
    </row>
    <row r="223" spans="2:8">
      <c r="B223" s="5"/>
      <c r="H223" s="16"/>
    </row>
    <row r="224" spans="2:8">
      <c r="B224" s="5"/>
      <c r="H224" s="16"/>
    </row>
    <row r="225" spans="2:8">
      <c r="B225" s="5"/>
      <c r="H225" s="16"/>
    </row>
    <row r="226" spans="2:8">
      <c r="B226" s="5"/>
      <c r="H226" s="16"/>
    </row>
    <row r="227" spans="2:8">
      <c r="B227" s="5"/>
      <c r="H227" s="16"/>
    </row>
    <row r="228" spans="2:8">
      <c r="B228" s="5"/>
      <c r="H228" s="16"/>
    </row>
    <row r="229" spans="2:8">
      <c r="B229" s="5"/>
      <c r="H229" s="16"/>
    </row>
    <row r="230" spans="2:8">
      <c r="B230" s="5"/>
      <c r="H230" s="16"/>
    </row>
    <row r="231" spans="2:8">
      <c r="B231" s="5"/>
      <c r="H231" s="16"/>
    </row>
    <row r="232" spans="2:8">
      <c r="B232" s="5"/>
      <c r="H232" s="16"/>
    </row>
    <row r="233" spans="2:8">
      <c r="B233" s="5"/>
      <c r="H233" s="16"/>
    </row>
    <row r="234" spans="2:8">
      <c r="B234" s="5"/>
      <c r="H234" s="16"/>
    </row>
    <row r="235" spans="2:8">
      <c r="B235" s="5"/>
      <c r="H235" s="16"/>
    </row>
    <row r="236" spans="2:8">
      <c r="B236" s="5"/>
      <c r="H236" s="16"/>
    </row>
    <row r="237" spans="2:8">
      <c r="B237" s="5"/>
      <c r="H237" s="16"/>
    </row>
    <row r="238" spans="2:8">
      <c r="B238" s="5"/>
      <c r="H238" s="16"/>
    </row>
    <row r="239" spans="2:8">
      <c r="B239" s="5"/>
      <c r="H239" s="16"/>
    </row>
    <row r="240" spans="2:8">
      <c r="B240" s="5"/>
      <c r="H240" s="16"/>
    </row>
    <row r="241" spans="2:8">
      <c r="B241" s="5"/>
      <c r="H241" s="16"/>
    </row>
    <row r="242" spans="2:8">
      <c r="B242" s="5"/>
      <c r="H242" s="16"/>
    </row>
    <row r="243" spans="2:8">
      <c r="B243" s="5"/>
      <c r="H243" s="16"/>
    </row>
    <row r="244" spans="2:8">
      <c r="B244" s="5"/>
      <c r="H244" s="16"/>
    </row>
    <row r="245" spans="2:8">
      <c r="B245" s="5"/>
      <c r="H245" s="16"/>
    </row>
    <row r="246" spans="2:8">
      <c r="B246" s="5"/>
      <c r="H246" s="16"/>
    </row>
    <row r="247" spans="2:8">
      <c r="B247" s="5"/>
      <c r="H247" s="16"/>
    </row>
    <row r="248" spans="2:8">
      <c r="B248" s="5"/>
      <c r="H248" s="16"/>
    </row>
    <row r="249" spans="2:8">
      <c r="B249" s="5"/>
      <c r="H249" s="16"/>
    </row>
    <row r="250" spans="2:8">
      <c r="B250" s="5"/>
      <c r="H250" s="16"/>
    </row>
    <row r="251" spans="2:8">
      <c r="B251" s="5"/>
      <c r="H251" s="16"/>
    </row>
    <row r="252" spans="2:8">
      <c r="B252" s="5"/>
      <c r="H252" s="16"/>
    </row>
    <row r="253" spans="2:8">
      <c r="B253" s="5"/>
      <c r="H253" s="16"/>
    </row>
    <row r="254" spans="2:8">
      <c r="B254" s="5"/>
      <c r="H254" s="16"/>
    </row>
    <row r="255" spans="2:8">
      <c r="B255" s="5"/>
      <c r="H255" s="16"/>
    </row>
    <row r="256" spans="2:8">
      <c r="B256" s="5"/>
      <c r="H256" s="16"/>
    </row>
    <row r="257" spans="2:8">
      <c r="B257" s="5"/>
      <c r="H257" s="16"/>
    </row>
    <row r="258" spans="2:8">
      <c r="B258" s="5"/>
      <c r="H258" s="16"/>
    </row>
    <row r="259" spans="2:8">
      <c r="B259" s="5"/>
      <c r="H259" s="16"/>
    </row>
    <row r="260" spans="2:8">
      <c r="B260" s="5"/>
      <c r="H260" s="16"/>
    </row>
    <row r="261" spans="2:8">
      <c r="B261" s="5"/>
      <c r="H261" s="16"/>
    </row>
    <row r="262" spans="2:8">
      <c r="B262" s="5"/>
      <c r="H262" s="16"/>
    </row>
    <row r="263" spans="2:8">
      <c r="B263" s="5"/>
      <c r="H263" s="16"/>
    </row>
    <row r="264" spans="2:8">
      <c r="B264" s="5"/>
      <c r="H264" s="16"/>
    </row>
    <row r="265" spans="2:8">
      <c r="B265" s="5"/>
      <c r="H265" s="16"/>
    </row>
    <row r="266" spans="2:8">
      <c r="B266" s="5"/>
      <c r="H266" s="16"/>
    </row>
    <row r="267" spans="2:8">
      <c r="B267" s="5"/>
      <c r="H267" s="16"/>
    </row>
    <row r="268" spans="2:8">
      <c r="B268" s="5"/>
      <c r="H268" s="16"/>
    </row>
    <row r="269" spans="2:8">
      <c r="B269" s="5"/>
      <c r="H269" s="16"/>
    </row>
    <row r="270" spans="2:8">
      <c r="B270" s="5"/>
      <c r="H270" s="16"/>
    </row>
    <row r="271" spans="2:8">
      <c r="B271" s="5"/>
      <c r="H271" s="16"/>
    </row>
    <row r="272" spans="2:8">
      <c r="B272" s="5"/>
      <c r="H272" s="16"/>
    </row>
    <row r="273" spans="2:8">
      <c r="B273" s="5"/>
      <c r="H273" s="16"/>
    </row>
    <row r="274" spans="2:8">
      <c r="B274" s="5"/>
      <c r="H274" s="16"/>
    </row>
    <row r="275" spans="2:8">
      <c r="B275" s="5"/>
      <c r="H275" s="16"/>
    </row>
    <row r="276" spans="2:8">
      <c r="B276" s="5"/>
      <c r="H276" s="16"/>
    </row>
    <row r="277" spans="2:8">
      <c r="B277" s="5"/>
      <c r="H277" s="16"/>
    </row>
    <row r="278" spans="2:8">
      <c r="B278" s="5"/>
      <c r="H278" s="16"/>
    </row>
    <row r="279" spans="2:8">
      <c r="B279" s="5"/>
      <c r="H279" s="16"/>
    </row>
    <row r="280" spans="2:8">
      <c r="B280" s="5"/>
      <c r="H280" s="16"/>
    </row>
    <row r="281" spans="2:8">
      <c r="B281" s="5"/>
      <c r="H281" s="16"/>
    </row>
    <row r="282" spans="2:8">
      <c r="B282" s="5"/>
      <c r="H282" s="16"/>
    </row>
    <row r="283" spans="2:8">
      <c r="B283" s="5"/>
      <c r="H283" s="16"/>
    </row>
    <row r="284" spans="2:8">
      <c r="B284" s="5"/>
      <c r="H284" s="16"/>
    </row>
    <row r="285" spans="2:8">
      <c r="B285" s="5"/>
      <c r="H285" s="16"/>
    </row>
    <row r="286" spans="2:8">
      <c r="B286" s="5"/>
      <c r="H286" s="16"/>
    </row>
    <row r="287" spans="2:8">
      <c r="B287" s="5"/>
      <c r="H287" s="16"/>
    </row>
    <row r="288" spans="2:8">
      <c r="B288" s="5"/>
      <c r="H288" s="16"/>
    </row>
    <row r="289" spans="2:8">
      <c r="B289" s="5"/>
      <c r="H289" s="16"/>
    </row>
    <row r="290" spans="2:8">
      <c r="B290" s="5"/>
      <c r="H290" s="16"/>
    </row>
    <row r="291" spans="2:8">
      <c r="B291" s="5"/>
      <c r="H291" s="16"/>
    </row>
    <row r="292" spans="2:8">
      <c r="B292" s="5"/>
      <c r="H292" s="16"/>
    </row>
    <row r="293" spans="2:8">
      <c r="B293" s="5"/>
      <c r="H293" s="16"/>
    </row>
    <row r="294" spans="2:8">
      <c r="B294" s="5"/>
      <c r="H294" s="16"/>
    </row>
    <row r="295" spans="2:8">
      <c r="B295" s="5"/>
      <c r="H295" s="16"/>
    </row>
    <row r="296" spans="2:8">
      <c r="B296" s="5"/>
      <c r="H296" s="16"/>
    </row>
    <row r="297" spans="2:8">
      <c r="B297" s="5"/>
      <c r="H297" s="16"/>
    </row>
    <row r="298" spans="2:8">
      <c r="B298" s="5"/>
      <c r="H298" s="16"/>
    </row>
    <row r="299" spans="2:8">
      <c r="B299" s="5"/>
      <c r="H299" s="16"/>
    </row>
    <row r="300" spans="2:8">
      <c r="B300" s="5"/>
      <c r="H300" s="16"/>
    </row>
    <row r="301" spans="2:8">
      <c r="B301" s="5"/>
      <c r="H301" s="16"/>
    </row>
    <row r="302" spans="2:8">
      <c r="B302" s="5"/>
      <c r="H302" s="16"/>
    </row>
    <row r="303" spans="2:8">
      <c r="B303" s="5"/>
      <c r="H303" s="16"/>
    </row>
    <row r="304" spans="2:8">
      <c r="B304" s="5"/>
      <c r="H304" s="16"/>
    </row>
    <row r="305" spans="2:8">
      <c r="B305" s="5"/>
      <c r="H305" s="16"/>
    </row>
    <row r="306" spans="2:8">
      <c r="B306" s="5"/>
      <c r="H306" s="16"/>
    </row>
    <row r="307" spans="2:8">
      <c r="B307" s="5"/>
      <c r="H307" s="16"/>
    </row>
    <row r="308" spans="2:8">
      <c r="B308" s="5"/>
      <c r="H308" s="16"/>
    </row>
    <row r="309" spans="2:8">
      <c r="B309" s="5"/>
      <c r="H309" s="16"/>
    </row>
    <row r="310" spans="2:8">
      <c r="B310" s="5"/>
      <c r="H310" s="16"/>
    </row>
    <row r="311" spans="2:8">
      <c r="B311" s="5"/>
      <c r="H311" s="16"/>
    </row>
    <row r="312" spans="2:8">
      <c r="B312" s="5"/>
      <c r="H312" s="16"/>
    </row>
    <row r="313" spans="2:8">
      <c r="B313" s="5"/>
      <c r="H313" s="16"/>
    </row>
    <row r="314" spans="2:8">
      <c r="B314" s="5"/>
      <c r="H314" s="16"/>
    </row>
    <row r="315" spans="2:8">
      <c r="B315" s="5"/>
      <c r="H315" s="16"/>
    </row>
    <row r="316" spans="2:8">
      <c r="B316" s="5"/>
      <c r="H316" s="16"/>
    </row>
    <row r="317" spans="2:8">
      <c r="B317" s="5"/>
      <c r="H317" s="16"/>
    </row>
    <row r="318" spans="2:8">
      <c r="B318" s="5"/>
      <c r="H318" s="16"/>
    </row>
    <row r="319" spans="2:8">
      <c r="B319" s="5"/>
      <c r="H319" s="16"/>
    </row>
    <row r="320" spans="2:8">
      <c r="B320" s="5"/>
      <c r="H320" s="16"/>
    </row>
    <row r="321" spans="2:8">
      <c r="B321" s="5"/>
      <c r="H321" s="16"/>
    </row>
    <row r="322" spans="2:8">
      <c r="B322" s="5"/>
      <c r="H322" s="16"/>
    </row>
    <row r="323" spans="2:8">
      <c r="B323" s="5"/>
      <c r="H323" s="16"/>
    </row>
    <row r="324" spans="2:8">
      <c r="B324" s="5"/>
      <c r="H324" s="16"/>
    </row>
    <row r="325" spans="2:8">
      <c r="B325" s="5"/>
      <c r="H325" s="16"/>
    </row>
    <row r="326" spans="2:8">
      <c r="B326" s="5"/>
      <c r="H326" s="16"/>
    </row>
    <row r="327" spans="2:8">
      <c r="B327" s="5"/>
      <c r="H327" s="16"/>
    </row>
    <row r="328" spans="2:8">
      <c r="B328" s="5"/>
      <c r="H328" s="16"/>
    </row>
    <row r="329" spans="2:8">
      <c r="B329" s="5"/>
      <c r="H329" s="16"/>
    </row>
    <row r="330" spans="2:8">
      <c r="B330" s="5"/>
      <c r="H330" s="16"/>
    </row>
    <row r="331" spans="2:8">
      <c r="B331" s="5"/>
      <c r="H331" s="16"/>
    </row>
    <row r="332" spans="2:8">
      <c r="B332" s="5"/>
      <c r="H332" s="16"/>
    </row>
    <row r="333" spans="2:8">
      <c r="B333" s="5"/>
      <c r="H333" s="16"/>
    </row>
    <row r="334" spans="2:8">
      <c r="B334" s="5"/>
      <c r="H334" s="16"/>
    </row>
    <row r="335" spans="2:8">
      <c r="B335" s="5"/>
      <c r="H335" s="16"/>
    </row>
    <row r="336" spans="2:8">
      <c r="B336" s="5"/>
      <c r="H336" s="16"/>
    </row>
    <row r="337" spans="2:8">
      <c r="B337" s="5"/>
      <c r="H337" s="16"/>
    </row>
    <row r="338" spans="2:8">
      <c r="B338" s="5"/>
      <c r="H338" s="16"/>
    </row>
    <row r="339" spans="2:8">
      <c r="B339" s="5"/>
      <c r="H339" s="16"/>
    </row>
    <row r="340" spans="2:8">
      <c r="B340" s="5"/>
      <c r="H340" s="16"/>
    </row>
    <row r="341" spans="2:8">
      <c r="B341" s="5"/>
      <c r="H341" s="16"/>
    </row>
    <row r="342" spans="2:8">
      <c r="B342" s="5"/>
      <c r="H342" s="16"/>
    </row>
    <row r="343" spans="2:8">
      <c r="B343" s="5"/>
      <c r="H343" s="16"/>
    </row>
    <row r="344" spans="2:8">
      <c r="B344" s="5"/>
      <c r="H344" s="16"/>
    </row>
    <row r="345" spans="2:8">
      <c r="B345" s="5"/>
      <c r="H345" s="16"/>
    </row>
    <row r="346" spans="2:8">
      <c r="B346" s="5"/>
      <c r="H346" s="16"/>
    </row>
    <row r="347" spans="2:8">
      <c r="B347" s="5"/>
      <c r="H347" s="16"/>
    </row>
    <row r="348" spans="2:8">
      <c r="B348" s="5"/>
      <c r="H348" s="16"/>
    </row>
    <row r="349" spans="2:8">
      <c r="B349" s="5"/>
      <c r="H349" s="16"/>
    </row>
    <row r="350" spans="2:8">
      <c r="B350" s="5"/>
      <c r="H350" s="16"/>
    </row>
    <row r="351" spans="2:8">
      <c r="B351" s="5"/>
      <c r="H351" s="16"/>
    </row>
    <row r="352" spans="2:8">
      <c r="B352" s="5"/>
      <c r="H352" s="16"/>
    </row>
    <row r="353" spans="2:8">
      <c r="B353" s="5"/>
      <c r="H353" s="16"/>
    </row>
    <row r="354" spans="2:8">
      <c r="B354" s="5"/>
      <c r="H354" s="16"/>
    </row>
    <row r="355" spans="2:8">
      <c r="B355" s="5"/>
      <c r="H355" s="16"/>
    </row>
    <row r="356" spans="2:8">
      <c r="B356" s="5"/>
      <c r="H356" s="16"/>
    </row>
    <row r="357" spans="2:8">
      <c r="B357" s="5"/>
      <c r="H357" s="16"/>
    </row>
    <row r="358" spans="2:8">
      <c r="B358" s="5"/>
      <c r="H358" s="16"/>
    </row>
    <row r="359" spans="2:8">
      <c r="B359" s="5"/>
      <c r="H359" s="16"/>
    </row>
    <row r="360" spans="2:8">
      <c r="B360" s="5"/>
      <c r="H360" s="16"/>
    </row>
    <row r="361" spans="2:8">
      <c r="B361" s="5"/>
      <c r="H361" s="16"/>
    </row>
    <row r="362" spans="2:8">
      <c r="B362" s="5"/>
      <c r="H362" s="16"/>
    </row>
    <row r="363" spans="2:8">
      <c r="B363" s="5"/>
      <c r="H363" s="16"/>
    </row>
    <row r="364" spans="2:8">
      <c r="B364" s="5"/>
      <c r="H364" s="16"/>
    </row>
    <row r="365" spans="2:8">
      <c r="B365" s="5"/>
      <c r="H365" s="16"/>
    </row>
    <row r="366" spans="2:8">
      <c r="B366" s="5"/>
      <c r="H366" s="16"/>
    </row>
    <row r="367" spans="2:8">
      <c r="B367" s="5"/>
      <c r="H367" s="16"/>
    </row>
    <row r="368" spans="2:8">
      <c r="B368" s="5"/>
      <c r="H368" s="16"/>
    </row>
    <row r="369" spans="2:8">
      <c r="B369" s="5"/>
      <c r="H369" s="16"/>
    </row>
    <row r="370" spans="2:8">
      <c r="B370" s="5"/>
      <c r="H370" s="16"/>
    </row>
    <row r="371" spans="2:8">
      <c r="B371" s="5"/>
      <c r="H371" s="16"/>
    </row>
    <row r="372" spans="2:8">
      <c r="B372" s="5"/>
      <c r="H372" s="16"/>
    </row>
    <row r="373" spans="2:8">
      <c r="B373" s="5"/>
      <c r="H373" s="16"/>
    </row>
    <row r="374" spans="2:8">
      <c r="B374" s="5"/>
      <c r="H374" s="16"/>
    </row>
    <row r="375" spans="2:8">
      <c r="B375" s="5"/>
      <c r="H375" s="16"/>
    </row>
    <row r="376" spans="2:8">
      <c r="B376" s="5"/>
      <c r="H376" s="16"/>
    </row>
    <row r="377" spans="2:8">
      <c r="B377" s="5"/>
      <c r="H377" s="16"/>
    </row>
    <row r="378" spans="2:8">
      <c r="B378" s="5"/>
      <c r="H378" s="16"/>
    </row>
    <row r="379" spans="2:8">
      <c r="B379" s="5"/>
      <c r="H379" s="16"/>
    </row>
    <row r="380" spans="2:8">
      <c r="B380" s="5"/>
      <c r="H380" s="16"/>
    </row>
    <row r="381" spans="2:8">
      <c r="B381" s="5"/>
      <c r="H381" s="16"/>
    </row>
    <row r="382" spans="2:8">
      <c r="B382" s="5"/>
      <c r="H382" s="16"/>
    </row>
    <row r="383" spans="2:8">
      <c r="B383" s="5"/>
      <c r="H383" s="16"/>
    </row>
    <row r="384" spans="2:8">
      <c r="B384" s="5"/>
      <c r="H384" s="16"/>
    </row>
    <row r="385" spans="2:8">
      <c r="B385" s="5"/>
      <c r="H385" s="16"/>
    </row>
    <row r="386" spans="2:8">
      <c r="B386" s="5"/>
      <c r="H386" s="16"/>
    </row>
    <row r="387" spans="2:8">
      <c r="B387" s="5"/>
      <c r="H387" s="16"/>
    </row>
    <row r="388" spans="2:8">
      <c r="B388" s="5"/>
      <c r="H388" s="16"/>
    </row>
    <row r="389" spans="2:8">
      <c r="B389" s="5"/>
      <c r="H389" s="16"/>
    </row>
    <row r="390" spans="2:8">
      <c r="B390" s="5"/>
      <c r="H390" s="16"/>
    </row>
    <row r="391" spans="2:8">
      <c r="B391" s="5"/>
      <c r="H391" s="16"/>
    </row>
    <row r="392" spans="2:8">
      <c r="B392" s="5"/>
      <c r="H392" s="16"/>
    </row>
    <row r="393" spans="2:8">
      <c r="B393" s="5"/>
      <c r="H393" s="16"/>
    </row>
    <row r="394" spans="2:8">
      <c r="B394" s="5"/>
      <c r="H394" s="16"/>
    </row>
    <row r="395" spans="2:8">
      <c r="B395" s="5"/>
      <c r="H395" s="16"/>
    </row>
    <row r="396" spans="2:8">
      <c r="B396" s="5"/>
      <c r="H396" s="16"/>
    </row>
    <row r="397" spans="2:8">
      <c r="B397" s="5"/>
      <c r="H397" s="16"/>
    </row>
    <row r="398" spans="2:8">
      <c r="B398" s="5"/>
      <c r="H398" s="16"/>
    </row>
    <row r="399" spans="2:8">
      <c r="B399" s="5"/>
      <c r="H399" s="16"/>
    </row>
    <row r="400" spans="2:8">
      <c r="B400" s="5"/>
      <c r="H400" s="16"/>
    </row>
    <row r="401" spans="2:8">
      <c r="B401" s="5"/>
      <c r="H401" s="16"/>
    </row>
    <row r="402" spans="2:8">
      <c r="B402" s="5"/>
      <c r="H402" s="16"/>
    </row>
    <row r="403" spans="2:8">
      <c r="B403" s="5"/>
      <c r="H403" s="16"/>
    </row>
    <row r="404" spans="2:8">
      <c r="B404" s="5"/>
      <c r="H404" s="16"/>
    </row>
    <row r="405" spans="2:8">
      <c r="B405" s="5"/>
      <c r="H405" s="16"/>
    </row>
    <row r="406" spans="2:8">
      <c r="B406" s="5"/>
      <c r="H406" s="16"/>
    </row>
    <row r="407" spans="2:8">
      <c r="B407" s="5"/>
      <c r="H407" s="16"/>
    </row>
    <row r="408" spans="2:8">
      <c r="B408" s="5"/>
      <c r="H408" s="16"/>
    </row>
    <row r="409" spans="2:8">
      <c r="B409" s="5"/>
      <c r="H409" s="16"/>
    </row>
    <row r="410" spans="2:8">
      <c r="B410" s="5"/>
      <c r="H410" s="16"/>
    </row>
    <row r="411" spans="2:8">
      <c r="B411" s="5"/>
      <c r="H411" s="16"/>
    </row>
    <row r="412" spans="2:8">
      <c r="B412" s="5"/>
      <c r="H412" s="16"/>
    </row>
    <row r="413" spans="2:8">
      <c r="B413" s="5"/>
      <c r="H413" s="16"/>
    </row>
    <row r="414" spans="2:8">
      <c r="B414" s="5"/>
      <c r="H414" s="16"/>
    </row>
    <row r="415" spans="2:8">
      <c r="B415" s="5"/>
      <c r="H415" s="16"/>
    </row>
    <row r="416" spans="2:8">
      <c r="B416" s="5"/>
      <c r="H416" s="16"/>
    </row>
    <row r="417" spans="2:8">
      <c r="B417" s="5"/>
      <c r="H417" s="16"/>
    </row>
    <row r="418" spans="2:8">
      <c r="B418" s="5"/>
      <c r="H418" s="16"/>
    </row>
    <row r="419" spans="2:8">
      <c r="B419" s="5"/>
      <c r="H419" s="16"/>
    </row>
    <row r="420" spans="2:8">
      <c r="B420" s="5"/>
      <c r="H420" s="16"/>
    </row>
    <row r="421" spans="2:8">
      <c r="B421" s="5"/>
      <c r="H421" s="16"/>
    </row>
    <row r="422" spans="2:8">
      <c r="B422" s="5"/>
      <c r="H422" s="16"/>
    </row>
    <row r="423" spans="2:8">
      <c r="B423" s="5"/>
      <c r="H423" s="16"/>
    </row>
    <row r="424" spans="2:8">
      <c r="B424" s="5"/>
      <c r="H424" s="16"/>
    </row>
    <row r="425" spans="2:8">
      <c r="B425" s="5"/>
      <c r="H425" s="16"/>
    </row>
    <row r="426" spans="2:8">
      <c r="B426" s="5"/>
      <c r="H426" s="16"/>
    </row>
    <row r="427" spans="2:8">
      <c r="B427" s="5"/>
      <c r="H427" s="16"/>
    </row>
    <row r="428" spans="2:8">
      <c r="B428" s="5"/>
      <c r="H428" s="16"/>
    </row>
    <row r="429" spans="2:8">
      <c r="B429" s="5"/>
      <c r="H429" s="16"/>
    </row>
    <row r="430" spans="2:8">
      <c r="B430" s="5"/>
      <c r="H430" s="16"/>
    </row>
    <row r="431" spans="2:8">
      <c r="B431" s="5"/>
      <c r="H431" s="16"/>
    </row>
    <row r="432" spans="2:8">
      <c r="B432" s="5"/>
      <c r="H432" s="16"/>
    </row>
    <row r="433" spans="2:8">
      <c r="B433" s="5"/>
      <c r="H433" s="16"/>
    </row>
    <row r="434" spans="2:8">
      <c r="B434" s="5"/>
      <c r="H434" s="16"/>
    </row>
    <row r="435" spans="2:8">
      <c r="B435" s="5"/>
      <c r="H435" s="16"/>
    </row>
    <row r="436" spans="2:8">
      <c r="B436" s="5"/>
      <c r="H436" s="16"/>
    </row>
    <row r="437" spans="2:8">
      <c r="B437" s="5"/>
      <c r="H437" s="16"/>
    </row>
    <row r="438" spans="2:8">
      <c r="B438" s="5"/>
      <c r="H438" s="16"/>
    </row>
    <row r="439" spans="2:8">
      <c r="B439" s="5"/>
      <c r="H439" s="16"/>
    </row>
    <row r="440" spans="2:8">
      <c r="B440" s="5"/>
      <c r="H440" s="16"/>
    </row>
    <row r="441" spans="2:8">
      <c r="B441" s="5"/>
      <c r="H441" s="16"/>
    </row>
    <row r="442" spans="2:8">
      <c r="B442" s="5"/>
      <c r="H442" s="16"/>
    </row>
    <row r="443" spans="2:8">
      <c r="B443" s="5"/>
      <c r="H443" s="16"/>
    </row>
    <row r="444" spans="2:8">
      <c r="B444" s="5"/>
      <c r="H444" s="16"/>
    </row>
    <row r="445" spans="2:8">
      <c r="B445" s="5"/>
      <c r="H445" s="16"/>
    </row>
    <row r="446" spans="2:8">
      <c r="B446" s="5"/>
      <c r="H446" s="16"/>
    </row>
    <row r="447" spans="2:8">
      <c r="B447" s="5"/>
      <c r="H447" s="16"/>
    </row>
    <row r="448" spans="2:8">
      <c r="B448" s="5"/>
      <c r="H448" s="16"/>
    </row>
    <row r="449" spans="2:8">
      <c r="B449" s="5"/>
      <c r="H449" s="16"/>
    </row>
    <row r="450" spans="2:8">
      <c r="B450" s="5"/>
      <c r="H450" s="16"/>
    </row>
    <row r="451" spans="2:8">
      <c r="B451" s="5"/>
      <c r="H451" s="16"/>
    </row>
    <row r="452" spans="2:8">
      <c r="B452" s="5"/>
      <c r="H452" s="16"/>
    </row>
    <row r="453" spans="2:8">
      <c r="B453" s="5"/>
      <c r="H453" s="16"/>
    </row>
    <row r="454" spans="2:8">
      <c r="B454" s="5"/>
      <c r="H454" s="16"/>
    </row>
    <row r="455" spans="2:8">
      <c r="B455" s="5"/>
      <c r="H455" s="16"/>
    </row>
    <row r="456" spans="2:8">
      <c r="B456" s="5"/>
      <c r="H456" s="16"/>
    </row>
    <row r="457" spans="2:8">
      <c r="B457" s="5"/>
      <c r="H457" s="16"/>
    </row>
    <row r="458" spans="2:8">
      <c r="B458" s="5"/>
      <c r="H458" s="16"/>
    </row>
    <row r="459" spans="2:8">
      <c r="B459" s="5"/>
      <c r="H459" s="16"/>
    </row>
    <row r="460" spans="2:8">
      <c r="B460" s="5"/>
      <c r="H460" s="16"/>
    </row>
    <row r="461" spans="2:8">
      <c r="B461" s="5"/>
      <c r="H461" s="16"/>
    </row>
    <row r="462" spans="2:8">
      <c r="B462" s="5"/>
      <c r="H462" s="16"/>
    </row>
    <row r="463" spans="2:8">
      <c r="B463" s="5"/>
      <c r="H463" s="16"/>
    </row>
    <row r="464" spans="2:8">
      <c r="B464" s="5"/>
      <c r="H464" s="16"/>
    </row>
    <row r="465" spans="2:8">
      <c r="B465" s="5"/>
      <c r="H465" s="16"/>
    </row>
    <row r="466" spans="2:8">
      <c r="B466" s="5"/>
      <c r="H466" s="16"/>
    </row>
    <row r="467" spans="2:8">
      <c r="B467" s="5"/>
      <c r="H467" s="16"/>
    </row>
    <row r="468" spans="2:8">
      <c r="B468" s="5"/>
      <c r="H468" s="16"/>
    </row>
    <row r="469" spans="2:8">
      <c r="B469" s="5"/>
      <c r="H469" s="16"/>
    </row>
    <row r="470" spans="2:8">
      <c r="B470" s="5"/>
      <c r="H470" s="16"/>
    </row>
    <row r="471" spans="2:8">
      <c r="B471" s="5"/>
      <c r="H471" s="16"/>
    </row>
    <row r="472" spans="2:8">
      <c r="B472" s="5"/>
      <c r="H472" s="16"/>
    </row>
    <row r="473" spans="2:8">
      <c r="B473" s="5"/>
      <c r="H473" s="16"/>
    </row>
    <row r="474" spans="2:8">
      <c r="B474" s="5"/>
      <c r="H474" s="16"/>
    </row>
    <row r="475" spans="2:8">
      <c r="B475" s="5"/>
      <c r="H475" s="16"/>
    </row>
    <row r="476" spans="2:8">
      <c r="B476" s="5"/>
      <c r="H476" s="16"/>
    </row>
    <row r="477" spans="2:8">
      <c r="B477" s="5"/>
      <c r="H477" s="16"/>
    </row>
    <row r="478" spans="2:8">
      <c r="B478" s="5"/>
      <c r="H478" s="16"/>
    </row>
    <row r="479" spans="2:8">
      <c r="B479" s="5"/>
      <c r="H479" s="16"/>
    </row>
    <row r="480" spans="2:8">
      <c r="B480" s="5"/>
      <c r="H480" s="16"/>
    </row>
    <row r="481" spans="2:8">
      <c r="B481" s="5"/>
      <c r="H481" s="16"/>
    </row>
    <row r="482" spans="2:8">
      <c r="B482" s="5"/>
      <c r="H482" s="16"/>
    </row>
    <row r="483" spans="2:8">
      <c r="B483" s="5"/>
      <c r="H483" s="16"/>
    </row>
    <row r="484" spans="2:8">
      <c r="B484" s="5"/>
      <c r="H484" s="16"/>
    </row>
    <row r="485" spans="2:8">
      <c r="B485" s="5"/>
      <c r="H485" s="16"/>
    </row>
    <row r="486" spans="2:8">
      <c r="B486" s="5"/>
      <c r="H486" s="16"/>
    </row>
    <row r="487" spans="2:8">
      <c r="B487" s="5"/>
      <c r="H487" s="16"/>
    </row>
    <row r="488" spans="2:8">
      <c r="B488" s="5"/>
      <c r="H488" s="16"/>
    </row>
    <row r="489" spans="2:8">
      <c r="B489" s="5"/>
      <c r="H489" s="16"/>
    </row>
    <row r="490" spans="2:8">
      <c r="B490" s="5"/>
      <c r="H490" s="16"/>
    </row>
    <row r="491" spans="2:8">
      <c r="B491" s="5"/>
      <c r="H491" s="16"/>
    </row>
    <row r="492" spans="2:8">
      <c r="B492" s="5"/>
      <c r="H492" s="16"/>
    </row>
    <row r="493" spans="2:8">
      <c r="B493" s="5"/>
      <c r="H493" s="16"/>
    </row>
    <row r="494" spans="2:8">
      <c r="B494" s="5"/>
      <c r="H494" s="16"/>
    </row>
    <row r="495" spans="2:8">
      <c r="B495" s="5"/>
      <c r="H495" s="16"/>
    </row>
    <row r="496" spans="2:8">
      <c r="B496" s="5"/>
      <c r="H496" s="16"/>
    </row>
    <row r="497" spans="2:8">
      <c r="B497" s="5"/>
      <c r="H497" s="16"/>
    </row>
    <row r="498" spans="2:8">
      <c r="B498" s="5"/>
      <c r="H498" s="16"/>
    </row>
    <row r="499" spans="2:8">
      <c r="B499" s="5"/>
      <c r="H499" s="16"/>
    </row>
    <row r="500" spans="2:8">
      <c r="B500" s="5"/>
      <c r="H500" s="16"/>
    </row>
    <row r="501" spans="2:8">
      <c r="B501" s="5"/>
      <c r="H501" s="16"/>
    </row>
    <row r="502" spans="2:8">
      <c r="B502" s="5"/>
      <c r="H502" s="16"/>
    </row>
    <row r="503" spans="2:8">
      <c r="B503" s="5"/>
      <c r="H503" s="16"/>
    </row>
    <row r="504" spans="2:8">
      <c r="B504" s="5"/>
      <c r="H504" s="16"/>
    </row>
    <row r="505" spans="2:8">
      <c r="B505" s="5"/>
      <c r="H505" s="16"/>
    </row>
    <row r="506" spans="2:8">
      <c r="B506" s="5"/>
      <c r="H506" s="16"/>
    </row>
    <row r="507" spans="2:8">
      <c r="B507" s="5"/>
      <c r="H507" s="16"/>
    </row>
    <row r="508" spans="2:8">
      <c r="B508" s="5"/>
      <c r="H508" s="16"/>
    </row>
    <row r="509" spans="2:8">
      <c r="B509" s="5"/>
      <c r="H509" s="16"/>
    </row>
    <row r="510" spans="2:8">
      <c r="B510" s="5"/>
      <c r="H510" s="16"/>
    </row>
    <row r="511" spans="2:8">
      <c r="B511" s="5"/>
      <c r="H511" s="16"/>
    </row>
    <row r="512" spans="2:8">
      <c r="B512" s="5"/>
      <c r="H512" s="16"/>
    </row>
    <row r="513" spans="2:8">
      <c r="B513" s="5"/>
      <c r="H513" s="16"/>
    </row>
    <row r="514" spans="2:8">
      <c r="B514" s="5"/>
      <c r="H514" s="16"/>
    </row>
    <row r="515" spans="2:8">
      <c r="B515" s="5"/>
      <c r="H515" s="16"/>
    </row>
    <row r="516" spans="2:8">
      <c r="B516" s="5"/>
      <c r="H516" s="16"/>
    </row>
    <row r="517" spans="2:8">
      <c r="B517" s="5"/>
      <c r="H517" s="16"/>
    </row>
    <row r="518" spans="2:8">
      <c r="B518" s="5"/>
      <c r="H518" s="16"/>
    </row>
    <row r="519" spans="2:8">
      <c r="B519" s="5"/>
      <c r="H519" s="16"/>
    </row>
    <row r="520" spans="2:8">
      <c r="B520" s="5"/>
      <c r="H520" s="16"/>
    </row>
    <row r="521" spans="2:8">
      <c r="B521" s="5"/>
      <c r="H521" s="16"/>
    </row>
    <row r="522" spans="2:8">
      <c r="B522" s="5"/>
      <c r="H522" s="16"/>
    </row>
    <row r="523" spans="2:8">
      <c r="B523" s="5"/>
      <c r="H523" s="16"/>
    </row>
    <row r="524" spans="2:8">
      <c r="B524" s="5"/>
      <c r="H524" s="16"/>
    </row>
    <row r="525" spans="2:8">
      <c r="B525" s="5"/>
      <c r="H525" s="16"/>
    </row>
    <row r="526" spans="2:8">
      <c r="B526" s="5"/>
      <c r="H526" s="16"/>
    </row>
    <row r="527" spans="2:8">
      <c r="B527" s="5"/>
      <c r="H527" s="16"/>
    </row>
    <row r="528" spans="2:8">
      <c r="B528" s="5"/>
      <c r="H528" s="16"/>
    </row>
    <row r="529" spans="2:8">
      <c r="B529" s="5"/>
      <c r="H529" s="16"/>
    </row>
    <row r="530" spans="2:8">
      <c r="B530" s="5"/>
      <c r="H530" s="16"/>
    </row>
    <row r="531" spans="2:8">
      <c r="B531" s="5"/>
      <c r="H531" s="16"/>
    </row>
    <row r="532" spans="2:8">
      <c r="B532" s="5"/>
      <c r="H532" s="16"/>
    </row>
    <row r="533" spans="2:8">
      <c r="B533" s="5"/>
      <c r="H533" s="16"/>
    </row>
    <row r="534" spans="2:8">
      <c r="B534" s="5"/>
      <c r="H534" s="16"/>
    </row>
    <row r="535" spans="2:8">
      <c r="B535" s="5"/>
      <c r="H535" s="16"/>
    </row>
    <row r="536" spans="2:8">
      <c r="B536" s="5"/>
      <c r="H536" s="16"/>
    </row>
    <row r="537" spans="2:8">
      <c r="B537" s="5"/>
      <c r="H537" s="16"/>
    </row>
    <row r="538" spans="2:8">
      <c r="B538" s="5"/>
      <c r="H538" s="16"/>
    </row>
    <row r="539" spans="2:8">
      <c r="B539" s="5"/>
      <c r="H539" s="16"/>
    </row>
    <row r="540" spans="2:8">
      <c r="B540" s="5"/>
      <c r="H540" s="16"/>
    </row>
    <row r="541" spans="2:8">
      <c r="B541" s="5"/>
      <c r="H541" s="16"/>
    </row>
    <row r="542" spans="2:8">
      <c r="B542" s="5"/>
      <c r="H542" s="16"/>
    </row>
    <row r="543" spans="2:8">
      <c r="B543" s="5"/>
      <c r="H543" s="16"/>
    </row>
    <row r="544" spans="2:8">
      <c r="B544" s="5"/>
      <c r="H544" s="16"/>
    </row>
    <row r="545" spans="2:8">
      <c r="B545" s="5"/>
      <c r="H545" s="16"/>
    </row>
    <row r="546" spans="2:8">
      <c r="B546" s="5"/>
      <c r="H546" s="16"/>
    </row>
    <row r="547" spans="2:8">
      <c r="B547" s="5"/>
      <c r="H547" s="16"/>
    </row>
    <row r="548" spans="2:8">
      <c r="B548" s="5"/>
      <c r="H548" s="16"/>
    </row>
    <row r="549" spans="2:8">
      <c r="B549" s="5"/>
      <c r="H549" s="16"/>
    </row>
    <row r="550" spans="2:8">
      <c r="B550" s="5"/>
      <c r="H550" s="16"/>
    </row>
    <row r="551" spans="2:8">
      <c r="B551" s="5"/>
      <c r="H551" s="16"/>
    </row>
    <row r="552" spans="2:8">
      <c r="B552" s="5"/>
      <c r="H552" s="16"/>
    </row>
    <row r="553" spans="2:8">
      <c r="B553" s="5"/>
      <c r="H553" s="16"/>
    </row>
    <row r="554" spans="2:8">
      <c r="B554" s="5"/>
      <c r="H554" s="16"/>
    </row>
    <row r="555" spans="2:8">
      <c r="B555" s="5"/>
      <c r="H555" s="16"/>
    </row>
    <row r="556" spans="2:8">
      <c r="B556" s="5"/>
      <c r="H556" s="16"/>
    </row>
    <row r="557" spans="2:8">
      <c r="B557" s="5"/>
      <c r="H557" s="16"/>
    </row>
    <row r="558" spans="2:8">
      <c r="B558" s="5"/>
      <c r="H558" s="16"/>
    </row>
    <row r="559" spans="2:8">
      <c r="B559" s="5"/>
      <c r="H559" s="16"/>
    </row>
    <row r="560" spans="2:8">
      <c r="B560" s="5"/>
      <c r="H560" s="16"/>
    </row>
    <row r="561" spans="2:8">
      <c r="B561" s="5"/>
      <c r="H561" s="16"/>
    </row>
    <row r="562" spans="2:8">
      <c r="B562" s="5"/>
      <c r="H562" s="16"/>
    </row>
    <row r="563" spans="2:8">
      <c r="B563" s="5"/>
      <c r="H563" s="16"/>
    </row>
    <row r="564" spans="2:8">
      <c r="B564" s="5"/>
      <c r="H564" s="16"/>
    </row>
    <row r="565" spans="2:8">
      <c r="B565" s="5"/>
      <c r="H565" s="16"/>
    </row>
    <row r="566" spans="2:8">
      <c r="B566" s="5"/>
      <c r="H566" s="16"/>
    </row>
    <row r="567" spans="2:8">
      <c r="B567" s="5"/>
      <c r="H567" s="16"/>
    </row>
    <row r="568" spans="2:8">
      <c r="B568" s="5"/>
      <c r="H568" s="16"/>
    </row>
    <row r="569" spans="2:8">
      <c r="B569" s="5"/>
      <c r="H569" s="16"/>
    </row>
    <row r="570" spans="2:8">
      <c r="B570" s="5"/>
      <c r="H570" s="16"/>
    </row>
    <row r="571" spans="2:8">
      <c r="B571" s="5"/>
      <c r="H571" s="16"/>
    </row>
    <row r="572" spans="2:8">
      <c r="B572" s="5"/>
      <c r="H572" s="16"/>
    </row>
    <row r="573" spans="2:8">
      <c r="B573" s="5"/>
      <c r="H573" s="16"/>
    </row>
    <row r="574" spans="2:8">
      <c r="B574" s="5"/>
      <c r="H574" s="16"/>
    </row>
    <row r="575" spans="2:8">
      <c r="B575" s="5"/>
      <c r="H575" s="16"/>
    </row>
    <row r="576" spans="2:8">
      <c r="B576" s="5"/>
      <c r="H576" s="16"/>
    </row>
    <row r="577" spans="2:8">
      <c r="B577" s="5"/>
      <c r="H577" s="16"/>
    </row>
    <row r="578" spans="2:8">
      <c r="B578" s="5"/>
      <c r="H578" s="16"/>
    </row>
    <row r="579" spans="2:8">
      <c r="B579" s="5"/>
      <c r="H579" s="16"/>
    </row>
    <row r="580" spans="2:8">
      <c r="B580" s="5"/>
      <c r="H580" s="16"/>
    </row>
    <row r="581" spans="2:8">
      <c r="B581" s="5"/>
      <c r="H581" s="16"/>
    </row>
    <row r="582" spans="2:8">
      <c r="B582" s="5"/>
      <c r="H582" s="16"/>
    </row>
    <row r="583" spans="2:8">
      <c r="B583" s="5"/>
      <c r="H583" s="16"/>
    </row>
    <row r="584" spans="2:8">
      <c r="B584" s="5"/>
      <c r="H584" s="16"/>
    </row>
    <row r="585" spans="2:8">
      <c r="B585" s="5"/>
      <c r="H585" s="16"/>
    </row>
    <row r="586" spans="2:8">
      <c r="B586" s="5"/>
      <c r="H586" s="16"/>
    </row>
    <row r="587" spans="2:8">
      <c r="B587" s="5"/>
      <c r="H587" s="16"/>
    </row>
    <row r="588" spans="2:8">
      <c r="B588" s="5"/>
      <c r="H588" s="16"/>
    </row>
    <row r="589" spans="2:8">
      <c r="B589" s="5"/>
      <c r="H589" s="16"/>
    </row>
    <row r="590" spans="2:8">
      <c r="B590" s="5"/>
      <c r="H590" s="16"/>
    </row>
    <row r="591" spans="2:8">
      <c r="B591" s="5"/>
      <c r="H591" s="16"/>
    </row>
    <row r="592" spans="2:8">
      <c r="B592" s="5"/>
      <c r="H592" s="16"/>
    </row>
    <row r="593" spans="2:8">
      <c r="B593" s="5"/>
      <c r="H593" s="16"/>
    </row>
    <row r="594" spans="2:8">
      <c r="B594" s="5"/>
      <c r="H594" s="16"/>
    </row>
    <row r="595" spans="2:8">
      <c r="B595" s="5"/>
      <c r="H595" s="16"/>
    </row>
    <row r="596" spans="2:8">
      <c r="B596" s="5"/>
      <c r="H596" s="16"/>
    </row>
    <row r="597" spans="2:8">
      <c r="B597" s="5"/>
      <c r="H597" s="16"/>
    </row>
    <row r="598" spans="2:8">
      <c r="B598" s="5"/>
      <c r="H598" s="16"/>
    </row>
    <row r="599" spans="2:8">
      <c r="B599" s="5"/>
      <c r="H599" s="16"/>
    </row>
    <row r="600" spans="2:8">
      <c r="B600" s="5"/>
      <c r="H600" s="16"/>
    </row>
    <row r="601" spans="2:8">
      <c r="B601" s="5"/>
      <c r="H601" s="16"/>
    </row>
    <row r="602" spans="2:8">
      <c r="B602" s="5"/>
      <c r="H602" s="16"/>
    </row>
    <row r="603" spans="2:8">
      <c r="B603" s="5"/>
      <c r="H603" s="16"/>
    </row>
    <row r="604" spans="2:8">
      <c r="B604" s="5"/>
      <c r="H604" s="16"/>
    </row>
    <row r="605" spans="2:8">
      <c r="B605" s="5"/>
      <c r="H605" s="16"/>
    </row>
    <row r="606" spans="2:8">
      <c r="B606" s="5"/>
      <c r="H606" s="16"/>
    </row>
    <row r="607" spans="2:8">
      <c r="B607" s="5"/>
      <c r="H607" s="16"/>
    </row>
    <row r="608" spans="2:8">
      <c r="B608" s="5"/>
      <c r="H608" s="16"/>
    </row>
    <row r="609" spans="2:8">
      <c r="B609" s="5"/>
      <c r="H609" s="16"/>
    </row>
    <row r="610" spans="2:8">
      <c r="B610" s="5"/>
      <c r="H610" s="16"/>
    </row>
    <row r="611" spans="2:8">
      <c r="B611" s="5"/>
      <c r="H611" s="16"/>
    </row>
    <row r="612" spans="2:8">
      <c r="B612" s="5"/>
      <c r="H612" s="16"/>
    </row>
    <row r="613" spans="2:8">
      <c r="B613" s="5"/>
      <c r="H613" s="16"/>
    </row>
    <row r="614" spans="2:8">
      <c r="B614" s="5"/>
      <c r="H614" s="16"/>
    </row>
    <row r="615" spans="2:8">
      <c r="B615" s="5"/>
      <c r="H615" s="16"/>
    </row>
    <row r="616" spans="2:8">
      <c r="B616" s="5"/>
      <c r="H616" s="16"/>
    </row>
    <row r="617" spans="2:8">
      <c r="B617" s="5"/>
      <c r="H617" s="16"/>
    </row>
    <row r="618" spans="2:8">
      <c r="B618" s="5"/>
      <c r="H618" s="16"/>
    </row>
    <row r="619" spans="2:8">
      <c r="B619" s="5"/>
      <c r="H619" s="16"/>
    </row>
    <row r="620" spans="2:8">
      <c r="B620" s="5"/>
      <c r="H620" s="16"/>
    </row>
    <row r="621" spans="2:8">
      <c r="B621" s="5"/>
      <c r="H621" s="16"/>
    </row>
    <row r="622" spans="2:8">
      <c r="B622" s="5"/>
      <c r="H622" s="16"/>
    </row>
    <row r="623" spans="2:8">
      <c r="B623" s="5"/>
      <c r="H623" s="16"/>
    </row>
    <row r="624" spans="2:8">
      <c r="B624" s="5"/>
      <c r="H624" s="16"/>
    </row>
    <row r="625" spans="2:8">
      <c r="B625" s="5"/>
      <c r="H625" s="16"/>
    </row>
    <row r="626" spans="2:8">
      <c r="B626" s="5"/>
      <c r="H626" s="16"/>
    </row>
    <row r="627" spans="2:8">
      <c r="B627" s="5"/>
      <c r="H627" s="16"/>
    </row>
    <row r="628" spans="2:8">
      <c r="B628" s="5"/>
      <c r="H628" s="16"/>
    </row>
    <row r="629" spans="2:8">
      <c r="B629" s="5"/>
      <c r="H629" s="16"/>
    </row>
    <row r="630" spans="2:8">
      <c r="B630" s="5"/>
      <c r="H630" s="16"/>
    </row>
    <row r="631" spans="2:8">
      <c r="B631" s="5"/>
      <c r="H631" s="16"/>
    </row>
    <row r="632" spans="2:8">
      <c r="B632" s="5"/>
      <c r="H632" s="16"/>
    </row>
    <row r="633" spans="2:8">
      <c r="B633" s="5"/>
      <c r="H633" s="16"/>
    </row>
    <row r="634" spans="2:8">
      <c r="B634" s="5"/>
      <c r="H634" s="16"/>
    </row>
    <row r="635" spans="2:8">
      <c r="B635" s="5"/>
      <c r="H635" s="16"/>
    </row>
    <row r="636" spans="2:8">
      <c r="B636" s="5"/>
      <c r="H636" s="16"/>
    </row>
    <row r="637" spans="2:8">
      <c r="B637" s="5"/>
      <c r="H637" s="16"/>
    </row>
    <row r="638" spans="2:8">
      <c r="B638" s="5"/>
      <c r="H638" s="16"/>
    </row>
    <row r="639" spans="2:8">
      <c r="B639" s="5"/>
      <c r="H639" s="16"/>
    </row>
    <row r="640" spans="2:8">
      <c r="B640" s="5"/>
      <c r="H640" s="16"/>
    </row>
    <row r="641" spans="2:8">
      <c r="B641" s="5"/>
      <c r="H641" s="16"/>
    </row>
    <row r="642" spans="2:8">
      <c r="B642" s="5"/>
      <c r="H642" s="16"/>
    </row>
    <row r="643" spans="2:8">
      <c r="B643" s="5"/>
      <c r="H643" s="16"/>
    </row>
    <row r="644" spans="2:8">
      <c r="B644" s="5"/>
      <c r="H644" s="16"/>
    </row>
    <row r="645" spans="2:8">
      <c r="B645" s="5"/>
      <c r="H645" s="16"/>
    </row>
    <row r="646" spans="2:8">
      <c r="B646" s="5"/>
      <c r="H646" s="16"/>
    </row>
    <row r="647" spans="2:8">
      <c r="B647" s="5"/>
      <c r="H647" s="16"/>
    </row>
    <row r="648" spans="2:8">
      <c r="B648" s="5"/>
      <c r="H648" s="16"/>
    </row>
    <row r="649" spans="2:8">
      <c r="B649" s="5"/>
      <c r="H649" s="16"/>
    </row>
    <row r="650" spans="2:8">
      <c r="B650" s="5"/>
      <c r="H650" s="16"/>
    </row>
    <row r="651" spans="2:8">
      <c r="B651" s="5"/>
      <c r="H651" s="16"/>
    </row>
    <row r="652" spans="2:8">
      <c r="B652" s="5"/>
      <c r="H652" s="16"/>
    </row>
    <row r="653" spans="2:8">
      <c r="B653" s="5"/>
      <c r="H653" s="16"/>
    </row>
    <row r="654" spans="2:8">
      <c r="B654" s="5"/>
      <c r="H654" s="16"/>
    </row>
    <row r="655" spans="2:8">
      <c r="B655" s="5"/>
      <c r="H655" s="16"/>
    </row>
    <row r="656" spans="2:8">
      <c r="B656" s="5"/>
      <c r="H656" s="16"/>
    </row>
    <row r="657" spans="2:8">
      <c r="B657" s="5"/>
      <c r="H657" s="16"/>
    </row>
    <row r="658" spans="2:8">
      <c r="B658" s="5"/>
      <c r="H658" s="16"/>
    </row>
    <row r="659" spans="2:8">
      <c r="B659" s="5"/>
      <c r="H659" s="16"/>
    </row>
    <row r="660" spans="2:8">
      <c r="B660" s="5"/>
      <c r="H660" s="16"/>
    </row>
    <row r="661" spans="2:8">
      <c r="B661" s="5"/>
      <c r="H661" s="16"/>
    </row>
    <row r="662" spans="2:8">
      <c r="B662" s="5"/>
      <c r="H662" s="16"/>
    </row>
    <row r="663" spans="2:8">
      <c r="B663" s="5"/>
      <c r="H663" s="16"/>
    </row>
    <row r="664" spans="2:8">
      <c r="B664" s="5"/>
      <c r="H664" s="16"/>
    </row>
    <row r="665" spans="2:8">
      <c r="B665" s="5"/>
      <c r="H665" s="16"/>
    </row>
    <row r="666" spans="2:8">
      <c r="B666" s="5"/>
      <c r="H666" s="16"/>
    </row>
    <row r="667" spans="2:8">
      <c r="B667" s="5"/>
      <c r="H667" s="16"/>
    </row>
    <row r="668" spans="2:8">
      <c r="B668" s="5"/>
      <c r="H668" s="16"/>
    </row>
    <row r="669" spans="2:8">
      <c r="B669" s="5"/>
      <c r="H669" s="16"/>
    </row>
    <row r="670" spans="2:8">
      <c r="B670" s="5"/>
      <c r="H670" s="16"/>
    </row>
    <row r="671" spans="2:8">
      <c r="B671" s="5"/>
      <c r="H671" s="16"/>
    </row>
    <row r="672" spans="2:8">
      <c r="B672" s="5"/>
      <c r="H672" s="16"/>
    </row>
    <row r="673" spans="2:8">
      <c r="B673" s="5"/>
      <c r="H673" s="16"/>
    </row>
    <row r="674" spans="2:8">
      <c r="B674" s="5"/>
      <c r="H674" s="16"/>
    </row>
    <row r="675" spans="2:8">
      <c r="B675" s="5"/>
      <c r="H675" s="16"/>
    </row>
    <row r="676" spans="2:8">
      <c r="B676" s="5"/>
      <c r="H676" s="16"/>
    </row>
    <row r="677" spans="2:8">
      <c r="B677" s="5"/>
      <c r="H677" s="16"/>
    </row>
    <row r="678" spans="2:8">
      <c r="B678" s="5"/>
      <c r="H678" s="16"/>
    </row>
    <row r="679" spans="2:8">
      <c r="B679" s="5"/>
      <c r="H679" s="16"/>
    </row>
    <row r="680" spans="2:8">
      <c r="B680" s="5"/>
      <c r="H680" s="16"/>
    </row>
    <row r="681" spans="2:8">
      <c r="B681" s="5"/>
      <c r="H681" s="16"/>
    </row>
    <row r="682" spans="2:8">
      <c r="B682" s="5"/>
      <c r="H682" s="16"/>
    </row>
    <row r="683" spans="2:8">
      <c r="B683" s="5"/>
      <c r="H683" s="16"/>
    </row>
    <row r="684" spans="2:8">
      <c r="B684" s="5"/>
      <c r="H684" s="16"/>
    </row>
    <row r="685" spans="2:8">
      <c r="B685" s="5"/>
      <c r="H685" s="16"/>
    </row>
    <row r="686" spans="2:8">
      <c r="B686" s="5"/>
      <c r="H686" s="16"/>
    </row>
    <row r="687" spans="2:8">
      <c r="B687" s="5"/>
      <c r="H687" s="16"/>
    </row>
    <row r="688" spans="2:8">
      <c r="B688" s="5"/>
      <c r="H688" s="16"/>
    </row>
    <row r="689" spans="2:8">
      <c r="B689" s="5"/>
      <c r="H689" s="16"/>
    </row>
    <row r="690" spans="2:8">
      <c r="B690" s="5"/>
      <c r="H690" s="16"/>
    </row>
    <row r="691" spans="2:8">
      <c r="B691" s="5"/>
      <c r="H691" s="16"/>
    </row>
    <row r="692" spans="2:8">
      <c r="B692" s="5"/>
      <c r="H692" s="16"/>
    </row>
    <row r="693" spans="2:8">
      <c r="B693" s="5"/>
      <c r="H693" s="16"/>
    </row>
    <row r="694" spans="2:8">
      <c r="B694" s="5"/>
      <c r="H694" s="16"/>
    </row>
    <row r="695" spans="2:8">
      <c r="B695" s="5"/>
      <c r="H695" s="16"/>
    </row>
    <row r="696" spans="2:8">
      <c r="B696" s="5"/>
      <c r="H696" s="16"/>
    </row>
    <row r="697" spans="2:8">
      <c r="B697" s="5"/>
      <c r="H697" s="16"/>
    </row>
    <row r="698" spans="2:8">
      <c r="B698" s="5"/>
      <c r="H698" s="16"/>
    </row>
    <row r="699" spans="2:8">
      <c r="B699" s="5"/>
      <c r="H699" s="16"/>
    </row>
    <row r="700" spans="2:8">
      <c r="B700" s="5"/>
      <c r="H700" s="16"/>
    </row>
    <row r="701" spans="2:8">
      <c r="B701" s="5"/>
      <c r="H701" s="16"/>
    </row>
    <row r="702" spans="2:8">
      <c r="B702" s="5"/>
      <c r="H702" s="16"/>
    </row>
    <row r="703" spans="2:8">
      <c r="B703" s="5"/>
      <c r="H703" s="16"/>
    </row>
    <row r="704" spans="2:8">
      <c r="B704" s="5"/>
      <c r="H704" s="16"/>
    </row>
    <row r="705" spans="2:8">
      <c r="B705" s="5"/>
      <c r="H705" s="16"/>
    </row>
    <row r="706" spans="2:8">
      <c r="B706" s="5"/>
      <c r="H706" s="16"/>
    </row>
    <row r="707" spans="2:8">
      <c r="B707" s="5"/>
      <c r="H707" s="16"/>
    </row>
    <row r="708" spans="2:8">
      <c r="B708" s="5"/>
      <c r="H708" s="16"/>
    </row>
    <row r="709" spans="2:8">
      <c r="B709" s="5"/>
      <c r="H709" s="16"/>
    </row>
    <row r="710" spans="2:8">
      <c r="B710" s="5"/>
      <c r="H710" s="16"/>
    </row>
    <row r="711" spans="2:8">
      <c r="B711" s="5"/>
      <c r="H711" s="16"/>
    </row>
    <row r="712" spans="2:8">
      <c r="B712" s="5"/>
      <c r="H712" s="16"/>
    </row>
    <row r="713" spans="2:8">
      <c r="B713" s="5"/>
      <c r="H713" s="16"/>
    </row>
    <row r="714" spans="2:8">
      <c r="B714" s="5"/>
      <c r="H714" s="16"/>
    </row>
    <row r="715" spans="2:8">
      <c r="B715" s="5"/>
      <c r="H715" s="16"/>
    </row>
    <row r="716" spans="2:8">
      <c r="B716" s="5"/>
      <c r="H716" s="16"/>
    </row>
    <row r="717" spans="2:8">
      <c r="B717" s="5"/>
      <c r="H717" s="16"/>
    </row>
    <row r="718" spans="2:8">
      <c r="B718" s="5"/>
      <c r="H718" s="16"/>
    </row>
    <row r="719" spans="2:8">
      <c r="B719" s="5"/>
      <c r="H719" s="16"/>
    </row>
    <row r="720" spans="2:8">
      <c r="B720" s="5"/>
      <c r="H720" s="16"/>
    </row>
    <row r="721" spans="2:8">
      <c r="B721" s="5"/>
      <c r="H721" s="16"/>
    </row>
    <row r="722" spans="2:8">
      <c r="B722" s="5"/>
      <c r="H722" s="16"/>
    </row>
    <row r="723" spans="2:8">
      <c r="B723" s="5"/>
      <c r="H723" s="16"/>
    </row>
    <row r="724" spans="2:8">
      <c r="B724" s="5"/>
      <c r="H724" s="16"/>
    </row>
    <row r="725" spans="2:8">
      <c r="B725" s="5"/>
      <c r="H725" s="16"/>
    </row>
    <row r="726" spans="2:8">
      <c r="B726" s="5"/>
      <c r="H726" s="16"/>
    </row>
    <row r="727" spans="2:8">
      <c r="B727" s="5"/>
      <c r="H727" s="16"/>
    </row>
    <row r="728" spans="2:8">
      <c r="B728" s="5"/>
      <c r="H728" s="16"/>
    </row>
    <row r="729" spans="2:8">
      <c r="B729" s="5"/>
      <c r="H729" s="16"/>
    </row>
    <row r="730" spans="2:8">
      <c r="B730" s="5"/>
      <c r="H730" s="16"/>
    </row>
    <row r="731" spans="2:8">
      <c r="B731" s="5"/>
      <c r="H731" s="16"/>
    </row>
    <row r="732" spans="2:8">
      <c r="B732" s="5"/>
      <c r="H732" s="16"/>
    </row>
    <row r="733" spans="2:8">
      <c r="B733" s="5"/>
      <c r="H733" s="16"/>
    </row>
    <row r="734" spans="2:8">
      <c r="B734" s="5"/>
      <c r="H734" s="16"/>
    </row>
    <row r="735" spans="2:8">
      <c r="B735" s="5"/>
      <c r="H735" s="16"/>
    </row>
    <row r="736" spans="2:8">
      <c r="B736" s="5"/>
      <c r="H736" s="16"/>
    </row>
    <row r="737" spans="2:8">
      <c r="B737" s="5"/>
      <c r="H737" s="16"/>
    </row>
    <row r="738" spans="2:8">
      <c r="B738" s="5"/>
      <c r="H738" s="16"/>
    </row>
    <row r="739" spans="2:8">
      <c r="B739" s="5"/>
      <c r="H739" s="16"/>
    </row>
    <row r="740" spans="2:8">
      <c r="B740" s="5"/>
      <c r="H740" s="16"/>
    </row>
    <row r="741" spans="2:8">
      <c r="B741" s="5"/>
      <c r="H741" s="16"/>
    </row>
    <row r="742" spans="2:8">
      <c r="B742" s="5"/>
      <c r="H742" s="16"/>
    </row>
    <row r="743" spans="2:8">
      <c r="B743" s="5"/>
      <c r="H743" s="16"/>
    </row>
    <row r="744" spans="2:8">
      <c r="B744" s="5"/>
      <c r="H744" s="16"/>
    </row>
    <row r="745" spans="2:8">
      <c r="B745" s="5"/>
      <c r="H745" s="16"/>
    </row>
    <row r="746" spans="2:8">
      <c r="B746" s="5"/>
      <c r="H746" s="16"/>
    </row>
    <row r="747" spans="2:8">
      <c r="B747" s="5"/>
      <c r="H747" s="16"/>
    </row>
    <row r="748" spans="2:8">
      <c r="B748" s="5"/>
      <c r="H748" s="16"/>
    </row>
    <row r="749" spans="2:8">
      <c r="B749" s="5"/>
      <c r="H749" s="16"/>
    </row>
    <row r="750" spans="2:8">
      <c r="B750" s="5"/>
      <c r="H750" s="16"/>
    </row>
    <row r="751" spans="2:8">
      <c r="B751" s="5"/>
      <c r="H751" s="16"/>
    </row>
    <row r="752" spans="2:8">
      <c r="B752" s="5"/>
      <c r="H752" s="16"/>
    </row>
    <row r="753" spans="2:8">
      <c r="B753" s="5"/>
      <c r="H753" s="16"/>
    </row>
    <row r="754" spans="2:8">
      <c r="B754" s="5"/>
      <c r="H754" s="16"/>
    </row>
    <row r="755" spans="2:8">
      <c r="B755" s="5"/>
      <c r="H755" s="16"/>
    </row>
    <row r="756" spans="2:8">
      <c r="B756" s="5"/>
      <c r="H756" s="16"/>
    </row>
    <row r="757" spans="2:8">
      <c r="B757" s="5"/>
      <c r="H757" s="16"/>
    </row>
    <row r="758" spans="2:8">
      <c r="B758" s="5"/>
      <c r="H758" s="16"/>
    </row>
    <row r="759" spans="2:8">
      <c r="B759" s="5"/>
      <c r="H759" s="16"/>
    </row>
    <row r="760" spans="2:8">
      <c r="B760" s="5"/>
      <c r="H760" s="16"/>
    </row>
    <row r="761" spans="2:8">
      <c r="B761" s="5"/>
      <c r="H761" s="16"/>
    </row>
    <row r="762" spans="2:8">
      <c r="B762" s="5"/>
      <c r="H762" s="16"/>
    </row>
    <row r="763" spans="2:8">
      <c r="B763" s="5"/>
      <c r="H763" s="16"/>
    </row>
    <row r="764" spans="2:8">
      <c r="B764" s="5"/>
      <c r="H764" s="16"/>
    </row>
    <row r="765" spans="2:8">
      <c r="B765" s="5"/>
      <c r="H765" s="16"/>
    </row>
    <row r="766" spans="2:8">
      <c r="B766" s="5"/>
      <c r="H766" s="16"/>
    </row>
    <row r="767" spans="2:8">
      <c r="B767" s="5"/>
      <c r="H767" s="16"/>
    </row>
    <row r="768" spans="2:8">
      <c r="B768" s="5"/>
      <c r="H768" s="16"/>
    </row>
    <row r="769" spans="2:8">
      <c r="B769" s="5"/>
      <c r="H769" s="16"/>
    </row>
    <row r="770" spans="2:8">
      <c r="B770" s="5"/>
      <c r="H770" s="16"/>
    </row>
    <row r="771" spans="2:8">
      <c r="B771" s="5"/>
      <c r="H771" s="16"/>
    </row>
    <row r="772" spans="2:8">
      <c r="B772" s="5"/>
      <c r="H772" s="16"/>
    </row>
    <row r="773" spans="2:8">
      <c r="B773" s="5"/>
      <c r="H773" s="16"/>
    </row>
    <row r="774" spans="2:8">
      <c r="B774" s="5"/>
      <c r="H774" s="16"/>
    </row>
    <row r="775" spans="2:8">
      <c r="B775" s="5"/>
      <c r="H775" s="16"/>
    </row>
    <row r="776" spans="2:8">
      <c r="B776" s="5"/>
      <c r="H776" s="16"/>
    </row>
    <row r="777" spans="2:8">
      <c r="B777" s="5"/>
      <c r="H777" s="16"/>
    </row>
    <row r="778" spans="2:8">
      <c r="B778" s="5"/>
      <c r="H778" s="16"/>
    </row>
    <row r="779" spans="2:8">
      <c r="B779" s="5"/>
      <c r="H779" s="16"/>
    </row>
    <row r="780" spans="2:8">
      <c r="B780" s="5"/>
      <c r="H780" s="16"/>
    </row>
    <row r="781" spans="2:8">
      <c r="B781" s="5"/>
      <c r="H781" s="16"/>
    </row>
    <row r="782" spans="2:8">
      <c r="B782" s="5"/>
      <c r="H782" s="16"/>
    </row>
    <row r="783" spans="2:8">
      <c r="B783" s="5"/>
      <c r="H783" s="16"/>
    </row>
    <row r="784" spans="2:8">
      <c r="B784" s="5"/>
      <c r="H784" s="16"/>
    </row>
    <row r="785" spans="2:8">
      <c r="B785" s="5"/>
      <c r="H785" s="16"/>
    </row>
    <row r="786" spans="2:8">
      <c r="B786" s="5"/>
      <c r="H786" s="16"/>
    </row>
    <row r="787" spans="2:8">
      <c r="B787" s="5"/>
      <c r="H787" s="16"/>
    </row>
    <row r="788" spans="2:8">
      <c r="B788" s="5"/>
      <c r="H788" s="16"/>
    </row>
    <row r="789" spans="2:8">
      <c r="B789" s="5"/>
      <c r="H789" s="16"/>
    </row>
    <row r="790" spans="2:8">
      <c r="B790" s="5"/>
      <c r="H790" s="16"/>
    </row>
    <row r="791" spans="2:8">
      <c r="B791" s="5"/>
      <c r="H791" s="16"/>
    </row>
    <row r="792" spans="2:8">
      <c r="B792" s="5"/>
      <c r="H792" s="16"/>
    </row>
    <row r="793" spans="2:8">
      <c r="B793" s="5"/>
      <c r="H793" s="16"/>
    </row>
    <row r="794" spans="2:8">
      <c r="B794" s="5"/>
      <c r="H794" s="16"/>
    </row>
    <row r="795" spans="2:8">
      <c r="B795" s="5"/>
      <c r="H795" s="16"/>
    </row>
    <row r="796" spans="2:8">
      <c r="B796" s="5"/>
      <c r="H796" s="16"/>
    </row>
    <row r="797" spans="2:8">
      <c r="B797" s="5"/>
      <c r="H797" s="16"/>
    </row>
    <row r="798" spans="2:8">
      <c r="B798" s="5"/>
      <c r="H798" s="16"/>
    </row>
    <row r="799" spans="2:8">
      <c r="B799" s="5"/>
      <c r="H799" s="16"/>
    </row>
    <row r="800" spans="2:8">
      <c r="B800" s="5"/>
      <c r="H800" s="16"/>
    </row>
    <row r="801" spans="2:8">
      <c r="B801" s="5"/>
      <c r="H801" s="16"/>
    </row>
    <row r="802" spans="2:8">
      <c r="B802" s="5"/>
      <c r="H802" s="16"/>
    </row>
    <row r="803" spans="2:8">
      <c r="B803" s="5"/>
      <c r="H803" s="16"/>
    </row>
    <row r="804" spans="2:8">
      <c r="B804" s="5"/>
      <c r="H804" s="16"/>
    </row>
    <row r="805" spans="2:8">
      <c r="B805" s="5"/>
      <c r="H805" s="16"/>
    </row>
    <row r="806" spans="2:8">
      <c r="B806" s="5"/>
      <c r="H806" s="16"/>
    </row>
    <row r="807" spans="2:8">
      <c r="B807" s="5"/>
      <c r="H807" s="16"/>
    </row>
    <row r="808" spans="2:8">
      <c r="B808" s="5"/>
      <c r="H808" s="16"/>
    </row>
    <row r="809" spans="2:8">
      <c r="B809" s="5"/>
      <c r="H809" s="16"/>
    </row>
    <row r="810" spans="2:8">
      <c r="B810" s="5"/>
      <c r="H810" s="16"/>
    </row>
    <row r="811" spans="2:8">
      <c r="B811" s="5"/>
      <c r="H811" s="16"/>
    </row>
    <row r="812" spans="2:8">
      <c r="B812" s="5"/>
      <c r="H812" s="16"/>
    </row>
    <row r="813" spans="2:8">
      <c r="B813" s="5"/>
      <c r="H813" s="16"/>
    </row>
    <row r="814" spans="2:8">
      <c r="B814" s="5"/>
      <c r="H814" s="16"/>
    </row>
    <row r="815" spans="2:8">
      <c r="B815" s="5"/>
      <c r="H815" s="16"/>
    </row>
    <row r="816" spans="2:8">
      <c r="B816" s="5"/>
      <c r="H816" s="16"/>
    </row>
    <row r="817" spans="2:8">
      <c r="B817" s="5"/>
      <c r="H817" s="16"/>
    </row>
    <row r="818" spans="2:8">
      <c r="B818" s="5"/>
      <c r="H818" s="16"/>
    </row>
    <row r="819" spans="2:8">
      <c r="B819" s="5"/>
      <c r="H819" s="16"/>
    </row>
    <row r="820" spans="2:8">
      <c r="B820" s="5"/>
      <c r="H820" s="16"/>
    </row>
    <row r="821" spans="2:8">
      <c r="B821" s="5"/>
      <c r="H821" s="16"/>
    </row>
    <row r="822" spans="2:8">
      <c r="B822" s="5"/>
      <c r="H822" s="16"/>
    </row>
    <row r="823" spans="2:8">
      <c r="B823" s="5"/>
      <c r="H823" s="16"/>
    </row>
    <row r="824" spans="2:8">
      <c r="B824" s="5"/>
      <c r="H824" s="16"/>
    </row>
    <row r="825" spans="2:8">
      <c r="B825" s="5"/>
      <c r="H825" s="16"/>
    </row>
    <row r="826" spans="2:8">
      <c r="B826" s="5"/>
      <c r="H826" s="16"/>
    </row>
    <row r="827" spans="2:8">
      <c r="B827" s="5"/>
      <c r="H827" s="16"/>
    </row>
    <row r="828" spans="2:8">
      <c r="B828" s="5"/>
      <c r="H828" s="16"/>
    </row>
    <row r="829" spans="2:8">
      <c r="B829" s="5"/>
      <c r="H829" s="16"/>
    </row>
    <row r="830" spans="2:8">
      <c r="B830" s="5"/>
      <c r="H830" s="16"/>
    </row>
    <row r="831" spans="2:8">
      <c r="B831" s="5"/>
      <c r="H831" s="16"/>
    </row>
    <row r="832" spans="2:8">
      <c r="B832" s="5"/>
      <c r="H832" s="16"/>
    </row>
    <row r="833" spans="2:8">
      <c r="B833" s="5"/>
      <c r="H833" s="16"/>
    </row>
    <row r="834" spans="2:8">
      <c r="B834" s="5"/>
      <c r="H834" s="16"/>
    </row>
    <row r="835" spans="2:8">
      <c r="B835" s="5"/>
      <c r="H835" s="16"/>
    </row>
    <row r="836" spans="2:8">
      <c r="B836" s="5"/>
      <c r="H836" s="16"/>
    </row>
    <row r="837" spans="2:8">
      <c r="B837" s="5"/>
      <c r="H837" s="16"/>
    </row>
    <row r="838" spans="2:8">
      <c r="B838" s="5"/>
      <c r="H838" s="16"/>
    </row>
    <row r="839" spans="2:8">
      <c r="B839" s="5"/>
      <c r="H839" s="16"/>
    </row>
    <row r="840" spans="2:8">
      <c r="B840" s="5"/>
      <c r="H840" s="16"/>
    </row>
    <row r="841" spans="2:8">
      <c r="B841" s="5"/>
      <c r="H841" s="16"/>
    </row>
    <row r="842" spans="2:8">
      <c r="B842" s="5"/>
      <c r="H842" s="16"/>
    </row>
    <row r="843" spans="2:8">
      <c r="B843" s="5"/>
      <c r="H843" s="16"/>
    </row>
    <row r="844" spans="2:8">
      <c r="B844" s="5"/>
      <c r="H844" s="16"/>
    </row>
    <row r="845" spans="2:8">
      <c r="B845" s="5"/>
      <c r="H845" s="16"/>
    </row>
    <row r="846" spans="2:8">
      <c r="B846" s="5"/>
      <c r="H846" s="16"/>
    </row>
    <row r="847" spans="2:8">
      <c r="B847" s="5"/>
      <c r="H847" s="16"/>
    </row>
    <row r="848" spans="2:8">
      <c r="B848" s="5"/>
      <c r="H848" s="16"/>
    </row>
    <row r="849" spans="2:8">
      <c r="B849" s="5"/>
      <c r="H849" s="16"/>
    </row>
    <row r="850" spans="2:8">
      <c r="B850" s="5"/>
      <c r="H850" s="16"/>
    </row>
    <row r="851" spans="2:8">
      <c r="B851" s="5"/>
      <c r="H851" s="16"/>
    </row>
    <row r="852" spans="2:8">
      <c r="B852" s="5"/>
      <c r="H852" s="16"/>
    </row>
    <row r="853" spans="2:8">
      <c r="B853" s="5"/>
      <c r="H853" s="16"/>
    </row>
    <row r="854" spans="2:8">
      <c r="B854" s="5"/>
      <c r="H854" s="16"/>
    </row>
    <row r="855" spans="2:8">
      <c r="B855" s="5"/>
      <c r="H855" s="16"/>
    </row>
    <row r="856" spans="2:8">
      <c r="B856" s="5"/>
      <c r="H856" s="16"/>
    </row>
    <row r="857" spans="2:8">
      <c r="B857" s="5"/>
      <c r="H857" s="16"/>
    </row>
    <row r="858" spans="2:8">
      <c r="B858" s="5"/>
      <c r="H858" s="16"/>
    </row>
    <row r="859" spans="2:8">
      <c r="B859" s="5"/>
      <c r="H859" s="16"/>
    </row>
    <row r="860" spans="2:8">
      <c r="B860" s="5"/>
      <c r="H860" s="16"/>
    </row>
    <row r="861" spans="2:8">
      <c r="B861" s="5"/>
      <c r="H861" s="16"/>
    </row>
    <row r="862" spans="2:8">
      <c r="B862" s="5"/>
      <c r="H862" s="16"/>
    </row>
    <row r="863" spans="2:8">
      <c r="B863" s="5"/>
      <c r="H863" s="16"/>
    </row>
    <row r="864" spans="2:8">
      <c r="B864" s="5"/>
      <c r="H864" s="16"/>
    </row>
    <row r="865" spans="2:8">
      <c r="B865" s="5"/>
      <c r="H865" s="16"/>
    </row>
    <row r="866" spans="2:8">
      <c r="B866" s="5"/>
      <c r="H866" s="16"/>
    </row>
    <row r="867" spans="2:8">
      <c r="B867" s="5"/>
      <c r="H867" s="16"/>
    </row>
    <row r="868" spans="2:8">
      <c r="B868" s="5"/>
      <c r="H868" s="16"/>
    </row>
    <row r="869" spans="2:8">
      <c r="B869" s="5"/>
      <c r="H869" s="16"/>
    </row>
    <row r="870" spans="2:8">
      <c r="B870" s="5"/>
      <c r="H870" s="16"/>
    </row>
    <row r="871" spans="2:8">
      <c r="B871" s="5"/>
      <c r="H871" s="16"/>
    </row>
    <row r="872" spans="2:8">
      <c r="B872" s="5"/>
      <c r="H872" s="16"/>
    </row>
    <row r="873" spans="2:8">
      <c r="B873" s="5"/>
      <c r="H873" s="16"/>
    </row>
    <row r="874" spans="2:8">
      <c r="B874" s="5"/>
      <c r="H874" s="16"/>
    </row>
    <row r="875" spans="2:8">
      <c r="B875" s="5"/>
      <c r="H875" s="16"/>
    </row>
    <row r="876" spans="2:8">
      <c r="B876" s="5"/>
      <c r="H876" s="16"/>
    </row>
    <row r="877" spans="2:8">
      <c r="B877" s="5"/>
      <c r="H877" s="16"/>
    </row>
    <row r="878" spans="2:8">
      <c r="B878" s="5"/>
      <c r="H878" s="16"/>
    </row>
    <row r="879" spans="2:8">
      <c r="B879" s="5"/>
      <c r="H879" s="16"/>
    </row>
    <row r="880" spans="2:8">
      <c r="B880" s="5"/>
      <c r="H880" s="16"/>
    </row>
    <row r="881" spans="2:8">
      <c r="B881" s="5"/>
      <c r="H881" s="16"/>
    </row>
    <row r="882" spans="2:8">
      <c r="B882" s="5"/>
      <c r="H882" s="16"/>
    </row>
    <row r="883" spans="2:8">
      <c r="B883" s="5"/>
      <c r="H883" s="16"/>
    </row>
    <row r="884" spans="2:8">
      <c r="B884" s="5"/>
      <c r="H884" s="16"/>
    </row>
    <row r="885" spans="2:8">
      <c r="B885" s="5"/>
      <c r="H885" s="16"/>
    </row>
    <row r="886" spans="2:8">
      <c r="B886" s="5"/>
      <c r="H886" s="16"/>
    </row>
    <row r="887" spans="2:8">
      <c r="B887" s="5"/>
      <c r="H887" s="16"/>
    </row>
    <row r="888" spans="2:8">
      <c r="B888" s="5"/>
      <c r="H888" s="16"/>
    </row>
    <row r="889" spans="2:8">
      <c r="B889" s="5"/>
      <c r="H889" s="16"/>
    </row>
    <row r="890" spans="2:8">
      <c r="B890" s="5"/>
      <c r="H890" s="16"/>
    </row>
    <row r="891" spans="2:8">
      <c r="B891" s="5"/>
      <c r="H891" s="16"/>
    </row>
    <row r="892" spans="2:8">
      <c r="B892" s="5"/>
      <c r="H892" s="16"/>
    </row>
  </sheetData>
  <mergeCells count="27">
    <mergeCell ref="C50:F50"/>
    <mergeCell ref="G50:H50"/>
    <mergeCell ref="C47:F47"/>
    <mergeCell ref="G47:H47"/>
    <mergeCell ref="C48:F48"/>
    <mergeCell ref="G48:H48"/>
    <mergeCell ref="C49:F49"/>
    <mergeCell ref="G49:H49"/>
    <mergeCell ref="C44:F44"/>
    <mergeCell ref="G44:H44"/>
    <mergeCell ref="C45:F45"/>
    <mergeCell ref="G45:H45"/>
    <mergeCell ref="C46:F46"/>
    <mergeCell ref="G46:H46"/>
    <mergeCell ref="C43:F43"/>
    <mergeCell ref="G43:H43"/>
    <mergeCell ref="A4:H4"/>
    <mergeCell ref="A10:F10"/>
    <mergeCell ref="A17:F17"/>
    <mergeCell ref="A23:F23"/>
    <mergeCell ref="A29:F29"/>
    <mergeCell ref="A35:F35"/>
    <mergeCell ref="A38:F38"/>
    <mergeCell ref="C41:F41"/>
    <mergeCell ref="G41:H41"/>
    <mergeCell ref="C42:F42"/>
    <mergeCell ref="G42:H42"/>
  </mergeCells>
  <phoneticPr fontId="24" type="noConversion"/>
  <dataValidations count="1">
    <dataValidation type="list" allowBlank="1" showInputMessage="1" showErrorMessage="1" sqref="B42:B48" xr:uid="{13DA5C41-C47E-4E2C-A9D9-1C4C58E6C6D6}">
      <formula1>$L$41:$L$45</formula1>
    </dataValidation>
  </dataValidations>
  <pageMargins left="0.7" right="0.7" top="0.75" bottom="0.75" header="0.3" footer="0.3"/>
  <pageSetup scale="52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22FF0-642D-4CF2-82D3-F3053160322C}">
  <sheetPr>
    <pageSetUpPr fitToPage="1"/>
  </sheetPr>
  <dimension ref="A1:L892"/>
  <sheetViews>
    <sheetView showZeros="0" view="pageBreakPreview" zoomScale="60" zoomScaleNormal="70" workbookViewId="0">
      <selection activeCell="A11" sqref="A11"/>
    </sheetView>
  </sheetViews>
  <sheetFormatPr defaultColWidth="10.875" defaultRowHeight="18.75"/>
  <cols>
    <col min="1" max="1" width="35.625" customWidth="1"/>
    <col min="2" max="2" width="14.625" style="16" customWidth="1"/>
    <col min="3" max="7" width="15.875" style="5" customWidth="1"/>
    <col min="8" max="8" width="15.875" style="17" customWidth="1"/>
    <col min="9" max="9" width="9" style="5"/>
    <col min="10" max="12" width="0" style="5" hidden="1" customWidth="1"/>
    <col min="13" max="16384" width="10.875" style="5"/>
  </cols>
  <sheetData>
    <row r="1" spans="1:10" customFormat="1" ht="15.75">
      <c r="A1" s="41"/>
      <c r="B1" s="42"/>
      <c r="C1" s="43"/>
      <c r="D1" s="43"/>
      <c r="E1" s="45" t="s">
        <v>25</v>
      </c>
      <c r="F1" s="43"/>
      <c r="G1" s="45" t="s">
        <v>26</v>
      </c>
      <c r="H1" s="44">
        <v>6</v>
      </c>
    </row>
    <row r="2" spans="1:10">
      <c r="A2" s="30"/>
      <c r="B2" s="18" t="s">
        <v>27</v>
      </c>
      <c r="C2" s="19" t="s">
        <v>28</v>
      </c>
      <c r="D2" s="19" t="s">
        <v>29</v>
      </c>
      <c r="E2" s="18" t="s">
        <v>30</v>
      </c>
      <c r="F2" s="18" t="s">
        <v>31</v>
      </c>
      <c r="G2" s="18" t="s">
        <v>32</v>
      </c>
      <c r="H2" s="18" t="s">
        <v>33</v>
      </c>
    </row>
    <row r="3" spans="1:10" ht="21" customHeight="1">
      <c r="A3" s="31" t="s">
        <v>7</v>
      </c>
      <c r="B3" s="6">
        <f>'Week. 11'!H3+1</f>
        <v>46103</v>
      </c>
      <c r="C3" s="6">
        <f>B3+1</f>
        <v>46104</v>
      </c>
      <c r="D3" s="6">
        <f t="shared" ref="D3:H3" si="0">C3+1</f>
        <v>46105</v>
      </c>
      <c r="E3" s="6">
        <f t="shared" si="0"/>
        <v>46106</v>
      </c>
      <c r="F3" s="6">
        <f t="shared" si="0"/>
        <v>46107</v>
      </c>
      <c r="G3" s="6">
        <f t="shared" si="0"/>
        <v>46108</v>
      </c>
      <c r="H3" s="6">
        <f t="shared" si="0"/>
        <v>46109</v>
      </c>
    </row>
    <row r="4" spans="1:10" s="7" customFormat="1">
      <c r="A4" s="181" t="s">
        <v>135</v>
      </c>
      <c r="B4" s="181"/>
      <c r="C4" s="181"/>
      <c r="D4" s="181"/>
      <c r="E4" s="181"/>
      <c r="F4" s="181"/>
      <c r="G4" s="181"/>
      <c r="H4" s="181"/>
    </row>
    <row r="5" spans="1:10" s="7" customFormat="1" ht="26.1" customHeight="1">
      <c r="A5" s="32" t="s">
        <v>8</v>
      </c>
      <c r="B5" s="27"/>
      <c r="C5" s="27"/>
      <c r="D5" s="27"/>
      <c r="E5" s="27"/>
      <c r="F5" s="27"/>
      <c r="G5" s="27"/>
      <c r="H5" s="27"/>
    </row>
    <row r="6" spans="1:10" s="7" customFormat="1" ht="26.1" customHeight="1">
      <c r="A6" s="4" t="s">
        <v>23</v>
      </c>
      <c r="B6" s="62"/>
      <c r="C6" s="62"/>
      <c r="D6" s="62"/>
      <c r="E6" s="62"/>
      <c r="F6" s="62"/>
      <c r="G6" s="62"/>
      <c r="H6" s="62"/>
    </row>
    <row r="7" spans="1:10" s="7" customFormat="1" ht="21.95" customHeight="1">
      <c r="A7" s="32" t="s">
        <v>35</v>
      </c>
      <c r="B7" s="27"/>
      <c r="C7" s="28"/>
      <c r="D7" s="28"/>
      <c r="E7" s="28"/>
      <c r="F7" s="28"/>
      <c r="G7" s="28"/>
      <c r="H7" s="27"/>
    </row>
    <row r="8" spans="1:10" s="7" customFormat="1" ht="24.95" customHeight="1">
      <c r="A8" s="83" t="s">
        <v>36</v>
      </c>
      <c r="B8" s="84">
        <f t="shared" ref="B8:H8" si="1">B5+B6+B7</f>
        <v>0</v>
      </c>
      <c r="C8" s="84">
        <f t="shared" si="1"/>
        <v>0</v>
      </c>
      <c r="D8" s="84">
        <f t="shared" si="1"/>
        <v>0</v>
      </c>
      <c r="E8" s="84">
        <f t="shared" si="1"/>
        <v>0</v>
      </c>
      <c r="F8" s="84">
        <f t="shared" si="1"/>
        <v>0</v>
      </c>
      <c r="G8" s="84">
        <f t="shared" si="1"/>
        <v>0</v>
      </c>
      <c r="H8" s="84">
        <f t="shared" si="1"/>
        <v>0</v>
      </c>
    </row>
    <row r="9" spans="1:10" s="7" customFormat="1" ht="24.95" customHeight="1">
      <c r="A9" s="33"/>
      <c r="B9" s="29"/>
      <c r="C9" s="29"/>
      <c r="D9" s="29"/>
      <c r="E9" s="29"/>
      <c r="F9" s="29"/>
      <c r="G9" s="63" t="s">
        <v>37</v>
      </c>
      <c r="H9" s="64">
        <f>SUM(B8:H8)</f>
        <v>0</v>
      </c>
    </row>
    <row r="10" spans="1:10" s="7" customFormat="1">
      <c r="A10" s="182" t="s">
        <v>136</v>
      </c>
      <c r="B10" s="183"/>
      <c r="C10" s="183"/>
      <c r="D10" s="183"/>
      <c r="E10" s="183"/>
      <c r="F10" s="183"/>
      <c r="G10" s="65" t="s">
        <v>39</v>
      </c>
      <c r="H10" s="66">
        <v>-0.15</v>
      </c>
      <c r="I10" s="5"/>
      <c r="J10" s="26"/>
    </row>
    <row r="11" spans="1:10" s="7" customFormat="1" ht="30" customHeight="1">
      <c r="A11" s="39" t="s">
        <v>8</v>
      </c>
      <c r="B11" s="9"/>
      <c r="C11" s="9"/>
      <c r="D11" s="67"/>
      <c r="E11" s="67"/>
      <c r="F11" s="9"/>
      <c r="G11" s="68"/>
      <c r="H11" s="69"/>
    </row>
    <row r="12" spans="1:10" s="7" customFormat="1" ht="30" customHeight="1">
      <c r="A12" s="70" t="s">
        <v>23</v>
      </c>
      <c r="B12" s="59"/>
      <c r="C12" s="58"/>
      <c r="D12" s="58"/>
      <c r="E12" s="58"/>
      <c r="F12" s="58"/>
      <c r="G12" s="58"/>
      <c r="H12" s="58"/>
    </row>
    <row r="13" spans="1:10" s="7" customFormat="1" ht="30" customHeight="1">
      <c r="A13" s="3" t="s">
        <v>35</v>
      </c>
      <c r="B13" s="8"/>
      <c r="C13" s="8"/>
      <c r="D13" s="8"/>
      <c r="E13" s="8"/>
      <c r="F13" s="8"/>
      <c r="G13" s="8"/>
      <c r="H13" s="8"/>
    </row>
    <row r="14" spans="1:10" s="7" customFormat="1" ht="27" customHeight="1">
      <c r="A14" s="85" t="s">
        <v>36</v>
      </c>
      <c r="B14" s="87">
        <f t="shared" ref="B14:H14" si="2">B11+B12+B13</f>
        <v>0</v>
      </c>
      <c r="C14" s="87">
        <f t="shared" si="2"/>
        <v>0</v>
      </c>
      <c r="D14" s="87">
        <f t="shared" si="2"/>
        <v>0</v>
      </c>
      <c r="E14" s="87">
        <f t="shared" si="2"/>
        <v>0</v>
      </c>
      <c r="F14" s="87">
        <f t="shared" si="2"/>
        <v>0</v>
      </c>
      <c r="G14" s="87">
        <f t="shared" si="2"/>
        <v>0</v>
      </c>
      <c r="H14" s="87">
        <f t="shared" si="2"/>
        <v>0</v>
      </c>
    </row>
    <row r="15" spans="1:10" s="7" customFormat="1" ht="24.95" customHeight="1">
      <c r="A15" s="86" t="s">
        <v>40</v>
      </c>
      <c r="B15" s="92" t="e">
        <f t="shared" ref="B15:H15" si="3">(B14-B8)/B8</f>
        <v>#DIV/0!</v>
      </c>
      <c r="C15" s="93" t="e">
        <f t="shared" si="3"/>
        <v>#DIV/0!</v>
      </c>
      <c r="D15" s="93" t="e">
        <f t="shared" si="3"/>
        <v>#DIV/0!</v>
      </c>
      <c r="E15" s="93" t="e">
        <f t="shared" si="3"/>
        <v>#DIV/0!</v>
      </c>
      <c r="F15" s="93" t="e">
        <f t="shared" si="3"/>
        <v>#DIV/0!</v>
      </c>
      <c r="G15" s="93" t="e">
        <f t="shared" si="3"/>
        <v>#DIV/0!</v>
      </c>
      <c r="H15" s="94" t="e">
        <f t="shared" si="3"/>
        <v>#DIV/0!</v>
      </c>
      <c r="I15" s="71"/>
    </row>
    <row r="16" spans="1:10" ht="30" customHeight="1">
      <c r="B16" s="88"/>
      <c r="C16" s="88"/>
      <c r="D16" s="88"/>
      <c r="E16" s="88"/>
      <c r="F16" s="89"/>
      <c r="G16" s="90" t="s">
        <v>37</v>
      </c>
      <c r="H16" s="91">
        <f>SUM(B14:H14)</f>
        <v>0</v>
      </c>
    </row>
    <row r="17" spans="1:8" s="7" customFormat="1">
      <c r="A17" s="184" t="s">
        <v>41</v>
      </c>
      <c r="B17" s="185"/>
      <c r="C17" s="185"/>
      <c r="D17" s="185"/>
      <c r="E17" s="185"/>
      <c r="F17" s="185"/>
      <c r="G17" s="72" t="s">
        <v>42</v>
      </c>
      <c r="H17" s="66" t="e">
        <f>(H16-H9)/H9</f>
        <v>#DIV/0!</v>
      </c>
    </row>
    <row r="18" spans="1:8" s="7" customFormat="1" ht="30" customHeight="1">
      <c r="A18" s="35" t="s">
        <v>43</v>
      </c>
      <c r="B18" s="12"/>
      <c r="C18" s="12"/>
      <c r="D18" s="73"/>
      <c r="E18" s="73"/>
      <c r="F18" s="12"/>
      <c r="G18" s="24"/>
      <c r="H18" s="74"/>
    </row>
    <row r="19" spans="1:8" s="7" customFormat="1" ht="30" customHeight="1">
      <c r="A19" s="35" t="str">
        <f>'Week. 11'!A31</f>
        <v>Non Meal Plan Meals</v>
      </c>
      <c r="B19" s="12"/>
      <c r="C19" s="12"/>
      <c r="D19" s="73"/>
      <c r="E19" s="73"/>
      <c r="F19" s="12"/>
      <c r="G19" s="24"/>
      <c r="H19" s="74"/>
    </row>
    <row r="20" spans="1:8" s="7" customFormat="1" ht="30" customHeight="1">
      <c r="A20" s="35" t="str">
        <f>'Week. 11'!A32</f>
        <v xml:space="preserve">Meal numbers </v>
      </c>
      <c r="B20" s="95"/>
      <c r="C20" s="95"/>
      <c r="D20" s="67"/>
      <c r="E20" s="67"/>
      <c r="F20" s="95"/>
      <c r="G20" s="95"/>
      <c r="H20" s="75"/>
    </row>
    <row r="21" spans="1:8" s="7" customFormat="1" ht="24.95" customHeight="1">
      <c r="A21" s="36" t="s">
        <v>45</v>
      </c>
      <c r="B21" s="77">
        <f t="shared" ref="B21:G21" si="4">B18+B20</f>
        <v>0</v>
      </c>
      <c r="C21" s="77">
        <f t="shared" si="4"/>
        <v>0</v>
      </c>
      <c r="D21" s="96"/>
      <c r="E21" s="96"/>
      <c r="F21" s="77">
        <f t="shared" si="4"/>
        <v>0</v>
      </c>
      <c r="G21" s="77">
        <f t="shared" si="4"/>
        <v>0</v>
      </c>
      <c r="H21" s="77">
        <f>H18+H20</f>
        <v>0</v>
      </c>
    </row>
    <row r="22" spans="1:8" s="7" customFormat="1" ht="24.95" customHeight="1">
      <c r="A22" s="34" t="s">
        <v>40</v>
      </c>
      <c r="B22" s="92" t="e">
        <f>(B21-B5)/B5</f>
        <v>#DIV/0!</v>
      </c>
      <c r="C22" s="93" t="e">
        <f>(C21-C5)/C5</f>
        <v>#DIV/0!</v>
      </c>
      <c r="D22" s="99"/>
      <c r="E22" s="99"/>
      <c r="F22" s="93" t="e">
        <f>(F21-F5)/F5</f>
        <v>#DIV/0!</v>
      </c>
      <c r="G22" s="93" t="e">
        <f>(G21-G5)/G5</f>
        <v>#DIV/0!</v>
      </c>
      <c r="H22" s="94" t="e">
        <f>(H21-H5)/H5</f>
        <v>#DIV/0!</v>
      </c>
    </row>
    <row r="23" spans="1:8" s="7" customFormat="1">
      <c r="A23" s="186" t="s">
        <v>46</v>
      </c>
      <c r="B23" s="187"/>
      <c r="C23" s="187"/>
      <c r="D23" s="187"/>
      <c r="E23" s="187"/>
      <c r="F23" s="188" t="s">
        <v>47</v>
      </c>
      <c r="G23" s="97"/>
      <c r="H23" s="98"/>
    </row>
    <row r="24" spans="1:8" s="7" customFormat="1" ht="30" customHeight="1">
      <c r="A24" s="35" t="s">
        <v>43</v>
      </c>
      <c r="B24" s="11"/>
      <c r="C24" s="12"/>
      <c r="D24" s="12"/>
      <c r="E24" s="12"/>
      <c r="F24" s="12"/>
      <c r="G24" s="12"/>
      <c r="H24" s="11"/>
    </row>
    <row r="25" spans="1:8" s="7" customFormat="1" ht="30" customHeight="1">
      <c r="A25" s="35" t="str">
        <f>A19</f>
        <v>Non Meal Plan Meals</v>
      </c>
      <c r="B25" s="117"/>
      <c r="C25" s="117"/>
      <c r="D25" s="117"/>
      <c r="E25" s="117"/>
      <c r="F25" s="117"/>
      <c r="G25" s="117"/>
      <c r="H25" s="117"/>
    </row>
    <row r="26" spans="1:8" s="7" customFormat="1" ht="30" customHeight="1">
      <c r="A26" s="35" t="str">
        <f>A20</f>
        <v xml:space="preserve">Meal numbers </v>
      </c>
      <c r="B26" s="11"/>
      <c r="C26" s="11"/>
      <c r="D26" s="11"/>
      <c r="E26" s="11"/>
      <c r="F26" s="11"/>
      <c r="G26" s="11"/>
      <c r="H26" s="11"/>
    </row>
    <row r="27" spans="1:8" s="7" customFormat="1" ht="27.95" customHeight="1">
      <c r="A27" s="36" t="s">
        <v>50</v>
      </c>
      <c r="B27" s="100">
        <f>B24+B25+B26</f>
        <v>0</v>
      </c>
      <c r="C27" s="100">
        <f t="shared" ref="C27:G27" si="5">C24+C25+C26</f>
        <v>0</v>
      </c>
      <c r="D27" s="100">
        <f t="shared" si="5"/>
        <v>0</v>
      </c>
      <c r="E27" s="100">
        <f t="shared" si="5"/>
        <v>0</v>
      </c>
      <c r="F27" s="100">
        <f t="shared" si="5"/>
        <v>0</v>
      </c>
      <c r="G27" s="100">
        <f t="shared" si="5"/>
        <v>0</v>
      </c>
      <c r="H27" s="100">
        <f>H24+H25+H26</f>
        <v>0</v>
      </c>
    </row>
    <row r="28" spans="1:8" s="7" customFormat="1" ht="24.95" customHeight="1">
      <c r="A28" s="34" t="s">
        <v>40</v>
      </c>
      <c r="B28" s="92" t="e">
        <f t="shared" ref="B28:H28" si="6">(B27-B6)/B6</f>
        <v>#DIV/0!</v>
      </c>
      <c r="C28" s="93" t="e">
        <f t="shared" si="6"/>
        <v>#DIV/0!</v>
      </c>
      <c r="D28" s="93" t="e">
        <f t="shared" si="6"/>
        <v>#DIV/0!</v>
      </c>
      <c r="E28" s="93" t="e">
        <f t="shared" si="6"/>
        <v>#DIV/0!</v>
      </c>
      <c r="F28" s="93" t="e">
        <f t="shared" si="6"/>
        <v>#DIV/0!</v>
      </c>
      <c r="G28" s="93" t="e">
        <f t="shared" si="6"/>
        <v>#DIV/0!</v>
      </c>
      <c r="H28" s="94" t="e">
        <f t="shared" si="6"/>
        <v>#DIV/0!</v>
      </c>
    </row>
    <row r="29" spans="1:8" s="7" customFormat="1">
      <c r="A29" s="189" t="s">
        <v>51</v>
      </c>
      <c r="B29" s="190"/>
      <c r="C29" s="190"/>
      <c r="D29" s="190"/>
      <c r="E29" s="190"/>
      <c r="F29" s="191" t="s">
        <v>35</v>
      </c>
      <c r="G29" s="101"/>
      <c r="H29" s="102"/>
    </row>
    <row r="30" spans="1:8" s="7" customFormat="1" ht="30" customHeight="1">
      <c r="A30" s="35" t="s">
        <v>43</v>
      </c>
      <c r="B30" s="10"/>
      <c r="C30" s="9"/>
      <c r="D30" s="9"/>
      <c r="E30" s="9"/>
      <c r="F30" s="9"/>
      <c r="G30" s="9"/>
      <c r="H30" s="10"/>
    </row>
    <row r="31" spans="1:8" s="7" customFormat="1" ht="30" customHeight="1">
      <c r="A31" s="35" t="str">
        <f>A25</f>
        <v>Non Meal Plan Meals</v>
      </c>
      <c r="B31" s="161"/>
      <c r="C31" s="60"/>
      <c r="D31" s="60"/>
      <c r="E31" s="60"/>
      <c r="F31" s="60"/>
      <c r="G31" s="60"/>
      <c r="H31" s="60"/>
    </row>
    <row r="32" spans="1:8" s="7" customFormat="1" ht="30" customHeight="1">
      <c r="A32" s="35" t="str">
        <f>A26</f>
        <v xml:space="preserve">Meal numbers </v>
      </c>
      <c r="B32" s="10"/>
      <c r="C32" s="10"/>
      <c r="D32" s="10"/>
      <c r="E32" s="10"/>
      <c r="F32" s="10"/>
      <c r="G32" s="10"/>
      <c r="H32" s="10"/>
    </row>
    <row r="33" spans="1:12" s="7" customFormat="1" ht="30.95" customHeight="1">
      <c r="A33" s="36" t="s">
        <v>53</v>
      </c>
      <c r="B33" s="103">
        <f>B30+B31+B32</f>
        <v>0</v>
      </c>
      <c r="C33" s="103">
        <f t="shared" ref="C33:G33" si="7">C30+C31+C32</f>
        <v>0</v>
      </c>
      <c r="D33" s="103">
        <f t="shared" si="7"/>
        <v>0</v>
      </c>
      <c r="E33" s="103">
        <f t="shared" si="7"/>
        <v>0</v>
      </c>
      <c r="F33" s="103">
        <f t="shared" si="7"/>
        <v>0</v>
      </c>
      <c r="G33" s="103">
        <f t="shared" si="7"/>
        <v>0</v>
      </c>
      <c r="H33" s="103">
        <f>H30+H31+H32</f>
        <v>0</v>
      </c>
    </row>
    <row r="34" spans="1:12" s="7" customFormat="1" ht="24.95" customHeight="1">
      <c r="A34" s="34" t="s">
        <v>40</v>
      </c>
      <c r="B34" s="92" t="e">
        <f t="shared" ref="B34:H34" si="8">(B33-B7)/B7</f>
        <v>#DIV/0!</v>
      </c>
      <c r="C34" s="93" t="e">
        <f t="shared" si="8"/>
        <v>#DIV/0!</v>
      </c>
      <c r="D34" s="93" t="e">
        <f t="shared" si="8"/>
        <v>#DIV/0!</v>
      </c>
      <c r="E34" s="93" t="e">
        <f t="shared" si="8"/>
        <v>#DIV/0!</v>
      </c>
      <c r="F34" s="93" t="e">
        <f t="shared" si="8"/>
        <v>#DIV/0!</v>
      </c>
      <c r="G34" s="93" t="e">
        <f t="shared" si="8"/>
        <v>#DIV/0!</v>
      </c>
      <c r="H34" s="94" t="e">
        <f t="shared" si="8"/>
        <v>#DIV/0!</v>
      </c>
    </row>
    <row r="35" spans="1:12" s="7" customFormat="1">
      <c r="A35" s="192" t="s">
        <v>54</v>
      </c>
      <c r="B35" s="193"/>
      <c r="C35" s="193"/>
      <c r="D35" s="193"/>
      <c r="E35" s="193"/>
      <c r="F35" s="194" t="s">
        <v>35</v>
      </c>
      <c r="G35" s="104"/>
      <c r="H35" s="105"/>
    </row>
    <row r="36" spans="1:12" s="7" customFormat="1" ht="30.95" customHeight="1">
      <c r="A36" s="78" t="s">
        <v>55</v>
      </c>
      <c r="B36" s="77">
        <f>B33+B27+B21</f>
        <v>0</v>
      </c>
      <c r="C36" s="77">
        <f t="shared" ref="C36:H36" si="9">C33+C27+C21</f>
        <v>0</v>
      </c>
      <c r="D36" s="77">
        <f t="shared" si="9"/>
        <v>0</v>
      </c>
      <c r="E36" s="77">
        <f t="shared" si="9"/>
        <v>0</v>
      </c>
      <c r="F36" s="77">
        <f t="shared" si="9"/>
        <v>0</v>
      </c>
      <c r="G36" s="77">
        <f t="shared" si="9"/>
        <v>0</v>
      </c>
      <c r="H36" s="77">
        <f t="shared" si="9"/>
        <v>0</v>
      </c>
    </row>
    <row r="37" spans="1:12" s="7" customFormat="1" ht="24.95" customHeight="1">
      <c r="A37" s="34" t="s">
        <v>40</v>
      </c>
      <c r="B37" s="92" t="e">
        <f t="shared" ref="B37:H37" si="10">(B36-B8)/B8</f>
        <v>#DIV/0!</v>
      </c>
      <c r="C37" s="93" t="e">
        <f t="shared" si="10"/>
        <v>#DIV/0!</v>
      </c>
      <c r="D37" s="93" t="e">
        <f t="shared" si="10"/>
        <v>#DIV/0!</v>
      </c>
      <c r="E37" s="93" t="e">
        <f t="shared" si="10"/>
        <v>#DIV/0!</v>
      </c>
      <c r="F37" s="93" t="e">
        <f t="shared" si="10"/>
        <v>#DIV/0!</v>
      </c>
      <c r="G37" s="93" t="e">
        <f t="shared" si="10"/>
        <v>#DIV/0!</v>
      </c>
      <c r="H37" s="94" t="e">
        <f t="shared" si="10"/>
        <v>#DIV/0!</v>
      </c>
    </row>
    <row r="38" spans="1:12" ht="30" customHeight="1">
      <c r="A38" s="195"/>
      <c r="B38" s="196"/>
      <c r="C38" s="196"/>
      <c r="D38" s="196"/>
      <c r="E38" s="196"/>
      <c r="F38" s="196"/>
      <c r="G38" s="106" t="s">
        <v>37</v>
      </c>
      <c r="H38" s="107">
        <f>SUM(B36:H36)</f>
        <v>0</v>
      </c>
    </row>
    <row r="39" spans="1:12" s="7" customFormat="1" ht="24.95" customHeight="1">
      <c r="A39" s="37"/>
      <c r="B39" s="25"/>
      <c r="C39" s="25"/>
      <c r="D39" s="25"/>
      <c r="E39" s="25"/>
      <c r="F39" s="25"/>
      <c r="G39" s="79" t="s">
        <v>40</v>
      </c>
      <c r="H39" s="80" t="e">
        <f>(H38-H9)/H9</f>
        <v>#DIV/0!</v>
      </c>
    </row>
    <row r="40" spans="1:12" s="7" customFormat="1" ht="24.95" customHeight="1">
      <c r="A40" s="37"/>
      <c r="B40" s="25"/>
      <c r="C40" s="25"/>
      <c r="D40" s="25"/>
      <c r="E40" s="25"/>
      <c r="F40" s="25"/>
      <c r="G40" s="81" t="s">
        <v>56</v>
      </c>
      <c r="H40" s="82" t="e">
        <f>(H38-H16)/H16</f>
        <v>#DIV/0!</v>
      </c>
    </row>
    <row r="41" spans="1:12" s="46" customFormat="1" ht="23.1" customHeight="1">
      <c r="A41" s="40"/>
      <c r="B41" s="47" t="s">
        <v>57</v>
      </c>
      <c r="C41" s="197" t="s">
        <v>58</v>
      </c>
      <c r="D41" s="197"/>
      <c r="E41" s="197"/>
      <c r="F41" s="197"/>
      <c r="G41" s="198">
        <v>2022</v>
      </c>
      <c r="H41" s="199"/>
    </row>
    <row r="42" spans="1:12" ht="30" customHeight="1">
      <c r="A42" s="1" t="s">
        <v>60</v>
      </c>
      <c r="B42" s="57" t="s">
        <v>59</v>
      </c>
      <c r="C42" s="180"/>
      <c r="D42" s="180"/>
      <c r="E42" s="180"/>
      <c r="F42" s="180"/>
      <c r="G42" s="178"/>
      <c r="H42" s="179"/>
      <c r="L42" s="7" t="s">
        <v>61</v>
      </c>
    </row>
    <row r="43" spans="1:12" ht="30" customHeight="1">
      <c r="A43" s="1" t="s">
        <v>1</v>
      </c>
      <c r="B43" s="57" t="s">
        <v>59</v>
      </c>
      <c r="C43" s="180"/>
      <c r="D43" s="180"/>
      <c r="E43" s="180"/>
      <c r="F43" s="180"/>
      <c r="G43" s="178"/>
      <c r="H43" s="179"/>
      <c r="L43" s="5" t="s">
        <v>62</v>
      </c>
    </row>
    <row r="44" spans="1:12" ht="30" customHeight="1">
      <c r="A44" s="1" t="s">
        <v>2</v>
      </c>
      <c r="B44" s="57" t="s">
        <v>59</v>
      </c>
      <c r="C44" s="175"/>
      <c r="D44" s="175"/>
      <c r="E44" s="175"/>
      <c r="F44" s="175"/>
      <c r="G44" s="176"/>
      <c r="H44" s="177"/>
      <c r="L44" s="5" t="s">
        <v>63</v>
      </c>
    </row>
    <row r="45" spans="1:12" ht="30" customHeight="1">
      <c r="A45" s="1" t="s">
        <v>3</v>
      </c>
      <c r="B45" s="57" t="s">
        <v>59</v>
      </c>
      <c r="C45" s="175"/>
      <c r="D45" s="175"/>
      <c r="E45" s="175"/>
      <c r="F45" s="175"/>
      <c r="G45" s="176"/>
      <c r="H45" s="177"/>
      <c r="L45" s="5" t="s">
        <v>64</v>
      </c>
    </row>
    <row r="46" spans="1:12" ht="30.95" customHeight="1">
      <c r="A46" s="1" t="s">
        <v>4</v>
      </c>
      <c r="B46" s="57" t="s">
        <v>59</v>
      </c>
      <c r="C46" s="175"/>
      <c r="D46" s="175"/>
      <c r="E46" s="175"/>
      <c r="F46" s="175"/>
      <c r="G46" s="176"/>
      <c r="H46" s="177"/>
    </row>
    <row r="47" spans="1:12" ht="30" customHeight="1">
      <c r="A47" s="1" t="s">
        <v>5</v>
      </c>
      <c r="B47" s="57" t="s">
        <v>59</v>
      </c>
      <c r="C47" s="175"/>
      <c r="D47" s="175"/>
      <c r="E47" s="175"/>
      <c r="F47" s="175"/>
      <c r="G47" s="176"/>
      <c r="H47" s="177"/>
    </row>
    <row r="48" spans="1:12" ht="30" customHeight="1">
      <c r="A48" s="1" t="s">
        <v>6</v>
      </c>
      <c r="B48" s="57" t="s">
        <v>59</v>
      </c>
      <c r="C48" s="175"/>
      <c r="D48" s="175"/>
      <c r="E48" s="175"/>
      <c r="F48" s="175"/>
      <c r="G48" s="176"/>
      <c r="H48" s="177"/>
    </row>
    <row r="49" spans="1:8" ht="30" customHeight="1">
      <c r="A49" s="1"/>
      <c r="B49" s="14"/>
      <c r="C49" s="175"/>
      <c r="D49" s="175"/>
      <c r="E49" s="175"/>
      <c r="F49" s="175"/>
      <c r="G49" s="176"/>
      <c r="H49" s="177"/>
    </row>
    <row r="50" spans="1:8" ht="30" customHeight="1">
      <c r="A50" s="2"/>
      <c r="B50" s="14"/>
      <c r="C50" s="175"/>
      <c r="D50" s="175"/>
      <c r="E50" s="175"/>
      <c r="F50" s="175"/>
      <c r="G50" s="176"/>
      <c r="H50" s="177"/>
    </row>
    <row r="51" spans="1:8">
      <c r="A51" s="30"/>
      <c r="B51" s="18" t="s">
        <v>27</v>
      </c>
      <c r="C51" s="18" t="s">
        <v>28</v>
      </c>
      <c r="D51" s="18" t="s">
        <v>65</v>
      </c>
      <c r="E51" s="18" t="s">
        <v>30</v>
      </c>
      <c r="F51" s="18" t="s">
        <v>66</v>
      </c>
      <c r="G51" s="18" t="s">
        <v>32</v>
      </c>
      <c r="H51" s="18" t="s">
        <v>33</v>
      </c>
    </row>
    <row r="52" spans="1:8">
      <c r="A52" s="38" t="s">
        <v>67</v>
      </c>
      <c r="B52" s="15"/>
      <c r="C52" s="20"/>
      <c r="D52" s="20"/>
      <c r="E52" s="20"/>
      <c r="F52" s="20"/>
      <c r="G52" s="20"/>
      <c r="H52" s="15"/>
    </row>
    <row r="53" spans="1:8" customFormat="1" ht="15.75">
      <c r="A53" s="48" t="s">
        <v>68</v>
      </c>
      <c r="B53" s="22"/>
      <c r="C53" s="21"/>
      <c r="D53" s="21"/>
      <c r="E53" s="21"/>
      <c r="F53" s="21"/>
      <c r="G53" s="23" t="s">
        <v>37</v>
      </c>
      <c r="H53" s="23">
        <f>SUM(B52:H52)</f>
        <v>0</v>
      </c>
    </row>
    <row r="54" spans="1:8">
      <c r="A54" s="30"/>
      <c r="B54" s="18" t="s">
        <v>27</v>
      </c>
      <c r="C54" s="18" t="s">
        <v>28</v>
      </c>
      <c r="D54" s="18" t="s">
        <v>65</v>
      </c>
      <c r="E54" s="18" t="s">
        <v>30</v>
      </c>
      <c r="F54" s="18" t="s">
        <v>66</v>
      </c>
      <c r="G54" s="18" t="s">
        <v>32</v>
      </c>
      <c r="H54" s="18" t="s">
        <v>33</v>
      </c>
    </row>
    <row r="55" spans="1:8">
      <c r="A55" s="38" t="s">
        <v>69</v>
      </c>
      <c r="B55" s="51"/>
      <c r="C55" s="52"/>
      <c r="D55" s="52"/>
      <c r="E55" s="52"/>
      <c r="F55" s="52"/>
      <c r="G55" s="20"/>
      <c r="H55" s="15"/>
    </row>
    <row r="56" spans="1:8" customFormat="1" ht="15.75">
      <c r="A56" s="49" t="s">
        <v>70</v>
      </c>
      <c r="B56" s="53"/>
      <c r="C56" s="53" t="s">
        <v>71</v>
      </c>
      <c r="D56" s="54"/>
      <c r="E56" s="54"/>
      <c r="F56" s="55"/>
      <c r="G56" s="50" t="s">
        <v>37</v>
      </c>
      <c r="H56" s="23"/>
    </row>
    <row r="57" spans="1:8">
      <c r="H57" s="16"/>
    </row>
    <row r="58" spans="1:8">
      <c r="H58" s="16"/>
    </row>
    <row r="59" spans="1:8">
      <c r="H59" s="16"/>
    </row>
    <row r="60" spans="1:8">
      <c r="H60" s="16"/>
    </row>
    <row r="61" spans="1:8">
      <c r="H61" s="16"/>
    </row>
    <row r="62" spans="1:8">
      <c r="H62" s="16"/>
    </row>
    <row r="63" spans="1:8">
      <c r="H63" s="16"/>
    </row>
    <row r="64" spans="1:8">
      <c r="B64" s="5"/>
      <c r="H64" s="16"/>
    </row>
    <row r="65" spans="2:8">
      <c r="B65" s="5"/>
      <c r="H65" s="16"/>
    </row>
    <row r="66" spans="2:8">
      <c r="B66" s="5"/>
      <c r="H66" s="16"/>
    </row>
    <row r="67" spans="2:8">
      <c r="B67" s="5"/>
      <c r="H67" s="16"/>
    </row>
    <row r="68" spans="2:8">
      <c r="B68" s="5"/>
      <c r="H68" s="16"/>
    </row>
    <row r="69" spans="2:8">
      <c r="B69" s="5"/>
      <c r="H69" s="16"/>
    </row>
    <row r="70" spans="2:8">
      <c r="B70" s="5"/>
      <c r="H70" s="16"/>
    </row>
    <row r="71" spans="2:8">
      <c r="B71" s="5"/>
      <c r="H71" s="16"/>
    </row>
    <row r="72" spans="2:8">
      <c r="B72" s="5"/>
      <c r="H72" s="16"/>
    </row>
    <row r="73" spans="2:8">
      <c r="B73" s="5"/>
      <c r="H73" s="16"/>
    </row>
    <row r="74" spans="2:8">
      <c r="B74" s="5"/>
      <c r="H74" s="16"/>
    </row>
    <row r="75" spans="2:8">
      <c r="B75" s="5"/>
      <c r="H75" s="16"/>
    </row>
    <row r="76" spans="2:8">
      <c r="B76" s="5"/>
      <c r="H76" s="16"/>
    </row>
    <row r="77" spans="2:8">
      <c r="B77" s="5"/>
      <c r="H77" s="16"/>
    </row>
    <row r="78" spans="2:8">
      <c r="B78" s="5"/>
      <c r="H78" s="16"/>
    </row>
    <row r="79" spans="2:8">
      <c r="B79" s="5"/>
      <c r="H79" s="16"/>
    </row>
    <row r="80" spans="2:8">
      <c r="B80" s="5"/>
      <c r="H80" s="16"/>
    </row>
    <row r="81" spans="2:8">
      <c r="B81" s="5"/>
      <c r="H81" s="16"/>
    </row>
    <row r="82" spans="2:8">
      <c r="B82" s="5"/>
      <c r="H82" s="16"/>
    </row>
    <row r="83" spans="2:8">
      <c r="B83" s="5"/>
      <c r="H83" s="16"/>
    </row>
    <row r="84" spans="2:8">
      <c r="B84" s="5"/>
      <c r="H84" s="16"/>
    </row>
    <row r="85" spans="2:8">
      <c r="B85" s="5"/>
      <c r="H85" s="16"/>
    </row>
    <row r="86" spans="2:8">
      <c r="B86" s="5"/>
      <c r="H86" s="16"/>
    </row>
    <row r="87" spans="2:8">
      <c r="B87" s="5"/>
      <c r="H87" s="16"/>
    </row>
    <row r="88" spans="2:8">
      <c r="B88" s="5"/>
      <c r="H88" s="16"/>
    </row>
    <row r="89" spans="2:8">
      <c r="B89" s="5"/>
      <c r="H89" s="16"/>
    </row>
    <row r="90" spans="2:8">
      <c r="B90" s="5"/>
      <c r="H90" s="16"/>
    </row>
    <row r="91" spans="2:8">
      <c r="B91" s="5"/>
      <c r="H91" s="16"/>
    </row>
    <row r="92" spans="2:8">
      <c r="B92" s="5"/>
      <c r="H92" s="16"/>
    </row>
    <row r="93" spans="2:8">
      <c r="B93" s="5"/>
      <c r="H93" s="16"/>
    </row>
    <row r="94" spans="2:8">
      <c r="B94" s="5"/>
      <c r="H94" s="16"/>
    </row>
    <row r="95" spans="2:8">
      <c r="B95" s="5"/>
      <c r="H95" s="16"/>
    </row>
    <row r="96" spans="2:8">
      <c r="B96" s="5"/>
      <c r="H96" s="16"/>
    </row>
    <row r="97" spans="2:8">
      <c r="B97" s="5"/>
      <c r="H97" s="16"/>
    </row>
    <row r="98" spans="2:8">
      <c r="B98" s="5"/>
      <c r="H98" s="16"/>
    </row>
    <row r="99" spans="2:8">
      <c r="B99" s="5"/>
      <c r="H99" s="16"/>
    </row>
    <row r="100" spans="2:8">
      <c r="B100" s="5"/>
      <c r="H100" s="16"/>
    </row>
    <row r="101" spans="2:8">
      <c r="B101" s="5"/>
      <c r="H101" s="16"/>
    </row>
    <row r="102" spans="2:8">
      <c r="B102" s="5"/>
      <c r="H102" s="16"/>
    </row>
    <row r="103" spans="2:8">
      <c r="B103" s="5"/>
      <c r="H103" s="16"/>
    </row>
    <row r="104" spans="2:8">
      <c r="B104" s="5"/>
      <c r="H104" s="16"/>
    </row>
    <row r="105" spans="2:8">
      <c r="B105" s="5"/>
      <c r="H105" s="16"/>
    </row>
    <row r="106" spans="2:8">
      <c r="B106" s="5"/>
      <c r="H106" s="16"/>
    </row>
    <row r="107" spans="2:8">
      <c r="B107" s="5"/>
      <c r="H107" s="16"/>
    </row>
    <row r="108" spans="2:8">
      <c r="B108" s="5"/>
      <c r="H108" s="16"/>
    </row>
    <row r="109" spans="2:8">
      <c r="B109" s="5"/>
      <c r="H109" s="16"/>
    </row>
    <row r="110" spans="2:8">
      <c r="B110" s="5"/>
      <c r="H110" s="16"/>
    </row>
    <row r="111" spans="2:8">
      <c r="B111" s="5"/>
      <c r="H111" s="16"/>
    </row>
    <row r="112" spans="2:8">
      <c r="B112" s="5"/>
      <c r="H112" s="16"/>
    </row>
    <row r="113" spans="2:8">
      <c r="B113" s="5"/>
      <c r="H113" s="16"/>
    </row>
    <row r="114" spans="2:8">
      <c r="B114" s="5"/>
      <c r="H114" s="16"/>
    </row>
    <row r="115" spans="2:8">
      <c r="B115" s="5"/>
      <c r="H115" s="16"/>
    </row>
    <row r="116" spans="2:8">
      <c r="B116" s="5"/>
      <c r="H116" s="16"/>
    </row>
    <row r="117" spans="2:8">
      <c r="B117" s="5"/>
      <c r="H117" s="16"/>
    </row>
    <row r="118" spans="2:8">
      <c r="B118" s="5"/>
      <c r="H118" s="16"/>
    </row>
    <row r="119" spans="2:8">
      <c r="B119" s="5"/>
      <c r="H119" s="16"/>
    </row>
    <row r="120" spans="2:8">
      <c r="B120" s="5"/>
      <c r="H120" s="16"/>
    </row>
    <row r="121" spans="2:8">
      <c r="B121" s="5"/>
      <c r="H121" s="16"/>
    </row>
    <row r="122" spans="2:8">
      <c r="B122" s="5"/>
      <c r="H122" s="16"/>
    </row>
    <row r="123" spans="2:8">
      <c r="B123" s="5"/>
      <c r="H123" s="16"/>
    </row>
    <row r="124" spans="2:8">
      <c r="B124" s="5"/>
      <c r="H124" s="16"/>
    </row>
    <row r="125" spans="2:8">
      <c r="B125" s="5"/>
      <c r="H125" s="16"/>
    </row>
    <row r="126" spans="2:8">
      <c r="B126" s="5"/>
      <c r="H126" s="16"/>
    </row>
    <row r="127" spans="2:8">
      <c r="B127" s="5"/>
      <c r="H127" s="16"/>
    </row>
    <row r="128" spans="2:8">
      <c r="B128" s="5"/>
      <c r="H128" s="16"/>
    </row>
    <row r="129" spans="2:8">
      <c r="B129" s="5"/>
      <c r="H129" s="16"/>
    </row>
    <row r="130" spans="2:8">
      <c r="B130" s="5"/>
      <c r="H130" s="16"/>
    </row>
    <row r="131" spans="2:8">
      <c r="B131" s="5"/>
      <c r="H131" s="16"/>
    </row>
    <row r="132" spans="2:8">
      <c r="B132" s="5"/>
      <c r="H132" s="16"/>
    </row>
    <row r="133" spans="2:8">
      <c r="B133" s="5"/>
      <c r="H133" s="16"/>
    </row>
    <row r="134" spans="2:8">
      <c r="B134" s="5"/>
      <c r="H134" s="16"/>
    </row>
    <row r="135" spans="2:8">
      <c r="B135" s="5"/>
      <c r="H135" s="16"/>
    </row>
    <row r="136" spans="2:8">
      <c r="B136" s="5"/>
      <c r="H136" s="16"/>
    </row>
    <row r="137" spans="2:8">
      <c r="B137" s="5"/>
      <c r="H137" s="16"/>
    </row>
    <row r="138" spans="2:8">
      <c r="B138" s="5"/>
      <c r="H138" s="16"/>
    </row>
    <row r="139" spans="2:8">
      <c r="B139" s="5"/>
      <c r="H139" s="16"/>
    </row>
    <row r="140" spans="2:8">
      <c r="B140" s="5"/>
      <c r="H140" s="16"/>
    </row>
    <row r="141" spans="2:8">
      <c r="B141" s="5"/>
      <c r="H141" s="16"/>
    </row>
    <row r="142" spans="2:8">
      <c r="B142" s="5"/>
      <c r="H142" s="16"/>
    </row>
    <row r="143" spans="2:8">
      <c r="B143" s="5"/>
      <c r="H143" s="16"/>
    </row>
    <row r="144" spans="2:8">
      <c r="B144" s="5"/>
      <c r="H144" s="16"/>
    </row>
    <row r="145" spans="2:8">
      <c r="B145" s="5"/>
      <c r="H145" s="16"/>
    </row>
    <row r="146" spans="2:8">
      <c r="B146" s="5"/>
      <c r="H146" s="16"/>
    </row>
    <row r="147" spans="2:8">
      <c r="B147" s="5"/>
      <c r="H147" s="16"/>
    </row>
    <row r="148" spans="2:8">
      <c r="B148" s="5"/>
      <c r="H148" s="16"/>
    </row>
    <row r="149" spans="2:8">
      <c r="B149" s="5"/>
      <c r="H149" s="16"/>
    </row>
    <row r="150" spans="2:8">
      <c r="B150" s="5"/>
      <c r="H150" s="16"/>
    </row>
    <row r="151" spans="2:8">
      <c r="B151" s="5"/>
      <c r="H151" s="16"/>
    </row>
    <row r="152" spans="2:8">
      <c r="B152" s="5"/>
      <c r="H152" s="16"/>
    </row>
    <row r="153" spans="2:8">
      <c r="B153" s="5"/>
      <c r="H153" s="16"/>
    </row>
    <row r="154" spans="2:8">
      <c r="B154" s="5"/>
      <c r="H154" s="16"/>
    </row>
    <row r="155" spans="2:8">
      <c r="B155" s="5"/>
      <c r="H155" s="16"/>
    </row>
    <row r="156" spans="2:8">
      <c r="B156" s="5"/>
      <c r="H156" s="16"/>
    </row>
    <row r="157" spans="2:8">
      <c r="B157" s="5"/>
      <c r="H157" s="16"/>
    </row>
    <row r="158" spans="2:8">
      <c r="B158" s="5"/>
      <c r="H158" s="16"/>
    </row>
    <row r="159" spans="2:8">
      <c r="B159" s="5"/>
      <c r="H159" s="16"/>
    </row>
    <row r="160" spans="2:8">
      <c r="B160" s="5"/>
      <c r="H160" s="16"/>
    </row>
    <row r="161" spans="2:8">
      <c r="B161" s="5"/>
      <c r="H161" s="16"/>
    </row>
    <row r="162" spans="2:8">
      <c r="B162" s="5"/>
      <c r="H162" s="16"/>
    </row>
    <row r="163" spans="2:8">
      <c r="B163" s="5"/>
      <c r="H163" s="16"/>
    </row>
    <row r="164" spans="2:8">
      <c r="B164" s="5"/>
      <c r="H164" s="16"/>
    </row>
    <row r="165" spans="2:8">
      <c r="B165" s="5"/>
      <c r="H165" s="16"/>
    </row>
    <row r="166" spans="2:8">
      <c r="B166" s="5"/>
      <c r="H166" s="16"/>
    </row>
    <row r="167" spans="2:8">
      <c r="B167" s="5"/>
      <c r="H167" s="16"/>
    </row>
    <row r="168" spans="2:8">
      <c r="B168" s="5"/>
      <c r="H168" s="16"/>
    </row>
    <row r="169" spans="2:8">
      <c r="B169" s="5"/>
      <c r="H169" s="16"/>
    </row>
    <row r="170" spans="2:8">
      <c r="B170" s="5"/>
      <c r="H170" s="16"/>
    </row>
    <row r="171" spans="2:8">
      <c r="B171" s="5"/>
      <c r="H171" s="16"/>
    </row>
    <row r="172" spans="2:8">
      <c r="B172" s="5"/>
      <c r="H172" s="16"/>
    </row>
    <row r="173" spans="2:8">
      <c r="B173" s="5"/>
      <c r="H173" s="16"/>
    </row>
    <row r="174" spans="2:8">
      <c r="B174" s="5"/>
      <c r="H174" s="16"/>
    </row>
    <row r="175" spans="2:8">
      <c r="B175" s="5"/>
      <c r="H175" s="16"/>
    </row>
    <row r="176" spans="2:8">
      <c r="B176" s="5"/>
      <c r="H176" s="16"/>
    </row>
    <row r="177" spans="2:8">
      <c r="B177" s="5"/>
      <c r="H177" s="16"/>
    </row>
    <row r="178" spans="2:8">
      <c r="B178" s="5"/>
      <c r="H178" s="16"/>
    </row>
    <row r="179" spans="2:8">
      <c r="B179" s="5"/>
      <c r="H179" s="16"/>
    </row>
    <row r="180" spans="2:8">
      <c r="B180" s="5"/>
      <c r="H180" s="16"/>
    </row>
    <row r="181" spans="2:8">
      <c r="B181" s="5"/>
      <c r="H181" s="16"/>
    </row>
    <row r="182" spans="2:8">
      <c r="B182" s="5"/>
      <c r="H182" s="16"/>
    </row>
    <row r="183" spans="2:8">
      <c r="B183" s="5"/>
      <c r="H183" s="16"/>
    </row>
    <row r="184" spans="2:8">
      <c r="B184" s="5"/>
      <c r="H184" s="16"/>
    </row>
    <row r="185" spans="2:8">
      <c r="B185" s="5"/>
      <c r="H185" s="16"/>
    </row>
    <row r="186" spans="2:8">
      <c r="B186" s="5"/>
      <c r="H186" s="16"/>
    </row>
    <row r="187" spans="2:8">
      <c r="B187" s="5"/>
      <c r="H187" s="16"/>
    </row>
    <row r="188" spans="2:8">
      <c r="B188" s="5"/>
      <c r="H188" s="16"/>
    </row>
    <row r="189" spans="2:8">
      <c r="B189" s="5"/>
      <c r="H189" s="16"/>
    </row>
    <row r="190" spans="2:8">
      <c r="B190" s="5"/>
      <c r="H190" s="16"/>
    </row>
    <row r="191" spans="2:8">
      <c r="B191" s="5"/>
      <c r="H191" s="16"/>
    </row>
    <row r="192" spans="2:8">
      <c r="B192" s="5"/>
      <c r="H192" s="16"/>
    </row>
    <row r="193" spans="2:8">
      <c r="B193" s="5"/>
      <c r="H193" s="16"/>
    </row>
    <row r="194" spans="2:8">
      <c r="B194" s="5"/>
      <c r="H194" s="16"/>
    </row>
    <row r="195" spans="2:8">
      <c r="B195" s="5"/>
      <c r="H195" s="16"/>
    </row>
    <row r="196" spans="2:8">
      <c r="B196" s="5"/>
      <c r="H196" s="16"/>
    </row>
    <row r="197" spans="2:8">
      <c r="B197" s="5"/>
      <c r="H197" s="16"/>
    </row>
    <row r="198" spans="2:8">
      <c r="B198" s="5"/>
      <c r="H198" s="16"/>
    </row>
    <row r="199" spans="2:8">
      <c r="B199" s="5"/>
      <c r="H199" s="16"/>
    </row>
    <row r="200" spans="2:8">
      <c r="B200" s="5"/>
      <c r="H200" s="16"/>
    </row>
    <row r="201" spans="2:8">
      <c r="B201" s="5"/>
      <c r="H201" s="16"/>
    </row>
    <row r="202" spans="2:8">
      <c r="B202" s="5"/>
      <c r="H202" s="16"/>
    </row>
    <row r="203" spans="2:8">
      <c r="B203" s="5"/>
      <c r="H203" s="16"/>
    </row>
    <row r="204" spans="2:8">
      <c r="B204" s="5"/>
      <c r="H204" s="16"/>
    </row>
    <row r="205" spans="2:8">
      <c r="B205" s="5"/>
      <c r="H205" s="16"/>
    </row>
    <row r="206" spans="2:8">
      <c r="B206" s="5"/>
      <c r="H206" s="16"/>
    </row>
    <row r="207" spans="2:8">
      <c r="B207" s="5"/>
      <c r="H207" s="16"/>
    </row>
    <row r="208" spans="2:8">
      <c r="B208" s="5"/>
      <c r="H208" s="16"/>
    </row>
    <row r="209" spans="2:8">
      <c r="B209" s="5"/>
      <c r="H209" s="16"/>
    </row>
    <row r="210" spans="2:8">
      <c r="B210" s="5"/>
      <c r="H210" s="16"/>
    </row>
    <row r="211" spans="2:8">
      <c r="B211" s="5"/>
      <c r="H211" s="16"/>
    </row>
    <row r="212" spans="2:8">
      <c r="B212" s="5"/>
      <c r="H212" s="16"/>
    </row>
    <row r="213" spans="2:8">
      <c r="B213" s="5"/>
      <c r="H213" s="16"/>
    </row>
    <row r="214" spans="2:8">
      <c r="B214" s="5"/>
      <c r="H214" s="16"/>
    </row>
    <row r="215" spans="2:8">
      <c r="B215" s="5"/>
      <c r="H215" s="16"/>
    </row>
    <row r="216" spans="2:8">
      <c r="B216" s="5"/>
      <c r="H216" s="16"/>
    </row>
    <row r="217" spans="2:8">
      <c r="B217" s="5"/>
      <c r="H217" s="16"/>
    </row>
    <row r="218" spans="2:8">
      <c r="B218" s="5"/>
      <c r="H218" s="16"/>
    </row>
    <row r="219" spans="2:8">
      <c r="B219" s="5"/>
      <c r="H219" s="16"/>
    </row>
    <row r="220" spans="2:8">
      <c r="B220" s="5"/>
      <c r="H220" s="16"/>
    </row>
    <row r="221" spans="2:8">
      <c r="B221" s="5"/>
      <c r="H221" s="16"/>
    </row>
    <row r="222" spans="2:8">
      <c r="B222" s="5"/>
      <c r="H222" s="16"/>
    </row>
    <row r="223" spans="2:8">
      <c r="B223" s="5"/>
      <c r="H223" s="16"/>
    </row>
    <row r="224" spans="2:8">
      <c r="B224" s="5"/>
      <c r="H224" s="16"/>
    </row>
    <row r="225" spans="2:8">
      <c r="B225" s="5"/>
      <c r="H225" s="16"/>
    </row>
    <row r="226" spans="2:8">
      <c r="B226" s="5"/>
      <c r="H226" s="16"/>
    </row>
    <row r="227" spans="2:8">
      <c r="B227" s="5"/>
      <c r="H227" s="16"/>
    </row>
    <row r="228" spans="2:8">
      <c r="B228" s="5"/>
      <c r="H228" s="16"/>
    </row>
    <row r="229" spans="2:8">
      <c r="B229" s="5"/>
      <c r="H229" s="16"/>
    </row>
    <row r="230" spans="2:8">
      <c r="B230" s="5"/>
      <c r="H230" s="16"/>
    </row>
    <row r="231" spans="2:8">
      <c r="B231" s="5"/>
      <c r="H231" s="16"/>
    </row>
    <row r="232" spans="2:8">
      <c r="B232" s="5"/>
      <c r="H232" s="16"/>
    </row>
    <row r="233" spans="2:8">
      <c r="B233" s="5"/>
      <c r="H233" s="16"/>
    </row>
    <row r="234" spans="2:8">
      <c r="B234" s="5"/>
      <c r="H234" s="16"/>
    </row>
    <row r="235" spans="2:8">
      <c r="B235" s="5"/>
      <c r="H235" s="16"/>
    </row>
    <row r="236" spans="2:8">
      <c r="B236" s="5"/>
      <c r="H236" s="16"/>
    </row>
    <row r="237" spans="2:8">
      <c r="B237" s="5"/>
      <c r="H237" s="16"/>
    </row>
    <row r="238" spans="2:8">
      <c r="B238" s="5"/>
      <c r="H238" s="16"/>
    </row>
    <row r="239" spans="2:8">
      <c r="B239" s="5"/>
      <c r="H239" s="16"/>
    </row>
    <row r="240" spans="2:8">
      <c r="B240" s="5"/>
      <c r="H240" s="16"/>
    </row>
    <row r="241" spans="2:8">
      <c r="B241" s="5"/>
      <c r="H241" s="16"/>
    </row>
    <row r="242" spans="2:8">
      <c r="B242" s="5"/>
      <c r="H242" s="16"/>
    </row>
    <row r="243" spans="2:8">
      <c r="B243" s="5"/>
      <c r="H243" s="16"/>
    </row>
    <row r="244" spans="2:8">
      <c r="B244" s="5"/>
      <c r="H244" s="16"/>
    </row>
    <row r="245" spans="2:8">
      <c r="B245" s="5"/>
      <c r="H245" s="16"/>
    </row>
    <row r="246" spans="2:8">
      <c r="B246" s="5"/>
      <c r="H246" s="16"/>
    </row>
    <row r="247" spans="2:8">
      <c r="B247" s="5"/>
      <c r="H247" s="16"/>
    </row>
    <row r="248" spans="2:8">
      <c r="B248" s="5"/>
      <c r="H248" s="16"/>
    </row>
    <row r="249" spans="2:8">
      <c r="B249" s="5"/>
      <c r="H249" s="16"/>
    </row>
    <row r="250" spans="2:8">
      <c r="B250" s="5"/>
      <c r="H250" s="16"/>
    </row>
    <row r="251" spans="2:8">
      <c r="B251" s="5"/>
      <c r="H251" s="16"/>
    </row>
    <row r="252" spans="2:8">
      <c r="B252" s="5"/>
      <c r="H252" s="16"/>
    </row>
    <row r="253" spans="2:8">
      <c r="B253" s="5"/>
      <c r="H253" s="16"/>
    </row>
    <row r="254" spans="2:8">
      <c r="B254" s="5"/>
      <c r="H254" s="16"/>
    </row>
    <row r="255" spans="2:8">
      <c r="B255" s="5"/>
      <c r="H255" s="16"/>
    </row>
    <row r="256" spans="2:8">
      <c r="B256" s="5"/>
      <c r="H256" s="16"/>
    </row>
    <row r="257" spans="2:8">
      <c r="B257" s="5"/>
      <c r="H257" s="16"/>
    </row>
    <row r="258" spans="2:8">
      <c r="B258" s="5"/>
      <c r="H258" s="16"/>
    </row>
    <row r="259" spans="2:8">
      <c r="B259" s="5"/>
      <c r="H259" s="16"/>
    </row>
    <row r="260" spans="2:8">
      <c r="B260" s="5"/>
      <c r="H260" s="16"/>
    </row>
    <row r="261" spans="2:8">
      <c r="B261" s="5"/>
      <c r="H261" s="16"/>
    </row>
    <row r="262" spans="2:8">
      <c r="B262" s="5"/>
      <c r="H262" s="16"/>
    </row>
    <row r="263" spans="2:8">
      <c r="B263" s="5"/>
      <c r="H263" s="16"/>
    </row>
    <row r="264" spans="2:8">
      <c r="B264" s="5"/>
      <c r="H264" s="16"/>
    </row>
    <row r="265" spans="2:8">
      <c r="B265" s="5"/>
      <c r="H265" s="16"/>
    </row>
    <row r="266" spans="2:8">
      <c r="B266" s="5"/>
      <c r="H266" s="16"/>
    </row>
    <row r="267" spans="2:8">
      <c r="B267" s="5"/>
      <c r="H267" s="16"/>
    </row>
    <row r="268" spans="2:8">
      <c r="B268" s="5"/>
      <c r="H268" s="16"/>
    </row>
    <row r="269" spans="2:8">
      <c r="B269" s="5"/>
      <c r="H269" s="16"/>
    </row>
    <row r="270" spans="2:8">
      <c r="B270" s="5"/>
      <c r="H270" s="16"/>
    </row>
    <row r="271" spans="2:8">
      <c r="B271" s="5"/>
      <c r="H271" s="16"/>
    </row>
    <row r="272" spans="2:8">
      <c r="B272" s="5"/>
      <c r="H272" s="16"/>
    </row>
    <row r="273" spans="2:8">
      <c r="B273" s="5"/>
      <c r="H273" s="16"/>
    </row>
    <row r="274" spans="2:8">
      <c r="B274" s="5"/>
      <c r="H274" s="16"/>
    </row>
    <row r="275" spans="2:8">
      <c r="B275" s="5"/>
      <c r="H275" s="16"/>
    </row>
    <row r="276" spans="2:8">
      <c r="B276" s="5"/>
      <c r="H276" s="16"/>
    </row>
    <row r="277" spans="2:8">
      <c r="B277" s="5"/>
      <c r="H277" s="16"/>
    </row>
    <row r="278" spans="2:8">
      <c r="B278" s="5"/>
      <c r="H278" s="16"/>
    </row>
    <row r="279" spans="2:8">
      <c r="B279" s="5"/>
      <c r="H279" s="16"/>
    </row>
    <row r="280" spans="2:8">
      <c r="B280" s="5"/>
      <c r="H280" s="16"/>
    </row>
    <row r="281" spans="2:8">
      <c r="B281" s="5"/>
      <c r="H281" s="16"/>
    </row>
    <row r="282" spans="2:8">
      <c r="B282" s="5"/>
      <c r="H282" s="16"/>
    </row>
    <row r="283" spans="2:8">
      <c r="B283" s="5"/>
      <c r="H283" s="16"/>
    </row>
    <row r="284" spans="2:8">
      <c r="B284" s="5"/>
      <c r="H284" s="16"/>
    </row>
    <row r="285" spans="2:8">
      <c r="B285" s="5"/>
      <c r="H285" s="16"/>
    </row>
    <row r="286" spans="2:8">
      <c r="B286" s="5"/>
      <c r="H286" s="16"/>
    </row>
    <row r="287" spans="2:8">
      <c r="B287" s="5"/>
      <c r="H287" s="16"/>
    </row>
    <row r="288" spans="2:8">
      <c r="B288" s="5"/>
      <c r="H288" s="16"/>
    </row>
    <row r="289" spans="2:8">
      <c r="B289" s="5"/>
      <c r="H289" s="16"/>
    </row>
    <row r="290" spans="2:8">
      <c r="B290" s="5"/>
      <c r="H290" s="16"/>
    </row>
    <row r="291" spans="2:8">
      <c r="B291" s="5"/>
      <c r="H291" s="16"/>
    </row>
    <row r="292" spans="2:8">
      <c r="B292" s="5"/>
      <c r="H292" s="16"/>
    </row>
    <row r="293" spans="2:8">
      <c r="B293" s="5"/>
      <c r="H293" s="16"/>
    </row>
    <row r="294" spans="2:8">
      <c r="B294" s="5"/>
      <c r="H294" s="16"/>
    </row>
    <row r="295" spans="2:8">
      <c r="B295" s="5"/>
      <c r="H295" s="16"/>
    </row>
    <row r="296" spans="2:8">
      <c r="B296" s="5"/>
      <c r="H296" s="16"/>
    </row>
    <row r="297" spans="2:8">
      <c r="B297" s="5"/>
      <c r="H297" s="16"/>
    </row>
    <row r="298" spans="2:8">
      <c r="B298" s="5"/>
      <c r="H298" s="16"/>
    </row>
    <row r="299" spans="2:8">
      <c r="B299" s="5"/>
      <c r="H299" s="16"/>
    </row>
    <row r="300" spans="2:8">
      <c r="B300" s="5"/>
      <c r="H300" s="16"/>
    </row>
    <row r="301" spans="2:8">
      <c r="B301" s="5"/>
      <c r="H301" s="16"/>
    </row>
    <row r="302" spans="2:8">
      <c r="B302" s="5"/>
      <c r="H302" s="16"/>
    </row>
    <row r="303" spans="2:8">
      <c r="B303" s="5"/>
      <c r="H303" s="16"/>
    </row>
    <row r="304" spans="2:8">
      <c r="B304" s="5"/>
      <c r="H304" s="16"/>
    </row>
    <row r="305" spans="2:8">
      <c r="B305" s="5"/>
      <c r="H305" s="16"/>
    </row>
    <row r="306" spans="2:8">
      <c r="B306" s="5"/>
      <c r="H306" s="16"/>
    </row>
    <row r="307" spans="2:8">
      <c r="B307" s="5"/>
      <c r="H307" s="16"/>
    </row>
    <row r="308" spans="2:8">
      <c r="B308" s="5"/>
      <c r="H308" s="16"/>
    </row>
    <row r="309" spans="2:8">
      <c r="B309" s="5"/>
      <c r="H309" s="16"/>
    </row>
    <row r="310" spans="2:8">
      <c r="B310" s="5"/>
      <c r="H310" s="16"/>
    </row>
    <row r="311" spans="2:8">
      <c r="B311" s="5"/>
      <c r="H311" s="16"/>
    </row>
    <row r="312" spans="2:8">
      <c r="B312" s="5"/>
      <c r="H312" s="16"/>
    </row>
    <row r="313" spans="2:8">
      <c r="B313" s="5"/>
      <c r="H313" s="16"/>
    </row>
    <row r="314" spans="2:8">
      <c r="B314" s="5"/>
      <c r="H314" s="16"/>
    </row>
    <row r="315" spans="2:8">
      <c r="B315" s="5"/>
      <c r="H315" s="16"/>
    </row>
    <row r="316" spans="2:8">
      <c r="B316" s="5"/>
      <c r="H316" s="16"/>
    </row>
    <row r="317" spans="2:8">
      <c r="B317" s="5"/>
      <c r="H317" s="16"/>
    </row>
    <row r="318" spans="2:8">
      <c r="B318" s="5"/>
      <c r="H318" s="16"/>
    </row>
    <row r="319" spans="2:8">
      <c r="B319" s="5"/>
      <c r="H319" s="16"/>
    </row>
    <row r="320" spans="2:8">
      <c r="B320" s="5"/>
      <c r="H320" s="16"/>
    </row>
    <row r="321" spans="2:8">
      <c r="B321" s="5"/>
      <c r="H321" s="16"/>
    </row>
    <row r="322" spans="2:8">
      <c r="B322" s="5"/>
      <c r="H322" s="16"/>
    </row>
    <row r="323" spans="2:8">
      <c r="B323" s="5"/>
      <c r="H323" s="16"/>
    </row>
    <row r="324" spans="2:8">
      <c r="B324" s="5"/>
      <c r="H324" s="16"/>
    </row>
    <row r="325" spans="2:8">
      <c r="B325" s="5"/>
      <c r="H325" s="16"/>
    </row>
    <row r="326" spans="2:8">
      <c r="B326" s="5"/>
      <c r="H326" s="16"/>
    </row>
    <row r="327" spans="2:8">
      <c r="B327" s="5"/>
      <c r="H327" s="16"/>
    </row>
    <row r="328" spans="2:8">
      <c r="B328" s="5"/>
      <c r="H328" s="16"/>
    </row>
    <row r="329" spans="2:8">
      <c r="B329" s="5"/>
      <c r="H329" s="16"/>
    </row>
    <row r="330" spans="2:8">
      <c r="B330" s="5"/>
      <c r="H330" s="16"/>
    </row>
    <row r="331" spans="2:8">
      <c r="B331" s="5"/>
      <c r="H331" s="16"/>
    </row>
    <row r="332" spans="2:8">
      <c r="B332" s="5"/>
      <c r="H332" s="16"/>
    </row>
    <row r="333" spans="2:8">
      <c r="B333" s="5"/>
      <c r="H333" s="16"/>
    </row>
    <row r="334" spans="2:8">
      <c r="B334" s="5"/>
      <c r="H334" s="16"/>
    </row>
    <row r="335" spans="2:8">
      <c r="B335" s="5"/>
      <c r="H335" s="16"/>
    </row>
    <row r="336" spans="2:8">
      <c r="B336" s="5"/>
      <c r="H336" s="16"/>
    </row>
    <row r="337" spans="2:8">
      <c r="B337" s="5"/>
      <c r="H337" s="16"/>
    </row>
    <row r="338" spans="2:8">
      <c r="B338" s="5"/>
      <c r="H338" s="16"/>
    </row>
    <row r="339" spans="2:8">
      <c r="B339" s="5"/>
      <c r="H339" s="16"/>
    </row>
    <row r="340" spans="2:8">
      <c r="B340" s="5"/>
      <c r="H340" s="16"/>
    </row>
    <row r="341" spans="2:8">
      <c r="B341" s="5"/>
      <c r="H341" s="16"/>
    </row>
    <row r="342" spans="2:8">
      <c r="B342" s="5"/>
      <c r="H342" s="16"/>
    </row>
    <row r="343" spans="2:8">
      <c r="B343" s="5"/>
      <c r="H343" s="16"/>
    </row>
    <row r="344" spans="2:8">
      <c r="B344" s="5"/>
      <c r="H344" s="16"/>
    </row>
    <row r="345" spans="2:8">
      <c r="B345" s="5"/>
      <c r="H345" s="16"/>
    </row>
    <row r="346" spans="2:8">
      <c r="B346" s="5"/>
      <c r="H346" s="16"/>
    </row>
    <row r="347" spans="2:8">
      <c r="B347" s="5"/>
      <c r="H347" s="16"/>
    </row>
    <row r="348" spans="2:8">
      <c r="B348" s="5"/>
      <c r="H348" s="16"/>
    </row>
    <row r="349" spans="2:8">
      <c r="B349" s="5"/>
      <c r="H349" s="16"/>
    </row>
    <row r="350" spans="2:8">
      <c r="B350" s="5"/>
      <c r="H350" s="16"/>
    </row>
    <row r="351" spans="2:8">
      <c r="B351" s="5"/>
      <c r="H351" s="16"/>
    </row>
    <row r="352" spans="2:8">
      <c r="B352" s="5"/>
      <c r="H352" s="16"/>
    </row>
    <row r="353" spans="2:8">
      <c r="B353" s="5"/>
      <c r="H353" s="16"/>
    </row>
    <row r="354" spans="2:8">
      <c r="B354" s="5"/>
      <c r="H354" s="16"/>
    </row>
    <row r="355" spans="2:8">
      <c r="B355" s="5"/>
      <c r="H355" s="16"/>
    </row>
    <row r="356" spans="2:8">
      <c r="B356" s="5"/>
      <c r="H356" s="16"/>
    </row>
    <row r="357" spans="2:8">
      <c r="B357" s="5"/>
      <c r="H357" s="16"/>
    </row>
    <row r="358" spans="2:8">
      <c r="B358" s="5"/>
      <c r="H358" s="16"/>
    </row>
    <row r="359" spans="2:8">
      <c r="B359" s="5"/>
      <c r="H359" s="16"/>
    </row>
    <row r="360" spans="2:8">
      <c r="B360" s="5"/>
      <c r="H360" s="16"/>
    </row>
    <row r="361" spans="2:8">
      <c r="B361" s="5"/>
      <c r="H361" s="16"/>
    </row>
    <row r="362" spans="2:8">
      <c r="B362" s="5"/>
      <c r="H362" s="16"/>
    </row>
    <row r="363" spans="2:8">
      <c r="B363" s="5"/>
      <c r="H363" s="16"/>
    </row>
    <row r="364" spans="2:8">
      <c r="B364" s="5"/>
      <c r="H364" s="16"/>
    </row>
    <row r="365" spans="2:8">
      <c r="B365" s="5"/>
      <c r="H365" s="16"/>
    </row>
    <row r="366" spans="2:8">
      <c r="B366" s="5"/>
      <c r="H366" s="16"/>
    </row>
    <row r="367" spans="2:8">
      <c r="B367" s="5"/>
      <c r="H367" s="16"/>
    </row>
    <row r="368" spans="2:8">
      <c r="B368" s="5"/>
      <c r="H368" s="16"/>
    </row>
    <row r="369" spans="2:8">
      <c r="B369" s="5"/>
      <c r="H369" s="16"/>
    </row>
    <row r="370" spans="2:8">
      <c r="B370" s="5"/>
      <c r="H370" s="16"/>
    </row>
    <row r="371" spans="2:8">
      <c r="B371" s="5"/>
      <c r="H371" s="16"/>
    </row>
    <row r="372" spans="2:8">
      <c r="B372" s="5"/>
      <c r="H372" s="16"/>
    </row>
    <row r="373" spans="2:8">
      <c r="B373" s="5"/>
      <c r="H373" s="16"/>
    </row>
    <row r="374" spans="2:8">
      <c r="B374" s="5"/>
      <c r="H374" s="16"/>
    </row>
    <row r="375" spans="2:8">
      <c r="B375" s="5"/>
      <c r="H375" s="16"/>
    </row>
    <row r="376" spans="2:8">
      <c r="B376" s="5"/>
      <c r="H376" s="16"/>
    </row>
    <row r="377" spans="2:8">
      <c r="B377" s="5"/>
      <c r="H377" s="16"/>
    </row>
    <row r="378" spans="2:8">
      <c r="B378" s="5"/>
      <c r="H378" s="16"/>
    </row>
    <row r="379" spans="2:8">
      <c r="B379" s="5"/>
      <c r="H379" s="16"/>
    </row>
    <row r="380" spans="2:8">
      <c r="B380" s="5"/>
      <c r="H380" s="16"/>
    </row>
    <row r="381" spans="2:8">
      <c r="B381" s="5"/>
      <c r="H381" s="16"/>
    </row>
    <row r="382" spans="2:8">
      <c r="B382" s="5"/>
      <c r="H382" s="16"/>
    </row>
    <row r="383" spans="2:8">
      <c r="B383" s="5"/>
      <c r="H383" s="16"/>
    </row>
    <row r="384" spans="2:8">
      <c r="B384" s="5"/>
      <c r="H384" s="16"/>
    </row>
    <row r="385" spans="2:8">
      <c r="B385" s="5"/>
      <c r="H385" s="16"/>
    </row>
    <row r="386" spans="2:8">
      <c r="B386" s="5"/>
      <c r="H386" s="16"/>
    </row>
    <row r="387" spans="2:8">
      <c r="B387" s="5"/>
      <c r="H387" s="16"/>
    </row>
    <row r="388" spans="2:8">
      <c r="B388" s="5"/>
      <c r="H388" s="16"/>
    </row>
    <row r="389" spans="2:8">
      <c r="B389" s="5"/>
      <c r="H389" s="16"/>
    </row>
    <row r="390" spans="2:8">
      <c r="B390" s="5"/>
      <c r="H390" s="16"/>
    </row>
    <row r="391" spans="2:8">
      <c r="B391" s="5"/>
      <c r="H391" s="16"/>
    </row>
    <row r="392" spans="2:8">
      <c r="B392" s="5"/>
      <c r="H392" s="16"/>
    </row>
    <row r="393" spans="2:8">
      <c r="B393" s="5"/>
      <c r="H393" s="16"/>
    </row>
    <row r="394" spans="2:8">
      <c r="B394" s="5"/>
      <c r="H394" s="16"/>
    </row>
    <row r="395" spans="2:8">
      <c r="B395" s="5"/>
      <c r="H395" s="16"/>
    </row>
    <row r="396" spans="2:8">
      <c r="B396" s="5"/>
      <c r="H396" s="16"/>
    </row>
    <row r="397" spans="2:8">
      <c r="B397" s="5"/>
      <c r="H397" s="16"/>
    </row>
    <row r="398" spans="2:8">
      <c r="B398" s="5"/>
      <c r="H398" s="16"/>
    </row>
    <row r="399" spans="2:8">
      <c r="B399" s="5"/>
      <c r="H399" s="16"/>
    </row>
    <row r="400" spans="2:8">
      <c r="B400" s="5"/>
      <c r="H400" s="16"/>
    </row>
    <row r="401" spans="2:8">
      <c r="B401" s="5"/>
      <c r="H401" s="16"/>
    </row>
    <row r="402" spans="2:8">
      <c r="B402" s="5"/>
      <c r="H402" s="16"/>
    </row>
    <row r="403" spans="2:8">
      <c r="B403" s="5"/>
      <c r="H403" s="16"/>
    </row>
    <row r="404" spans="2:8">
      <c r="B404" s="5"/>
      <c r="H404" s="16"/>
    </row>
    <row r="405" spans="2:8">
      <c r="B405" s="5"/>
      <c r="H405" s="16"/>
    </row>
    <row r="406" spans="2:8">
      <c r="B406" s="5"/>
      <c r="H406" s="16"/>
    </row>
    <row r="407" spans="2:8">
      <c r="B407" s="5"/>
      <c r="H407" s="16"/>
    </row>
    <row r="408" spans="2:8">
      <c r="B408" s="5"/>
      <c r="H408" s="16"/>
    </row>
    <row r="409" spans="2:8">
      <c r="B409" s="5"/>
      <c r="H409" s="16"/>
    </row>
    <row r="410" spans="2:8">
      <c r="B410" s="5"/>
      <c r="H410" s="16"/>
    </row>
    <row r="411" spans="2:8">
      <c r="B411" s="5"/>
      <c r="H411" s="16"/>
    </row>
    <row r="412" spans="2:8">
      <c r="B412" s="5"/>
      <c r="H412" s="16"/>
    </row>
    <row r="413" spans="2:8">
      <c r="B413" s="5"/>
      <c r="H413" s="16"/>
    </row>
    <row r="414" spans="2:8">
      <c r="B414" s="5"/>
      <c r="H414" s="16"/>
    </row>
    <row r="415" spans="2:8">
      <c r="B415" s="5"/>
      <c r="H415" s="16"/>
    </row>
    <row r="416" spans="2:8">
      <c r="B416" s="5"/>
      <c r="H416" s="16"/>
    </row>
    <row r="417" spans="2:8">
      <c r="B417" s="5"/>
      <c r="H417" s="16"/>
    </row>
    <row r="418" spans="2:8">
      <c r="B418" s="5"/>
      <c r="H418" s="16"/>
    </row>
    <row r="419" spans="2:8">
      <c r="B419" s="5"/>
      <c r="H419" s="16"/>
    </row>
    <row r="420" spans="2:8">
      <c r="B420" s="5"/>
      <c r="H420" s="16"/>
    </row>
    <row r="421" spans="2:8">
      <c r="B421" s="5"/>
      <c r="H421" s="16"/>
    </row>
    <row r="422" spans="2:8">
      <c r="B422" s="5"/>
      <c r="H422" s="16"/>
    </row>
    <row r="423" spans="2:8">
      <c r="B423" s="5"/>
      <c r="H423" s="16"/>
    </row>
    <row r="424" spans="2:8">
      <c r="B424" s="5"/>
      <c r="H424" s="16"/>
    </row>
    <row r="425" spans="2:8">
      <c r="B425" s="5"/>
      <c r="H425" s="16"/>
    </row>
    <row r="426" spans="2:8">
      <c r="B426" s="5"/>
      <c r="H426" s="16"/>
    </row>
    <row r="427" spans="2:8">
      <c r="B427" s="5"/>
      <c r="H427" s="16"/>
    </row>
    <row r="428" spans="2:8">
      <c r="B428" s="5"/>
      <c r="H428" s="16"/>
    </row>
    <row r="429" spans="2:8">
      <c r="B429" s="5"/>
      <c r="H429" s="16"/>
    </row>
    <row r="430" spans="2:8">
      <c r="B430" s="5"/>
      <c r="H430" s="16"/>
    </row>
    <row r="431" spans="2:8">
      <c r="B431" s="5"/>
      <c r="H431" s="16"/>
    </row>
    <row r="432" spans="2:8">
      <c r="B432" s="5"/>
      <c r="H432" s="16"/>
    </row>
    <row r="433" spans="2:8">
      <c r="B433" s="5"/>
      <c r="H433" s="16"/>
    </row>
    <row r="434" spans="2:8">
      <c r="B434" s="5"/>
      <c r="H434" s="16"/>
    </row>
    <row r="435" spans="2:8">
      <c r="B435" s="5"/>
      <c r="H435" s="16"/>
    </row>
    <row r="436" spans="2:8">
      <c r="B436" s="5"/>
      <c r="H436" s="16"/>
    </row>
    <row r="437" spans="2:8">
      <c r="B437" s="5"/>
      <c r="H437" s="16"/>
    </row>
    <row r="438" spans="2:8">
      <c r="B438" s="5"/>
      <c r="H438" s="16"/>
    </row>
    <row r="439" spans="2:8">
      <c r="B439" s="5"/>
      <c r="H439" s="16"/>
    </row>
    <row r="440" spans="2:8">
      <c r="B440" s="5"/>
      <c r="H440" s="16"/>
    </row>
    <row r="441" spans="2:8">
      <c r="B441" s="5"/>
      <c r="H441" s="16"/>
    </row>
    <row r="442" spans="2:8">
      <c r="B442" s="5"/>
      <c r="H442" s="16"/>
    </row>
    <row r="443" spans="2:8">
      <c r="B443" s="5"/>
      <c r="H443" s="16"/>
    </row>
    <row r="444" spans="2:8">
      <c r="B444" s="5"/>
      <c r="H444" s="16"/>
    </row>
    <row r="445" spans="2:8">
      <c r="B445" s="5"/>
      <c r="H445" s="16"/>
    </row>
    <row r="446" spans="2:8">
      <c r="B446" s="5"/>
      <c r="H446" s="16"/>
    </row>
    <row r="447" spans="2:8">
      <c r="B447" s="5"/>
      <c r="H447" s="16"/>
    </row>
    <row r="448" spans="2:8">
      <c r="B448" s="5"/>
      <c r="H448" s="16"/>
    </row>
    <row r="449" spans="2:8">
      <c r="B449" s="5"/>
      <c r="H449" s="16"/>
    </row>
    <row r="450" spans="2:8">
      <c r="B450" s="5"/>
      <c r="H450" s="16"/>
    </row>
    <row r="451" spans="2:8">
      <c r="B451" s="5"/>
      <c r="H451" s="16"/>
    </row>
    <row r="452" spans="2:8">
      <c r="B452" s="5"/>
      <c r="H452" s="16"/>
    </row>
    <row r="453" spans="2:8">
      <c r="B453" s="5"/>
      <c r="H453" s="16"/>
    </row>
    <row r="454" spans="2:8">
      <c r="B454" s="5"/>
      <c r="H454" s="16"/>
    </row>
    <row r="455" spans="2:8">
      <c r="B455" s="5"/>
      <c r="H455" s="16"/>
    </row>
    <row r="456" spans="2:8">
      <c r="B456" s="5"/>
      <c r="H456" s="16"/>
    </row>
    <row r="457" spans="2:8">
      <c r="B457" s="5"/>
      <c r="H457" s="16"/>
    </row>
    <row r="458" spans="2:8">
      <c r="B458" s="5"/>
      <c r="H458" s="16"/>
    </row>
    <row r="459" spans="2:8">
      <c r="B459" s="5"/>
      <c r="H459" s="16"/>
    </row>
    <row r="460" spans="2:8">
      <c r="B460" s="5"/>
      <c r="H460" s="16"/>
    </row>
    <row r="461" spans="2:8">
      <c r="B461" s="5"/>
      <c r="H461" s="16"/>
    </row>
    <row r="462" spans="2:8">
      <c r="B462" s="5"/>
      <c r="H462" s="16"/>
    </row>
    <row r="463" spans="2:8">
      <c r="B463" s="5"/>
      <c r="H463" s="16"/>
    </row>
    <row r="464" spans="2:8">
      <c r="B464" s="5"/>
      <c r="H464" s="16"/>
    </row>
    <row r="465" spans="2:8">
      <c r="B465" s="5"/>
      <c r="H465" s="16"/>
    </row>
    <row r="466" spans="2:8">
      <c r="B466" s="5"/>
      <c r="H466" s="16"/>
    </row>
    <row r="467" spans="2:8">
      <c r="B467" s="5"/>
      <c r="H467" s="16"/>
    </row>
    <row r="468" spans="2:8">
      <c r="B468" s="5"/>
      <c r="H468" s="16"/>
    </row>
    <row r="469" spans="2:8">
      <c r="B469" s="5"/>
      <c r="H469" s="16"/>
    </row>
    <row r="470" spans="2:8">
      <c r="B470" s="5"/>
      <c r="H470" s="16"/>
    </row>
    <row r="471" spans="2:8">
      <c r="B471" s="5"/>
      <c r="H471" s="16"/>
    </row>
    <row r="472" spans="2:8">
      <c r="B472" s="5"/>
      <c r="H472" s="16"/>
    </row>
    <row r="473" spans="2:8">
      <c r="B473" s="5"/>
      <c r="H473" s="16"/>
    </row>
    <row r="474" spans="2:8">
      <c r="B474" s="5"/>
      <c r="H474" s="16"/>
    </row>
    <row r="475" spans="2:8">
      <c r="B475" s="5"/>
      <c r="H475" s="16"/>
    </row>
    <row r="476" spans="2:8">
      <c r="B476" s="5"/>
      <c r="H476" s="16"/>
    </row>
    <row r="477" spans="2:8">
      <c r="B477" s="5"/>
      <c r="H477" s="16"/>
    </row>
    <row r="478" spans="2:8">
      <c r="B478" s="5"/>
      <c r="H478" s="16"/>
    </row>
    <row r="479" spans="2:8">
      <c r="B479" s="5"/>
      <c r="H479" s="16"/>
    </row>
    <row r="480" spans="2:8">
      <c r="B480" s="5"/>
      <c r="H480" s="16"/>
    </row>
    <row r="481" spans="2:8">
      <c r="B481" s="5"/>
      <c r="H481" s="16"/>
    </row>
    <row r="482" spans="2:8">
      <c r="B482" s="5"/>
      <c r="H482" s="16"/>
    </row>
    <row r="483" spans="2:8">
      <c r="B483" s="5"/>
      <c r="H483" s="16"/>
    </row>
    <row r="484" spans="2:8">
      <c r="B484" s="5"/>
      <c r="H484" s="16"/>
    </row>
    <row r="485" spans="2:8">
      <c r="B485" s="5"/>
      <c r="H485" s="16"/>
    </row>
    <row r="486" spans="2:8">
      <c r="B486" s="5"/>
      <c r="H486" s="16"/>
    </row>
    <row r="487" spans="2:8">
      <c r="B487" s="5"/>
      <c r="H487" s="16"/>
    </row>
    <row r="488" spans="2:8">
      <c r="B488" s="5"/>
      <c r="H488" s="16"/>
    </row>
    <row r="489" spans="2:8">
      <c r="B489" s="5"/>
      <c r="H489" s="16"/>
    </row>
    <row r="490" spans="2:8">
      <c r="B490" s="5"/>
      <c r="H490" s="16"/>
    </row>
    <row r="491" spans="2:8">
      <c r="B491" s="5"/>
      <c r="H491" s="16"/>
    </row>
    <row r="492" spans="2:8">
      <c r="B492" s="5"/>
      <c r="H492" s="16"/>
    </row>
    <row r="493" spans="2:8">
      <c r="B493" s="5"/>
      <c r="H493" s="16"/>
    </row>
    <row r="494" spans="2:8">
      <c r="B494" s="5"/>
      <c r="H494" s="16"/>
    </row>
    <row r="495" spans="2:8">
      <c r="B495" s="5"/>
      <c r="H495" s="16"/>
    </row>
    <row r="496" spans="2:8">
      <c r="B496" s="5"/>
      <c r="H496" s="16"/>
    </row>
    <row r="497" spans="2:8">
      <c r="B497" s="5"/>
      <c r="H497" s="16"/>
    </row>
    <row r="498" spans="2:8">
      <c r="B498" s="5"/>
      <c r="H498" s="16"/>
    </row>
    <row r="499" spans="2:8">
      <c r="B499" s="5"/>
      <c r="H499" s="16"/>
    </row>
    <row r="500" spans="2:8">
      <c r="B500" s="5"/>
      <c r="H500" s="16"/>
    </row>
    <row r="501" spans="2:8">
      <c r="B501" s="5"/>
      <c r="H501" s="16"/>
    </row>
    <row r="502" spans="2:8">
      <c r="B502" s="5"/>
      <c r="H502" s="16"/>
    </row>
    <row r="503" spans="2:8">
      <c r="B503" s="5"/>
      <c r="H503" s="16"/>
    </row>
    <row r="504" spans="2:8">
      <c r="B504" s="5"/>
      <c r="H504" s="16"/>
    </row>
    <row r="505" spans="2:8">
      <c r="B505" s="5"/>
      <c r="H505" s="16"/>
    </row>
    <row r="506" spans="2:8">
      <c r="B506" s="5"/>
      <c r="H506" s="16"/>
    </row>
    <row r="507" spans="2:8">
      <c r="B507" s="5"/>
      <c r="H507" s="16"/>
    </row>
    <row r="508" spans="2:8">
      <c r="B508" s="5"/>
      <c r="H508" s="16"/>
    </row>
    <row r="509" spans="2:8">
      <c r="B509" s="5"/>
      <c r="H509" s="16"/>
    </row>
    <row r="510" spans="2:8">
      <c r="B510" s="5"/>
      <c r="H510" s="16"/>
    </row>
    <row r="511" spans="2:8">
      <c r="B511" s="5"/>
      <c r="H511" s="16"/>
    </row>
    <row r="512" spans="2:8">
      <c r="B512" s="5"/>
      <c r="H512" s="16"/>
    </row>
    <row r="513" spans="2:8">
      <c r="B513" s="5"/>
      <c r="H513" s="16"/>
    </row>
    <row r="514" spans="2:8">
      <c r="B514" s="5"/>
      <c r="H514" s="16"/>
    </row>
    <row r="515" spans="2:8">
      <c r="B515" s="5"/>
      <c r="H515" s="16"/>
    </row>
    <row r="516" spans="2:8">
      <c r="B516" s="5"/>
      <c r="H516" s="16"/>
    </row>
    <row r="517" spans="2:8">
      <c r="B517" s="5"/>
      <c r="H517" s="16"/>
    </row>
    <row r="518" spans="2:8">
      <c r="B518" s="5"/>
      <c r="H518" s="16"/>
    </row>
    <row r="519" spans="2:8">
      <c r="B519" s="5"/>
      <c r="H519" s="16"/>
    </row>
    <row r="520" spans="2:8">
      <c r="B520" s="5"/>
      <c r="H520" s="16"/>
    </row>
    <row r="521" spans="2:8">
      <c r="B521" s="5"/>
      <c r="H521" s="16"/>
    </row>
    <row r="522" spans="2:8">
      <c r="B522" s="5"/>
      <c r="H522" s="16"/>
    </row>
    <row r="523" spans="2:8">
      <c r="B523" s="5"/>
      <c r="H523" s="16"/>
    </row>
    <row r="524" spans="2:8">
      <c r="B524" s="5"/>
      <c r="H524" s="16"/>
    </row>
    <row r="525" spans="2:8">
      <c r="B525" s="5"/>
      <c r="H525" s="16"/>
    </row>
    <row r="526" spans="2:8">
      <c r="B526" s="5"/>
      <c r="H526" s="16"/>
    </row>
    <row r="527" spans="2:8">
      <c r="B527" s="5"/>
      <c r="H527" s="16"/>
    </row>
    <row r="528" spans="2:8">
      <c r="B528" s="5"/>
      <c r="H528" s="16"/>
    </row>
    <row r="529" spans="2:8">
      <c r="B529" s="5"/>
      <c r="H529" s="16"/>
    </row>
    <row r="530" spans="2:8">
      <c r="B530" s="5"/>
      <c r="H530" s="16"/>
    </row>
    <row r="531" spans="2:8">
      <c r="B531" s="5"/>
      <c r="H531" s="16"/>
    </row>
    <row r="532" spans="2:8">
      <c r="B532" s="5"/>
      <c r="H532" s="16"/>
    </row>
    <row r="533" spans="2:8">
      <c r="B533" s="5"/>
      <c r="H533" s="16"/>
    </row>
    <row r="534" spans="2:8">
      <c r="B534" s="5"/>
      <c r="H534" s="16"/>
    </row>
    <row r="535" spans="2:8">
      <c r="B535" s="5"/>
      <c r="H535" s="16"/>
    </row>
    <row r="536" spans="2:8">
      <c r="B536" s="5"/>
      <c r="H536" s="16"/>
    </row>
    <row r="537" spans="2:8">
      <c r="B537" s="5"/>
      <c r="H537" s="16"/>
    </row>
    <row r="538" spans="2:8">
      <c r="B538" s="5"/>
      <c r="H538" s="16"/>
    </row>
    <row r="539" spans="2:8">
      <c r="B539" s="5"/>
      <c r="H539" s="16"/>
    </row>
    <row r="540" spans="2:8">
      <c r="B540" s="5"/>
      <c r="H540" s="16"/>
    </row>
    <row r="541" spans="2:8">
      <c r="B541" s="5"/>
      <c r="H541" s="16"/>
    </row>
    <row r="542" spans="2:8">
      <c r="B542" s="5"/>
      <c r="H542" s="16"/>
    </row>
    <row r="543" spans="2:8">
      <c r="B543" s="5"/>
      <c r="H543" s="16"/>
    </row>
    <row r="544" spans="2:8">
      <c r="B544" s="5"/>
      <c r="H544" s="16"/>
    </row>
    <row r="545" spans="2:8">
      <c r="B545" s="5"/>
      <c r="H545" s="16"/>
    </row>
    <row r="546" spans="2:8">
      <c r="B546" s="5"/>
      <c r="H546" s="16"/>
    </row>
    <row r="547" spans="2:8">
      <c r="B547" s="5"/>
      <c r="H547" s="16"/>
    </row>
    <row r="548" spans="2:8">
      <c r="B548" s="5"/>
      <c r="H548" s="16"/>
    </row>
    <row r="549" spans="2:8">
      <c r="B549" s="5"/>
      <c r="H549" s="16"/>
    </row>
    <row r="550" spans="2:8">
      <c r="B550" s="5"/>
      <c r="H550" s="16"/>
    </row>
    <row r="551" spans="2:8">
      <c r="B551" s="5"/>
      <c r="H551" s="16"/>
    </row>
    <row r="552" spans="2:8">
      <c r="B552" s="5"/>
      <c r="H552" s="16"/>
    </row>
    <row r="553" spans="2:8">
      <c r="B553" s="5"/>
      <c r="H553" s="16"/>
    </row>
    <row r="554" spans="2:8">
      <c r="B554" s="5"/>
      <c r="H554" s="16"/>
    </row>
    <row r="555" spans="2:8">
      <c r="B555" s="5"/>
      <c r="H555" s="16"/>
    </row>
    <row r="556" spans="2:8">
      <c r="B556" s="5"/>
      <c r="H556" s="16"/>
    </row>
    <row r="557" spans="2:8">
      <c r="B557" s="5"/>
      <c r="H557" s="16"/>
    </row>
    <row r="558" spans="2:8">
      <c r="B558" s="5"/>
      <c r="H558" s="16"/>
    </row>
    <row r="559" spans="2:8">
      <c r="B559" s="5"/>
      <c r="H559" s="16"/>
    </row>
    <row r="560" spans="2:8">
      <c r="B560" s="5"/>
      <c r="H560" s="16"/>
    </row>
    <row r="561" spans="2:8">
      <c r="B561" s="5"/>
      <c r="H561" s="16"/>
    </row>
    <row r="562" spans="2:8">
      <c r="B562" s="5"/>
      <c r="H562" s="16"/>
    </row>
    <row r="563" spans="2:8">
      <c r="B563" s="5"/>
      <c r="H563" s="16"/>
    </row>
    <row r="564" spans="2:8">
      <c r="B564" s="5"/>
      <c r="H564" s="16"/>
    </row>
    <row r="565" spans="2:8">
      <c r="B565" s="5"/>
      <c r="H565" s="16"/>
    </row>
    <row r="566" spans="2:8">
      <c r="B566" s="5"/>
      <c r="H566" s="16"/>
    </row>
    <row r="567" spans="2:8">
      <c r="B567" s="5"/>
      <c r="H567" s="16"/>
    </row>
    <row r="568" spans="2:8">
      <c r="B568" s="5"/>
      <c r="H568" s="16"/>
    </row>
    <row r="569" spans="2:8">
      <c r="B569" s="5"/>
      <c r="H569" s="16"/>
    </row>
    <row r="570" spans="2:8">
      <c r="B570" s="5"/>
      <c r="H570" s="16"/>
    </row>
    <row r="571" spans="2:8">
      <c r="B571" s="5"/>
      <c r="H571" s="16"/>
    </row>
    <row r="572" spans="2:8">
      <c r="B572" s="5"/>
      <c r="H572" s="16"/>
    </row>
    <row r="573" spans="2:8">
      <c r="B573" s="5"/>
      <c r="H573" s="16"/>
    </row>
    <row r="574" spans="2:8">
      <c r="B574" s="5"/>
      <c r="H574" s="16"/>
    </row>
    <row r="575" spans="2:8">
      <c r="B575" s="5"/>
      <c r="H575" s="16"/>
    </row>
    <row r="576" spans="2:8">
      <c r="B576" s="5"/>
      <c r="H576" s="16"/>
    </row>
    <row r="577" spans="2:8">
      <c r="B577" s="5"/>
      <c r="H577" s="16"/>
    </row>
    <row r="578" spans="2:8">
      <c r="B578" s="5"/>
      <c r="H578" s="16"/>
    </row>
    <row r="579" spans="2:8">
      <c r="B579" s="5"/>
      <c r="H579" s="16"/>
    </row>
    <row r="580" spans="2:8">
      <c r="B580" s="5"/>
      <c r="H580" s="16"/>
    </row>
    <row r="581" spans="2:8">
      <c r="B581" s="5"/>
      <c r="H581" s="16"/>
    </row>
    <row r="582" spans="2:8">
      <c r="B582" s="5"/>
      <c r="H582" s="16"/>
    </row>
    <row r="583" spans="2:8">
      <c r="B583" s="5"/>
      <c r="H583" s="16"/>
    </row>
    <row r="584" spans="2:8">
      <c r="B584" s="5"/>
      <c r="H584" s="16"/>
    </row>
    <row r="585" spans="2:8">
      <c r="B585" s="5"/>
      <c r="H585" s="16"/>
    </row>
    <row r="586" spans="2:8">
      <c r="B586" s="5"/>
      <c r="H586" s="16"/>
    </row>
    <row r="587" spans="2:8">
      <c r="B587" s="5"/>
      <c r="H587" s="16"/>
    </row>
    <row r="588" spans="2:8">
      <c r="B588" s="5"/>
      <c r="H588" s="16"/>
    </row>
    <row r="589" spans="2:8">
      <c r="B589" s="5"/>
      <c r="H589" s="16"/>
    </row>
    <row r="590" spans="2:8">
      <c r="B590" s="5"/>
      <c r="H590" s="16"/>
    </row>
    <row r="591" spans="2:8">
      <c r="B591" s="5"/>
      <c r="H591" s="16"/>
    </row>
    <row r="592" spans="2:8">
      <c r="B592" s="5"/>
      <c r="H592" s="16"/>
    </row>
    <row r="593" spans="2:8">
      <c r="B593" s="5"/>
      <c r="H593" s="16"/>
    </row>
    <row r="594" spans="2:8">
      <c r="B594" s="5"/>
      <c r="H594" s="16"/>
    </row>
    <row r="595" spans="2:8">
      <c r="B595" s="5"/>
      <c r="H595" s="16"/>
    </row>
    <row r="596" spans="2:8">
      <c r="B596" s="5"/>
      <c r="H596" s="16"/>
    </row>
    <row r="597" spans="2:8">
      <c r="B597" s="5"/>
      <c r="H597" s="16"/>
    </row>
    <row r="598" spans="2:8">
      <c r="B598" s="5"/>
      <c r="H598" s="16"/>
    </row>
    <row r="599" spans="2:8">
      <c r="B599" s="5"/>
      <c r="H599" s="16"/>
    </row>
    <row r="600" spans="2:8">
      <c r="B600" s="5"/>
      <c r="H600" s="16"/>
    </row>
    <row r="601" spans="2:8">
      <c r="B601" s="5"/>
      <c r="H601" s="16"/>
    </row>
    <row r="602" spans="2:8">
      <c r="B602" s="5"/>
      <c r="H602" s="16"/>
    </row>
    <row r="603" spans="2:8">
      <c r="B603" s="5"/>
      <c r="H603" s="16"/>
    </row>
    <row r="604" spans="2:8">
      <c r="B604" s="5"/>
      <c r="H604" s="16"/>
    </row>
    <row r="605" spans="2:8">
      <c r="B605" s="5"/>
      <c r="H605" s="16"/>
    </row>
    <row r="606" spans="2:8">
      <c r="B606" s="5"/>
      <c r="H606" s="16"/>
    </row>
    <row r="607" spans="2:8">
      <c r="B607" s="5"/>
      <c r="H607" s="16"/>
    </row>
    <row r="608" spans="2:8">
      <c r="B608" s="5"/>
      <c r="H608" s="16"/>
    </row>
    <row r="609" spans="2:8">
      <c r="B609" s="5"/>
      <c r="H609" s="16"/>
    </row>
    <row r="610" spans="2:8">
      <c r="B610" s="5"/>
      <c r="H610" s="16"/>
    </row>
    <row r="611" spans="2:8">
      <c r="B611" s="5"/>
      <c r="H611" s="16"/>
    </row>
    <row r="612" spans="2:8">
      <c r="B612" s="5"/>
      <c r="H612" s="16"/>
    </row>
    <row r="613" spans="2:8">
      <c r="B613" s="5"/>
      <c r="H613" s="16"/>
    </row>
    <row r="614" spans="2:8">
      <c r="B614" s="5"/>
      <c r="H614" s="16"/>
    </row>
    <row r="615" spans="2:8">
      <c r="B615" s="5"/>
      <c r="H615" s="16"/>
    </row>
    <row r="616" spans="2:8">
      <c r="B616" s="5"/>
      <c r="H616" s="16"/>
    </row>
    <row r="617" spans="2:8">
      <c r="B617" s="5"/>
      <c r="H617" s="16"/>
    </row>
    <row r="618" spans="2:8">
      <c r="B618" s="5"/>
      <c r="H618" s="16"/>
    </row>
    <row r="619" spans="2:8">
      <c r="B619" s="5"/>
      <c r="H619" s="16"/>
    </row>
    <row r="620" spans="2:8">
      <c r="B620" s="5"/>
      <c r="H620" s="16"/>
    </row>
    <row r="621" spans="2:8">
      <c r="B621" s="5"/>
      <c r="H621" s="16"/>
    </row>
    <row r="622" spans="2:8">
      <c r="B622" s="5"/>
      <c r="H622" s="16"/>
    </row>
    <row r="623" spans="2:8">
      <c r="B623" s="5"/>
      <c r="H623" s="16"/>
    </row>
    <row r="624" spans="2:8">
      <c r="B624" s="5"/>
      <c r="H624" s="16"/>
    </row>
    <row r="625" spans="2:8">
      <c r="B625" s="5"/>
      <c r="H625" s="16"/>
    </row>
    <row r="626" spans="2:8">
      <c r="B626" s="5"/>
      <c r="H626" s="16"/>
    </row>
    <row r="627" spans="2:8">
      <c r="B627" s="5"/>
      <c r="H627" s="16"/>
    </row>
    <row r="628" spans="2:8">
      <c r="B628" s="5"/>
      <c r="H628" s="16"/>
    </row>
    <row r="629" spans="2:8">
      <c r="B629" s="5"/>
      <c r="H629" s="16"/>
    </row>
    <row r="630" spans="2:8">
      <c r="B630" s="5"/>
      <c r="H630" s="16"/>
    </row>
    <row r="631" spans="2:8">
      <c r="B631" s="5"/>
      <c r="H631" s="16"/>
    </row>
    <row r="632" spans="2:8">
      <c r="B632" s="5"/>
      <c r="H632" s="16"/>
    </row>
    <row r="633" spans="2:8">
      <c r="B633" s="5"/>
      <c r="H633" s="16"/>
    </row>
    <row r="634" spans="2:8">
      <c r="B634" s="5"/>
      <c r="H634" s="16"/>
    </row>
    <row r="635" spans="2:8">
      <c r="B635" s="5"/>
      <c r="H635" s="16"/>
    </row>
    <row r="636" spans="2:8">
      <c r="B636" s="5"/>
      <c r="H636" s="16"/>
    </row>
    <row r="637" spans="2:8">
      <c r="B637" s="5"/>
      <c r="H637" s="16"/>
    </row>
    <row r="638" spans="2:8">
      <c r="B638" s="5"/>
      <c r="H638" s="16"/>
    </row>
    <row r="639" spans="2:8">
      <c r="B639" s="5"/>
      <c r="H639" s="16"/>
    </row>
    <row r="640" spans="2:8">
      <c r="B640" s="5"/>
      <c r="H640" s="16"/>
    </row>
    <row r="641" spans="2:8">
      <c r="B641" s="5"/>
      <c r="H641" s="16"/>
    </row>
    <row r="642" spans="2:8">
      <c r="B642" s="5"/>
      <c r="H642" s="16"/>
    </row>
    <row r="643" spans="2:8">
      <c r="B643" s="5"/>
      <c r="H643" s="16"/>
    </row>
    <row r="644" spans="2:8">
      <c r="B644" s="5"/>
      <c r="H644" s="16"/>
    </row>
    <row r="645" spans="2:8">
      <c r="B645" s="5"/>
      <c r="H645" s="16"/>
    </row>
    <row r="646" spans="2:8">
      <c r="B646" s="5"/>
      <c r="H646" s="16"/>
    </row>
    <row r="647" spans="2:8">
      <c r="B647" s="5"/>
      <c r="H647" s="16"/>
    </row>
    <row r="648" spans="2:8">
      <c r="B648" s="5"/>
      <c r="H648" s="16"/>
    </row>
    <row r="649" spans="2:8">
      <c r="B649" s="5"/>
      <c r="H649" s="16"/>
    </row>
    <row r="650" spans="2:8">
      <c r="B650" s="5"/>
      <c r="H650" s="16"/>
    </row>
    <row r="651" spans="2:8">
      <c r="B651" s="5"/>
      <c r="H651" s="16"/>
    </row>
    <row r="652" spans="2:8">
      <c r="B652" s="5"/>
      <c r="H652" s="16"/>
    </row>
    <row r="653" spans="2:8">
      <c r="B653" s="5"/>
      <c r="H653" s="16"/>
    </row>
    <row r="654" spans="2:8">
      <c r="B654" s="5"/>
      <c r="H654" s="16"/>
    </row>
    <row r="655" spans="2:8">
      <c r="B655" s="5"/>
      <c r="H655" s="16"/>
    </row>
    <row r="656" spans="2:8">
      <c r="B656" s="5"/>
      <c r="H656" s="16"/>
    </row>
    <row r="657" spans="2:8">
      <c r="B657" s="5"/>
      <c r="H657" s="16"/>
    </row>
    <row r="658" spans="2:8">
      <c r="B658" s="5"/>
      <c r="H658" s="16"/>
    </row>
    <row r="659" spans="2:8">
      <c r="B659" s="5"/>
      <c r="H659" s="16"/>
    </row>
    <row r="660" spans="2:8">
      <c r="B660" s="5"/>
      <c r="H660" s="16"/>
    </row>
    <row r="661" spans="2:8">
      <c r="B661" s="5"/>
      <c r="H661" s="16"/>
    </row>
    <row r="662" spans="2:8">
      <c r="B662" s="5"/>
      <c r="H662" s="16"/>
    </row>
    <row r="663" spans="2:8">
      <c r="B663" s="5"/>
      <c r="H663" s="16"/>
    </row>
    <row r="664" spans="2:8">
      <c r="B664" s="5"/>
      <c r="H664" s="16"/>
    </row>
    <row r="665" spans="2:8">
      <c r="B665" s="5"/>
      <c r="H665" s="16"/>
    </row>
    <row r="666" spans="2:8">
      <c r="B666" s="5"/>
      <c r="H666" s="16"/>
    </row>
    <row r="667" spans="2:8">
      <c r="B667" s="5"/>
      <c r="H667" s="16"/>
    </row>
    <row r="668" spans="2:8">
      <c r="B668" s="5"/>
      <c r="H668" s="16"/>
    </row>
    <row r="669" spans="2:8">
      <c r="B669" s="5"/>
      <c r="H669" s="16"/>
    </row>
    <row r="670" spans="2:8">
      <c r="B670" s="5"/>
      <c r="H670" s="16"/>
    </row>
    <row r="671" spans="2:8">
      <c r="B671" s="5"/>
      <c r="H671" s="16"/>
    </row>
    <row r="672" spans="2:8">
      <c r="B672" s="5"/>
      <c r="H672" s="16"/>
    </row>
    <row r="673" spans="2:8">
      <c r="B673" s="5"/>
      <c r="H673" s="16"/>
    </row>
    <row r="674" spans="2:8">
      <c r="B674" s="5"/>
      <c r="H674" s="16"/>
    </row>
    <row r="675" spans="2:8">
      <c r="B675" s="5"/>
      <c r="H675" s="16"/>
    </row>
    <row r="676" spans="2:8">
      <c r="B676" s="5"/>
      <c r="H676" s="16"/>
    </row>
    <row r="677" spans="2:8">
      <c r="B677" s="5"/>
      <c r="H677" s="16"/>
    </row>
    <row r="678" spans="2:8">
      <c r="B678" s="5"/>
      <c r="H678" s="16"/>
    </row>
    <row r="679" spans="2:8">
      <c r="B679" s="5"/>
      <c r="H679" s="16"/>
    </row>
    <row r="680" spans="2:8">
      <c r="B680" s="5"/>
      <c r="H680" s="16"/>
    </row>
    <row r="681" spans="2:8">
      <c r="B681" s="5"/>
      <c r="H681" s="16"/>
    </row>
    <row r="682" spans="2:8">
      <c r="B682" s="5"/>
      <c r="H682" s="16"/>
    </row>
    <row r="683" spans="2:8">
      <c r="B683" s="5"/>
      <c r="H683" s="16"/>
    </row>
    <row r="684" spans="2:8">
      <c r="B684" s="5"/>
      <c r="H684" s="16"/>
    </row>
    <row r="685" spans="2:8">
      <c r="B685" s="5"/>
      <c r="H685" s="16"/>
    </row>
    <row r="686" spans="2:8">
      <c r="B686" s="5"/>
      <c r="H686" s="16"/>
    </row>
    <row r="687" spans="2:8">
      <c r="B687" s="5"/>
      <c r="H687" s="16"/>
    </row>
    <row r="688" spans="2:8">
      <c r="B688" s="5"/>
      <c r="H688" s="16"/>
    </row>
    <row r="689" spans="2:8">
      <c r="B689" s="5"/>
      <c r="H689" s="16"/>
    </row>
    <row r="690" spans="2:8">
      <c r="B690" s="5"/>
      <c r="H690" s="16"/>
    </row>
    <row r="691" spans="2:8">
      <c r="B691" s="5"/>
      <c r="H691" s="16"/>
    </row>
    <row r="692" spans="2:8">
      <c r="B692" s="5"/>
      <c r="H692" s="16"/>
    </row>
    <row r="693" spans="2:8">
      <c r="B693" s="5"/>
      <c r="H693" s="16"/>
    </row>
    <row r="694" spans="2:8">
      <c r="B694" s="5"/>
      <c r="H694" s="16"/>
    </row>
    <row r="695" spans="2:8">
      <c r="B695" s="5"/>
      <c r="H695" s="16"/>
    </row>
    <row r="696" spans="2:8">
      <c r="B696" s="5"/>
      <c r="H696" s="16"/>
    </row>
    <row r="697" spans="2:8">
      <c r="B697" s="5"/>
      <c r="H697" s="16"/>
    </row>
    <row r="698" spans="2:8">
      <c r="B698" s="5"/>
      <c r="H698" s="16"/>
    </row>
    <row r="699" spans="2:8">
      <c r="B699" s="5"/>
      <c r="H699" s="16"/>
    </row>
    <row r="700" spans="2:8">
      <c r="B700" s="5"/>
      <c r="H700" s="16"/>
    </row>
    <row r="701" spans="2:8">
      <c r="B701" s="5"/>
      <c r="H701" s="16"/>
    </row>
    <row r="702" spans="2:8">
      <c r="B702" s="5"/>
      <c r="H702" s="16"/>
    </row>
    <row r="703" spans="2:8">
      <c r="B703" s="5"/>
      <c r="H703" s="16"/>
    </row>
    <row r="704" spans="2:8">
      <c r="B704" s="5"/>
      <c r="H704" s="16"/>
    </row>
    <row r="705" spans="2:8">
      <c r="B705" s="5"/>
      <c r="H705" s="16"/>
    </row>
    <row r="706" spans="2:8">
      <c r="B706" s="5"/>
      <c r="H706" s="16"/>
    </row>
    <row r="707" spans="2:8">
      <c r="B707" s="5"/>
      <c r="H707" s="16"/>
    </row>
    <row r="708" spans="2:8">
      <c r="B708" s="5"/>
      <c r="H708" s="16"/>
    </row>
    <row r="709" spans="2:8">
      <c r="B709" s="5"/>
      <c r="H709" s="16"/>
    </row>
    <row r="710" spans="2:8">
      <c r="B710" s="5"/>
      <c r="H710" s="16"/>
    </row>
    <row r="711" spans="2:8">
      <c r="B711" s="5"/>
      <c r="H711" s="16"/>
    </row>
    <row r="712" spans="2:8">
      <c r="B712" s="5"/>
      <c r="H712" s="16"/>
    </row>
    <row r="713" spans="2:8">
      <c r="B713" s="5"/>
      <c r="H713" s="16"/>
    </row>
    <row r="714" spans="2:8">
      <c r="B714" s="5"/>
      <c r="H714" s="16"/>
    </row>
    <row r="715" spans="2:8">
      <c r="B715" s="5"/>
      <c r="H715" s="16"/>
    </row>
    <row r="716" spans="2:8">
      <c r="B716" s="5"/>
      <c r="H716" s="16"/>
    </row>
    <row r="717" spans="2:8">
      <c r="B717" s="5"/>
      <c r="H717" s="16"/>
    </row>
    <row r="718" spans="2:8">
      <c r="B718" s="5"/>
      <c r="H718" s="16"/>
    </row>
    <row r="719" spans="2:8">
      <c r="B719" s="5"/>
      <c r="H719" s="16"/>
    </row>
    <row r="720" spans="2:8">
      <c r="B720" s="5"/>
      <c r="H720" s="16"/>
    </row>
    <row r="721" spans="2:8">
      <c r="B721" s="5"/>
      <c r="H721" s="16"/>
    </row>
    <row r="722" spans="2:8">
      <c r="B722" s="5"/>
      <c r="H722" s="16"/>
    </row>
    <row r="723" spans="2:8">
      <c r="B723" s="5"/>
      <c r="H723" s="16"/>
    </row>
    <row r="724" spans="2:8">
      <c r="B724" s="5"/>
      <c r="H724" s="16"/>
    </row>
    <row r="725" spans="2:8">
      <c r="B725" s="5"/>
      <c r="H725" s="16"/>
    </row>
    <row r="726" spans="2:8">
      <c r="B726" s="5"/>
      <c r="H726" s="16"/>
    </row>
    <row r="727" spans="2:8">
      <c r="B727" s="5"/>
      <c r="H727" s="16"/>
    </row>
    <row r="728" spans="2:8">
      <c r="B728" s="5"/>
      <c r="H728" s="16"/>
    </row>
    <row r="729" spans="2:8">
      <c r="B729" s="5"/>
      <c r="H729" s="16"/>
    </row>
    <row r="730" spans="2:8">
      <c r="B730" s="5"/>
      <c r="H730" s="16"/>
    </row>
    <row r="731" spans="2:8">
      <c r="B731" s="5"/>
      <c r="H731" s="16"/>
    </row>
    <row r="732" spans="2:8">
      <c r="B732" s="5"/>
      <c r="H732" s="16"/>
    </row>
    <row r="733" spans="2:8">
      <c r="B733" s="5"/>
      <c r="H733" s="16"/>
    </row>
    <row r="734" spans="2:8">
      <c r="B734" s="5"/>
      <c r="H734" s="16"/>
    </row>
    <row r="735" spans="2:8">
      <c r="B735" s="5"/>
      <c r="H735" s="16"/>
    </row>
    <row r="736" spans="2:8">
      <c r="B736" s="5"/>
      <c r="H736" s="16"/>
    </row>
    <row r="737" spans="2:8">
      <c r="B737" s="5"/>
      <c r="H737" s="16"/>
    </row>
    <row r="738" spans="2:8">
      <c r="B738" s="5"/>
      <c r="H738" s="16"/>
    </row>
    <row r="739" spans="2:8">
      <c r="B739" s="5"/>
      <c r="H739" s="16"/>
    </row>
    <row r="740" spans="2:8">
      <c r="B740" s="5"/>
      <c r="H740" s="16"/>
    </row>
    <row r="741" spans="2:8">
      <c r="B741" s="5"/>
      <c r="H741" s="16"/>
    </row>
    <row r="742" spans="2:8">
      <c r="B742" s="5"/>
      <c r="H742" s="16"/>
    </row>
    <row r="743" spans="2:8">
      <c r="B743" s="5"/>
      <c r="H743" s="16"/>
    </row>
    <row r="744" spans="2:8">
      <c r="B744" s="5"/>
      <c r="H744" s="16"/>
    </row>
    <row r="745" spans="2:8">
      <c r="B745" s="5"/>
      <c r="H745" s="16"/>
    </row>
    <row r="746" spans="2:8">
      <c r="B746" s="5"/>
      <c r="H746" s="16"/>
    </row>
    <row r="747" spans="2:8">
      <c r="B747" s="5"/>
      <c r="H747" s="16"/>
    </row>
    <row r="748" spans="2:8">
      <c r="B748" s="5"/>
      <c r="H748" s="16"/>
    </row>
    <row r="749" spans="2:8">
      <c r="B749" s="5"/>
      <c r="H749" s="16"/>
    </row>
    <row r="750" spans="2:8">
      <c r="B750" s="5"/>
      <c r="H750" s="16"/>
    </row>
    <row r="751" spans="2:8">
      <c r="B751" s="5"/>
      <c r="H751" s="16"/>
    </row>
    <row r="752" spans="2:8">
      <c r="B752" s="5"/>
      <c r="H752" s="16"/>
    </row>
    <row r="753" spans="2:8">
      <c r="B753" s="5"/>
      <c r="H753" s="16"/>
    </row>
    <row r="754" spans="2:8">
      <c r="B754" s="5"/>
      <c r="H754" s="16"/>
    </row>
    <row r="755" spans="2:8">
      <c r="B755" s="5"/>
      <c r="H755" s="16"/>
    </row>
    <row r="756" spans="2:8">
      <c r="B756" s="5"/>
      <c r="H756" s="16"/>
    </row>
    <row r="757" spans="2:8">
      <c r="B757" s="5"/>
      <c r="H757" s="16"/>
    </row>
    <row r="758" spans="2:8">
      <c r="B758" s="5"/>
      <c r="H758" s="16"/>
    </row>
    <row r="759" spans="2:8">
      <c r="B759" s="5"/>
      <c r="H759" s="16"/>
    </row>
    <row r="760" spans="2:8">
      <c r="B760" s="5"/>
      <c r="H760" s="16"/>
    </row>
    <row r="761" spans="2:8">
      <c r="B761" s="5"/>
      <c r="H761" s="16"/>
    </row>
    <row r="762" spans="2:8">
      <c r="B762" s="5"/>
      <c r="H762" s="16"/>
    </row>
    <row r="763" spans="2:8">
      <c r="B763" s="5"/>
      <c r="H763" s="16"/>
    </row>
    <row r="764" spans="2:8">
      <c r="B764" s="5"/>
      <c r="H764" s="16"/>
    </row>
    <row r="765" spans="2:8">
      <c r="B765" s="5"/>
      <c r="H765" s="16"/>
    </row>
    <row r="766" spans="2:8">
      <c r="B766" s="5"/>
      <c r="H766" s="16"/>
    </row>
    <row r="767" spans="2:8">
      <c r="B767" s="5"/>
      <c r="H767" s="16"/>
    </row>
    <row r="768" spans="2:8">
      <c r="B768" s="5"/>
      <c r="H768" s="16"/>
    </row>
    <row r="769" spans="2:8">
      <c r="B769" s="5"/>
      <c r="H769" s="16"/>
    </row>
    <row r="770" spans="2:8">
      <c r="B770" s="5"/>
      <c r="H770" s="16"/>
    </row>
    <row r="771" spans="2:8">
      <c r="B771" s="5"/>
      <c r="H771" s="16"/>
    </row>
    <row r="772" spans="2:8">
      <c r="B772" s="5"/>
      <c r="H772" s="16"/>
    </row>
    <row r="773" spans="2:8">
      <c r="B773" s="5"/>
      <c r="H773" s="16"/>
    </row>
    <row r="774" spans="2:8">
      <c r="B774" s="5"/>
      <c r="H774" s="16"/>
    </row>
    <row r="775" spans="2:8">
      <c r="B775" s="5"/>
      <c r="H775" s="16"/>
    </row>
    <row r="776" spans="2:8">
      <c r="B776" s="5"/>
      <c r="H776" s="16"/>
    </row>
    <row r="777" spans="2:8">
      <c r="B777" s="5"/>
      <c r="H777" s="16"/>
    </row>
    <row r="778" spans="2:8">
      <c r="B778" s="5"/>
      <c r="H778" s="16"/>
    </row>
    <row r="779" spans="2:8">
      <c r="B779" s="5"/>
      <c r="H779" s="16"/>
    </row>
    <row r="780" spans="2:8">
      <c r="B780" s="5"/>
      <c r="H780" s="16"/>
    </row>
    <row r="781" spans="2:8">
      <c r="B781" s="5"/>
      <c r="H781" s="16"/>
    </row>
    <row r="782" spans="2:8">
      <c r="B782" s="5"/>
      <c r="H782" s="16"/>
    </row>
    <row r="783" spans="2:8">
      <c r="B783" s="5"/>
      <c r="H783" s="16"/>
    </row>
    <row r="784" spans="2:8">
      <c r="B784" s="5"/>
      <c r="H784" s="16"/>
    </row>
    <row r="785" spans="2:8">
      <c r="B785" s="5"/>
      <c r="H785" s="16"/>
    </row>
    <row r="786" spans="2:8">
      <c r="B786" s="5"/>
      <c r="H786" s="16"/>
    </row>
    <row r="787" spans="2:8">
      <c r="B787" s="5"/>
      <c r="H787" s="16"/>
    </row>
    <row r="788" spans="2:8">
      <c r="B788" s="5"/>
      <c r="H788" s="16"/>
    </row>
    <row r="789" spans="2:8">
      <c r="B789" s="5"/>
      <c r="H789" s="16"/>
    </row>
    <row r="790" spans="2:8">
      <c r="B790" s="5"/>
      <c r="H790" s="16"/>
    </row>
    <row r="791" spans="2:8">
      <c r="B791" s="5"/>
      <c r="H791" s="16"/>
    </row>
    <row r="792" spans="2:8">
      <c r="B792" s="5"/>
      <c r="H792" s="16"/>
    </row>
    <row r="793" spans="2:8">
      <c r="B793" s="5"/>
      <c r="H793" s="16"/>
    </row>
    <row r="794" spans="2:8">
      <c r="B794" s="5"/>
      <c r="H794" s="16"/>
    </row>
    <row r="795" spans="2:8">
      <c r="B795" s="5"/>
      <c r="H795" s="16"/>
    </row>
    <row r="796" spans="2:8">
      <c r="B796" s="5"/>
      <c r="H796" s="16"/>
    </row>
    <row r="797" spans="2:8">
      <c r="B797" s="5"/>
      <c r="H797" s="16"/>
    </row>
    <row r="798" spans="2:8">
      <c r="B798" s="5"/>
      <c r="H798" s="16"/>
    </row>
    <row r="799" spans="2:8">
      <c r="B799" s="5"/>
      <c r="H799" s="16"/>
    </row>
    <row r="800" spans="2:8">
      <c r="B800" s="5"/>
      <c r="H800" s="16"/>
    </row>
    <row r="801" spans="2:8">
      <c r="B801" s="5"/>
      <c r="H801" s="16"/>
    </row>
    <row r="802" spans="2:8">
      <c r="B802" s="5"/>
      <c r="H802" s="16"/>
    </row>
    <row r="803" spans="2:8">
      <c r="B803" s="5"/>
      <c r="H803" s="16"/>
    </row>
    <row r="804" spans="2:8">
      <c r="B804" s="5"/>
      <c r="H804" s="16"/>
    </row>
    <row r="805" spans="2:8">
      <c r="B805" s="5"/>
      <c r="H805" s="16"/>
    </row>
    <row r="806" spans="2:8">
      <c r="B806" s="5"/>
      <c r="H806" s="16"/>
    </row>
    <row r="807" spans="2:8">
      <c r="B807" s="5"/>
      <c r="H807" s="16"/>
    </row>
    <row r="808" spans="2:8">
      <c r="B808" s="5"/>
      <c r="H808" s="16"/>
    </row>
    <row r="809" spans="2:8">
      <c r="B809" s="5"/>
      <c r="H809" s="16"/>
    </row>
    <row r="810" spans="2:8">
      <c r="B810" s="5"/>
      <c r="H810" s="16"/>
    </row>
    <row r="811" spans="2:8">
      <c r="B811" s="5"/>
      <c r="H811" s="16"/>
    </row>
    <row r="812" spans="2:8">
      <c r="B812" s="5"/>
      <c r="H812" s="16"/>
    </row>
    <row r="813" spans="2:8">
      <c r="B813" s="5"/>
      <c r="H813" s="16"/>
    </row>
    <row r="814" spans="2:8">
      <c r="B814" s="5"/>
      <c r="H814" s="16"/>
    </row>
    <row r="815" spans="2:8">
      <c r="B815" s="5"/>
      <c r="H815" s="16"/>
    </row>
    <row r="816" spans="2:8">
      <c r="B816" s="5"/>
      <c r="H816" s="16"/>
    </row>
    <row r="817" spans="2:8">
      <c r="B817" s="5"/>
      <c r="H817" s="16"/>
    </row>
    <row r="818" spans="2:8">
      <c r="B818" s="5"/>
      <c r="H818" s="16"/>
    </row>
    <row r="819" spans="2:8">
      <c r="B819" s="5"/>
      <c r="H819" s="16"/>
    </row>
    <row r="820" spans="2:8">
      <c r="B820" s="5"/>
      <c r="H820" s="16"/>
    </row>
    <row r="821" spans="2:8">
      <c r="B821" s="5"/>
      <c r="H821" s="16"/>
    </row>
    <row r="822" spans="2:8">
      <c r="B822" s="5"/>
      <c r="H822" s="16"/>
    </row>
    <row r="823" spans="2:8">
      <c r="B823" s="5"/>
      <c r="H823" s="16"/>
    </row>
    <row r="824" spans="2:8">
      <c r="B824" s="5"/>
      <c r="H824" s="16"/>
    </row>
    <row r="825" spans="2:8">
      <c r="B825" s="5"/>
      <c r="H825" s="16"/>
    </row>
    <row r="826" spans="2:8">
      <c r="B826" s="5"/>
      <c r="H826" s="16"/>
    </row>
    <row r="827" spans="2:8">
      <c r="B827" s="5"/>
      <c r="H827" s="16"/>
    </row>
    <row r="828" spans="2:8">
      <c r="B828" s="5"/>
      <c r="H828" s="16"/>
    </row>
    <row r="829" spans="2:8">
      <c r="B829" s="5"/>
      <c r="H829" s="16"/>
    </row>
    <row r="830" spans="2:8">
      <c r="B830" s="5"/>
      <c r="H830" s="16"/>
    </row>
    <row r="831" spans="2:8">
      <c r="B831" s="5"/>
      <c r="H831" s="16"/>
    </row>
    <row r="832" spans="2:8">
      <c r="B832" s="5"/>
      <c r="H832" s="16"/>
    </row>
    <row r="833" spans="2:8">
      <c r="B833" s="5"/>
      <c r="H833" s="16"/>
    </row>
    <row r="834" spans="2:8">
      <c r="B834" s="5"/>
      <c r="H834" s="16"/>
    </row>
    <row r="835" spans="2:8">
      <c r="B835" s="5"/>
      <c r="H835" s="16"/>
    </row>
    <row r="836" spans="2:8">
      <c r="B836" s="5"/>
      <c r="H836" s="16"/>
    </row>
    <row r="837" spans="2:8">
      <c r="B837" s="5"/>
      <c r="H837" s="16"/>
    </row>
    <row r="838" spans="2:8">
      <c r="B838" s="5"/>
      <c r="H838" s="16"/>
    </row>
    <row r="839" spans="2:8">
      <c r="B839" s="5"/>
      <c r="H839" s="16"/>
    </row>
    <row r="840" spans="2:8">
      <c r="B840" s="5"/>
      <c r="H840" s="16"/>
    </row>
    <row r="841" spans="2:8">
      <c r="B841" s="5"/>
      <c r="H841" s="16"/>
    </row>
    <row r="842" spans="2:8">
      <c r="B842" s="5"/>
      <c r="H842" s="16"/>
    </row>
    <row r="843" spans="2:8">
      <c r="B843" s="5"/>
      <c r="H843" s="16"/>
    </row>
    <row r="844" spans="2:8">
      <c r="B844" s="5"/>
      <c r="H844" s="16"/>
    </row>
    <row r="845" spans="2:8">
      <c r="B845" s="5"/>
      <c r="H845" s="16"/>
    </row>
    <row r="846" spans="2:8">
      <c r="B846" s="5"/>
      <c r="H846" s="16"/>
    </row>
    <row r="847" spans="2:8">
      <c r="B847" s="5"/>
      <c r="H847" s="16"/>
    </row>
    <row r="848" spans="2:8">
      <c r="B848" s="5"/>
      <c r="H848" s="16"/>
    </row>
    <row r="849" spans="2:8">
      <c r="B849" s="5"/>
      <c r="H849" s="16"/>
    </row>
    <row r="850" spans="2:8">
      <c r="B850" s="5"/>
      <c r="H850" s="16"/>
    </row>
    <row r="851" spans="2:8">
      <c r="B851" s="5"/>
      <c r="H851" s="16"/>
    </row>
    <row r="852" spans="2:8">
      <c r="B852" s="5"/>
      <c r="H852" s="16"/>
    </row>
    <row r="853" spans="2:8">
      <c r="B853" s="5"/>
      <c r="H853" s="16"/>
    </row>
    <row r="854" spans="2:8">
      <c r="B854" s="5"/>
      <c r="H854" s="16"/>
    </row>
    <row r="855" spans="2:8">
      <c r="B855" s="5"/>
      <c r="H855" s="16"/>
    </row>
    <row r="856" spans="2:8">
      <c r="B856" s="5"/>
      <c r="H856" s="16"/>
    </row>
    <row r="857" spans="2:8">
      <c r="B857" s="5"/>
      <c r="H857" s="16"/>
    </row>
    <row r="858" spans="2:8">
      <c r="B858" s="5"/>
      <c r="H858" s="16"/>
    </row>
    <row r="859" spans="2:8">
      <c r="B859" s="5"/>
      <c r="H859" s="16"/>
    </row>
    <row r="860" spans="2:8">
      <c r="B860" s="5"/>
      <c r="H860" s="16"/>
    </row>
    <row r="861" spans="2:8">
      <c r="B861" s="5"/>
      <c r="H861" s="16"/>
    </row>
    <row r="862" spans="2:8">
      <c r="B862" s="5"/>
      <c r="H862" s="16"/>
    </row>
    <row r="863" spans="2:8">
      <c r="B863" s="5"/>
      <c r="H863" s="16"/>
    </row>
    <row r="864" spans="2:8">
      <c r="B864" s="5"/>
      <c r="H864" s="16"/>
    </row>
    <row r="865" spans="2:8">
      <c r="B865" s="5"/>
      <c r="H865" s="16"/>
    </row>
    <row r="866" spans="2:8">
      <c r="B866" s="5"/>
      <c r="H866" s="16"/>
    </row>
    <row r="867" spans="2:8">
      <c r="B867" s="5"/>
      <c r="H867" s="16"/>
    </row>
    <row r="868" spans="2:8">
      <c r="B868" s="5"/>
      <c r="H868" s="16"/>
    </row>
    <row r="869" spans="2:8">
      <c r="B869" s="5"/>
      <c r="H869" s="16"/>
    </row>
    <row r="870" spans="2:8">
      <c r="B870" s="5"/>
      <c r="H870" s="16"/>
    </row>
    <row r="871" spans="2:8">
      <c r="B871" s="5"/>
      <c r="H871" s="16"/>
    </row>
    <row r="872" spans="2:8">
      <c r="B872" s="5"/>
      <c r="H872" s="16"/>
    </row>
    <row r="873" spans="2:8">
      <c r="B873" s="5"/>
      <c r="H873" s="16"/>
    </row>
    <row r="874" spans="2:8">
      <c r="B874" s="5"/>
      <c r="H874" s="16"/>
    </row>
    <row r="875" spans="2:8">
      <c r="B875" s="5"/>
      <c r="H875" s="16"/>
    </row>
    <row r="876" spans="2:8">
      <c r="B876" s="5"/>
      <c r="H876" s="16"/>
    </row>
    <row r="877" spans="2:8">
      <c r="B877" s="5"/>
      <c r="H877" s="16"/>
    </row>
    <row r="878" spans="2:8">
      <c r="B878" s="5"/>
      <c r="H878" s="16"/>
    </row>
    <row r="879" spans="2:8">
      <c r="B879" s="5"/>
      <c r="H879" s="16"/>
    </row>
    <row r="880" spans="2:8">
      <c r="B880" s="5"/>
      <c r="H880" s="16"/>
    </row>
    <row r="881" spans="2:8">
      <c r="B881" s="5"/>
      <c r="H881" s="16"/>
    </row>
    <row r="882" spans="2:8">
      <c r="B882" s="5"/>
      <c r="H882" s="16"/>
    </row>
    <row r="883" spans="2:8">
      <c r="B883" s="5"/>
      <c r="H883" s="16"/>
    </row>
    <row r="884" spans="2:8">
      <c r="B884" s="5"/>
      <c r="H884" s="16"/>
    </row>
    <row r="885" spans="2:8">
      <c r="B885" s="5"/>
      <c r="H885" s="16"/>
    </row>
    <row r="886" spans="2:8">
      <c r="B886" s="5"/>
      <c r="H886" s="16"/>
    </row>
    <row r="887" spans="2:8">
      <c r="B887" s="5"/>
      <c r="H887" s="16"/>
    </row>
    <row r="888" spans="2:8">
      <c r="B888" s="5"/>
      <c r="H888" s="16"/>
    </row>
    <row r="889" spans="2:8">
      <c r="B889" s="5"/>
      <c r="H889" s="16"/>
    </row>
    <row r="890" spans="2:8">
      <c r="B890" s="5"/>
      <c r="H890" s="16"/>
    </row>
    <row r="891" spans="2:8">
      <c r="B891" s="5"/>
      <c r="H891" s="16"/>
    </row>
    <row r="892" spans="2:8">
      <c r="B892" s="5"/>
      <c r="H892" s="16"/>
    </row>
  </sheetData>
  <mergeCells count="27">
    <mergeCell ref="C50:F50"/>
    <mergeCell ref="G50:H50"/>
    <mergeCell ref="C47:F47"/>
    <mergeCell ref="G47:H47"/>
    <mergeCell ref="C48:F48"/>
    <mergeCell ref="G48:H48"/>
    <mergeCell ref="C49:F49"/>
    <mergeCell ref="G49:H49"/>
    <mergeCell ref="C44:F44"/>
    <mergeCell ref="G44:H44"/>
    <mergeCell ref="C45:F45"/>
    <mergeCell ref="G45:H45"/>
    <mergeCell ref="C46:F46"/>
    <mergeCell ref="G46:H46"/>
    <mergeCell ref="C43:F43"/>
    <mergeCell ref="G43:H43"/>
    <mergeCell ref="A4:H4"/>
    <mergeCell ref="A10:F10"/>
    <mergeCell ref="A17:F17"/>
    <mergeCell ref="A23:F23"/>
    <mergeCell ref="A29:F29"/>
    <mergeCell ref="A35:F35"/>
    <mergeCell ref="A38:F38"/>
    <mergeCell ref="C41:F41"/>
    <mergeCell ref="G41:H41"/>
    <mergeCell ref="C42:F42"/>
    <mergeCell ref="G42:H42"/>
  </mergeCells>
  <phoneticPr fontId="24" type="noConversion"/>
  <dataValidations count="1">
    <dataValidation type="list" allowBlank="1" showInputMessage="1" showErrorMessage="1" sqref="B42:B48" xr:uid="{C75C9BF8-A93B-4B1C-AAF1-DD3288E8444F}">
      <formula1>$L$41:$L$45</formula1>
    </dataValidation>
  </dataValidations>
  <pageMargins left="0.7" right="0.7" top="0.75" bottom="0.75" header="0.3" footer="0.3"/>
  <pageSetup scale="52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7511F-6343-44DA-9BF3-15CC7EDA6DD8}">
  <sheetPr>
    <pageSetUpPr fitToPage="1"/>
  </sheetPr>
  <dimension ref="A1:L892"/>
  <sheetViews>
    <sheetView showZeros="0" view="pageBreakPreview" topLeftCell="A3" zoomScale="60" zoomScaleNormal="70" workbookViewId="0">
      <selection activeCell="A11" sqref="A11"/>
    </sheetView>
  </sheetViews>
  <sheetFormatPr defaultColWidth="10.875" defaultRowHeight="18.75"/>
  <cols>
    <col min="1" max="1" width="35.625" customWidth="1"/>
    <col min="2" max="2" width="14.625" style="16" customWidth="1"/>
    <col min="3" max="7" width="15.875" style="5" customWidth="1"/>
    <col min="8" max="8" width="15.875" style="17" customWidth="1"/>
    <col min="9" max="9" width="9" style="5"/>
    <col min="10" max="12" width="0" style="5" hidden="1" customWidth="1"/>
    <col min="13" max="16384" width="10.875" style="5"/>
  </cols>
  <sheetData>
    <row r="1" spans="1:10" customFormat="1" ht="15.75">
      <c r="A1" s="41"/>
      <c r="B1" s="42"/>
      <c r="C1" s="43"/>
      <c r="D1" s="43"/>
      <c r="E1" s="45" t="s">
        <v>25</v>
      </c>
      <c r="F1" s="43"/>
      <c r="G1" s="45" t="s">
        <v>26</v>
      </c>
      <c r="H1" s="44">
        <v>6</v>
      </c>
    </row>
    <row r="2" spans="1:10">
      <c r="A2" s="30"/>
      <c r="B2" s="18" t="s">
        <v>27</v>
      </c>
      <c r="C2" s="19" t="s">
        <v>28</v>
      </c>
      <c r="D2" s="19" t="s">
        <v>29</v>
      </c>
      <c r="E2" s="18" t="s">
        <v>30</v>
      </c>
      <c r="F2" s="18" t="s">
        <v>31</v>
      </c>
      <c r="G2" s="18" t="s">
        <v>32</v>
      </c>
      <c r="H2" s="18" t="s">
        <v>33</v>
      </c>
    </row>
    <row r="3" spans="1:10" ht="21" customHeight="1">
      <c r="A3" s="31" t="s">
        <v>7</v>
      </c>
      <c r="B3" s="6">
        <f>'Week. 12'!H3+1</f>
        <v>46110</v>
      </c>
      <c r="C3" s="6">
        <f>B3+1</f>
        <v>46111</v>
      </c>
      <c r="D3" s="6">
        <f t="shared" ref="D3:H3" si="0">C3+1</f>
        <v>46112</v>
      </c>
      <c r="E3" s="6">
        <f t="shared" si="0"/>
        <v>46113</v>
      </c>
      <c r="F3" s="6">
        <f t="shared" si="0"/>
        <v>46114</v>
      </c>
      <c r="G3" s="6">
        <f t="shared" si="0"/>
        <v>46115</v>
      </c>
      <c r="H3" s="6">
        <f t="shared" si="0"/>
        <v>46116</v>
      </c>
    </row>
    <row r="4" spans="1:10" s="7" customFormat="1">
      <c r="A4" s="181" t="s">
        <v>135</v>
      </c>
      <c r="B4" s="181"/>
      <c r="C4" s="181"/>
      <c r="D4" s="181"/>
      <c r="E4" s="181"/>
      <c r="F4" s="181"/>
      <c r="G4" s="181"/>
      <c r="H4" s="181"/>
    </row>
    <row r="5" spans="1:10" s="7" customFormat="1" ht="26.1" customHeight="1">
      <c r="A5" s="32" t="s">
        <v>8</v>
      </c>
      <c r="B5" s="27"/>
      <c r="C5" s="27"/>
      <c r="D5" s="27"/>
      <c r="E5" s="27"/>
      <c r="F5" s="27"/>
      <c r="G5" s="27"/>
      <c r="H5" s="27"/>
    </row>
    <row r="6" spans="1:10" s="7" customFormat="1" ht="26.1" customHeight="1">
      <c r="A6" s="4" t="s">
        <v>23</v>
      </c>
      <c r="B6" s="62"/>
      <c r="C6" s="62"/>
      <c r="D6" s="62"/>
      <c r="E6" s="62"/>
      <c r="F6" s="62"/>
      <c r="G6" s="62"/>
      <c r="H6" s="62"/>
    </row>
    <row r="7" spans="1:10" s="7" customFormat="1" ht="21.95" customHeight="1">
      <c r="A7" s="32" t="s">
        <v>35</v>
      </c>
      <c r="B7" s="27"/>
      <c r="C7" s="28"/>
      <c r="D7" s="28"/>
      <c r="E7" s="28"/>
      <c r="F7" s="28"/>
      <c r="G7" s="28"/>
      <c r="H7" s="27"/>
    </row>
    <row r="8" spans="1:10" s="7" customFormat="1" ht="24.95" customHeight="1">
      <c r="A8" s="83" t="s">
        <v>36</v>
      </c>
      <c r="B8" s="84">
        <f t="shared" ref="B8:H8" si="1">B5+B6+B7</f>
        <v>0</v>
      </c>
      <c r="C8" s="84">
        <f t="shared" si="1"/>
        <v>0</v>
      </c>
      <c r="D8" s="84">
        <f t="shared" si="1"/>
        <v>0</v>
      </c>
      <c r="E8" s="84">
        <f t="shared" si="1"/>
        <v>0</v>
      </c>
      <c r="F8" s="84">
        <f t="shared" si="1"/>
        <v>0</v>
      </c>
      <c r="G8" s="84">
        <f t="shared" si="1"/>
        <v>0</v>
      </c>
      <c r="H8" s="84">
        <f t="shared" si="1"/>
        <v>0</v>
      </c>
    </row>
    <row r="9" spans="1:10" s="7" customFormat="1" ht="24.95" customHeight="1">
      <c r="A9" s="33"/>
      <c r="B9" s="29"/>
      <c r="C9" s="29"/>
      <c r="D9" s="29"/>
      <c r="E9" s="29"/>
      <c r="F9" s="29"/>
      <c r="G9" s="63" t="s">
        <v>37</v>
      </c>
      <c r="H9" s="64">
        <f>SUM(B8:H8)</f>
        <v>0</v>
      </c>
    </row>
    <row r="10" spans="1:10" s="7" customFormat="1">
      <c r="A10" s="182" t="s">
        <v>136</v>
      </c>
      <c r="B10" s="183"/>
      <c r="C10" s="183"/>
      <c r="D10" s="183"/>
      <c r="E10" s="183"/>
      <c r="F10" s="183"/>
      <c r="G10" s="65" t="s">
        <v>39</v>
      </c>
      <c r="H10" s="66">
        <v>-0.15</v>
      </c>
      <c r="I10" s="5"/>
      <c r="J10" s="26"/>
    </row>
    <row r="11" spans="1:10" s="7" customFormat="1" ht="30" customHeight="1">
      <c r="A11" s="39" t="s">
        <v>8</v>
      </c>
      <c r="B11" s="9"/>
      <c r="C11" s="9"/>
      <c r="D11" s="67"/>
      <c r="E11" s="67"/>
      <c r="F11" s="9"/>
      <c r="G11" s="68"/>
      <c r="H11" s="69"/>
    </row>
    <row r="12" spans="1:10" s="7" customFormat="1" ht="30" customHeight="1">
      <c r="A12" s="70" t="s">
        <v>23</v>
      </c>
      <c r="B12" s="59"/>
      <c r="C12" s="58"/>
      <c r="D12" s="58"/>
      <c r="E12" s="58"/>
      <c r="F12" s="58"/>
      <c r="G12" s="58"/>
      <c r="H12" s="58"/>
    </row>
    <row r="13" spans="1:10" s="7" customFormat="1" ht="30" customHeight="1">
      <c r="A13" s="3" t="s">
        <v>35</v>
      </c>
      <c r="B13" s="8"/>
      <c r="C13" s="8"/>
      <c r="D13" s="8"/>
      <c r="E13" s="8"/>
      <c r="F13" s="8"/>
      <c r="G13" s="8"/>
      <c r="H13" s="8"/>
    </row>
    <row r="14" spans="1:10" s="7" customFormat="1" ht="27" customHeight="1">
      <c r="A14" s="85" t="s">
        <v>36</v>
      </c>
      <c r="B14" s="87">
        <f t="shared" ref="B14:H14" si="2">B11+B12+B13</f>
        <v>0</v>
      </c>
      <c r="C14" s="87">
        <f t="shared" si="2"/>
        <v>0</v>
      </c>
      <c r="D14" s="87">
        <f t="shared" si="2"/>
        <v>0</v>
      </c>
      <c r="E14" s="87">
        <f t="shared" si="2"/>
        <v>0</v>
      </c>
      <c r="F14" s="87">
        <f t="shared" si="2"/>
        <v>0</v>
      </c>
      <c r="G14" s="87">
        <f t="shared" si="2"/>
        <v>0</v>
      </c>
      <c r="H14" s="87">
        <f t="shared" si="2"/>
        <v>0</v>
      </c>
    </row>
    <row r="15" spans="1:10" s="7" customFormat="1" ht="24.95" customHeight="1">
      <c r="A15" s="86" t="s">
        <v>40</v>
      </c>
      <c r="B15" s="92" t="e">
        <f t="shared" ref="B15:H15" si="3">(B14-B8)/B8</f>
        <v>#DIV/0!</v>
      </c>
      <c r="C15" s="93" t="e">
        <f t="shared" si="3"/>
        <v>#DIV/0!</v>
      </c>
      <c r="D15" s="93" t="e">
        <f t="shared" si="3"/>
        <v>#DIV/0!</v>
      </c>
      <c r="E15" s="93" t="e">
        <f t="shared" si="3"/>
        <v>#DIV/0!</v>
      </c>
      <c r="F15" s="93" t="e">
        <f t="shared" si="3"/>
        <v>#DIV/0!</v>
      </c>
      <c r="G15" s="93" t="e">
        <f t="shared" si="3"/>
        <v>#DIV/0!</v>
      </c>
      <c r="H15" s="94" t="e">
        <f t="shared" si="3"/>
        <v>#DIV/0!</v>
      </c>
      <c r="I15" s="71"/>
    </row>
    <row r="16" spans="1:10" ht="30" customHeight="1">
      <c r="B16" s="88"/>
      <c r="C16" s="88"/>
      <c r="D16" s="88"/>
      <c r="E16" s="88"/>
      <c r="F16" s="89"/>
      <c r="G16" s="90" t="s">
        <v>37</v>
      </c>
      <c r="H16" s="91">
        <f>SUM(B14:H14)</f>
        <v>0</v>
      </c>
    </row>
    <row r="17" spans="1:8" s="7" customFormat="1">
      <c r="A17" s="184" t="s">
        <v>41</v>
      </c>
      <c r="B17" s="185"/>
      <c r="C17" s="185"/>
      <c r="D17" s="185"/>
      <c r="E17" s="185"/>
      <c r="F17" s="185"/>
      <c r="G17" s="72" t="s">
        <v>42</v>
      </c>
      <c r="H17" s="66" t="e">
        <f>(H16-H9)/H9</f>
        <v>#DIV/0!</v>
      </c>
    </row>
    <row r="18" spans="1:8" s="7" customFormat="1" ht="30" customHeight="1">
      <c r="A18" s="35" t="s">
        <v>43</v>
      </c>
      <c r="B18" s="12"/>
      <c r="C18" s="12"/>
      <c r="D18" s="73"/>
      <c r="E18" s="73"/>
      <c r="F18" s="12"/>
      <c r="G18" s="24"/>
      <c r="H18" s="74"/>
    </row>
    <row r="19" spans="1:8" s="7" customFormat="1" ht="30" customHeight="1">
      <c r="A19" s="35" t="str">
        <f>'Week. 12'!A31</f>
        <v>Non Meal Plan Meals</v>
      </c>
      <c r="B19" s="12"/>
      <c r="C19" s="12"/>
      <c r="D19" s="73"/>
      <c r="E19" s="73"/>
      <c r="F19" s="12"/>
      <c r="G19" s="24"/>
      <c r="H19" s="74"/>
    </row>
    <row r="20" spans="1:8" s="7" customFormat="1" ht="30" customHeight="1">
      <c r="A20" s="35" t="str">
        <f>'Week. 12'!A32</f>
        <v xml:space="preserve">Meal numbers </v>
      </c>
      <c r="B20" s="95"/>
      <c r="C20" s="95"/>
      <c r="D20" s="67"/>
      <c r="E20" s="67"/>
      <c r="F20" s="95"/>
      <c r="G20" s="95"/>
      <c r="H20" s="75"/>
    </row>
    <row r="21" spans="1:8" s="7" customFormat="1" ht="24.95" customHeight="1">
      <c r="A21" s="36" t="s">
        <v>45</v>
      </c>
      <c r="B21" s="77">
        <f t="shared" ref="B21:G21" si="4">B18+B20</f>
        <v>0</v>
      </c>
      <c r="C21" s="77">
        <f t="shared" si="4"/>
        <v>0</v>
      </c>
      <c r="D21" s="96"/>
      <c r="E21" s="96"/>
      <c r="F21" s="77">
        <f t="shared" si="4"/>
        <v>0</v>
      </c>
      <c r="G21" s="77">
        <f t="shared" si="4"/>
        <v>0</v>
      </c>
      <c r="H21" s="77">
        <f>H18+H20</f>
        <v>0</v>
      </c>
    </row>
    <row r="22" spans="1:8" s="7" customFormat="1" ht="24.95" customHeight="1">
      <c r="A22" s="34" t="s">
        <v>40</v>
      </c>
      <c r="B22" s="92" t="e">
        <f>(B21-B5)/B5</f>
        <v>#DIV/0!</v>
      </c>
      <c r="C22" s="93" t="e">
        <f>(C21-C5)/C5</f>
        <v>#DIV/0!</v>
      </c>
      <c r="D22" s="99"/>
      <c r="E22" s="99"/>
      <c r="F22" s="93" t="e">
        <f>(F21-F5)/F5</f>
        <v>#DIV/0!</v>
      </c>
      <c r="G22" s="93" t="e">
        <f>(G21-G5)/G5</f>
        <v>#DIV/0!</v>
      </c>
      <c r="H22" s="94" t="e">
        <f>(H21-H5)/H5</f>
        <v>#DIV/0!</v>
      </c>
    </row>
    <row r="23" spans="1:8" s="7" customFormat="1">
      <c r="A23" s="186" t="s">
        <v>46</v>
      </c>
      <c r="B23" s="187"/>
      <c r="C23" s="187"/>
      <c r="D23" s="187"/>
      <c r="E23" s="187"/>
      <c r="F23" s="188" t="s">
        <v>47</v>
      </c>
      <c r="G23" s="97"/>
      <c r="H23" s="98"/>
    </row>
    <row r="24" spans="1:8" s="7" customFormat="1" ht="30" customHeight="1">
      <c r="A24" s="35" t="s">
        <v>43</v>
      </c>
      <c r="B24" s="11"/>
      <c r="C24" s="12"/>
      <c r="D24" s="12"/>
      <c r="E24" s="12"/>
      <c r="F24" s="12"/>
      <c r="G24" s="12"/>
      <c r="H24" s="11"/>
    </row>
    <row r="25" spans="1:8" s="7" customFormat="1" ht="30" customHeight="1">
      <c r="A25" s="35" t="str">
        <f>A19</f>
        <v>Non Meal Plan Meals</v>
      </c>
      <c r="B25" s="117"/>
      <c r="C25" s="117"/>
      <c r="D25" s="117"/>
      <c r="E25" s="117"/>
      <c r="F25" s="117"/>
      <c r="G25" s="117"/>
      <c r="H25" s="117"/>
    </row>
    <row r="26" spans="1:8" s="7" customFormat="1" ht="30" customHeight="1">
      <c r="A26" s="35" t="str">
        <f>A20</f>
        <v xml:space="preserve">Meal numbers </v>
      </c>
      <c r="B26" s="11"/>
      <c r="C26" s="11"/>
      <c r="D26" s="11"/>
      <c r="E26" s="11"/>
      <c r="F26" s="11"/>
      <c r="G26" s="11"/>
      <c r="H26" s="11"/>
    </row>
    <row r="27" spans="1:8" s="7" customFormat="1" ht="27.95" customHeight="1">
      <c r="A27" s="36" t="s">
        <v>50</v>
      </c>
      <c r="B27" s="100">
        <f>B24+B25+B26</f>
        <v>0</v>
      </c>
      <c r="C27" s="100">
        <f t="shared" ref="C27:G27" si="5">C24+C25+C26</f>
        <v>0</v>
      </c>
      <c r="D27" s="100">
        <f t="shared" si="5"/>
        <v>0</v>
      </c>
      <c r="E27" s="100">
        <f t="shared" si="5"/>
        <v>0</v>
      </c>
      <c r="F27" s="100">
        <f t="shared" si="5"/>
        <v>0</v>
      </c>
      <c r="G27" s="100">
        <f t="shared" si="5"/>
        <v>0</v>
      </c>
      <c r="H27" s="100">
        <f>H24+H25+H26</f>
        <v>0</v>
      </c>
    </row>
    <row r="28" spans="1:8" s="7" customFormat="1" ht="24.95" customHeight="1">
      <c r="A28" s="34" t="s">
        <v>40</v>
      </c>
      <c r="B28" s="92" t="e">
        <f t="shared" ref="B28:H28" si="6">(B27-B6)/B6</f>
        <v>#DIV/0!</v>
      </c>
      <c r="C28" s="93" t="e">
        <f t="shared" si="6"/>
        <v>#DIV/0!</v>
      </c>
      <c r="D28" s="93" t="e">
        <f t="shared" si="6"/>
        <v>#DIV/0!</v>
      </c>
      <c r="E28" s="93" t="e">
        <f t="shared" si="6"/>
        <v>#DIV/0!</v>
      </c>
      <c r="F28" s="93" t="e">
        <f t="shared" si="6"/>
        <v>#DIV/0!</v>
      </c>
      <c r="G28" s="93" t="e">
        <f t="shared" si="6"/>
        <v>#DIV/0!</v>
      </c>
      <c r="H28" s="94" t="e">
        <f t="shared" si="6"/>
        <v>#DIV/0!</v>
      </c>
    </row>
    <row r="29" spans="1:8" s="7" customFormat="1">
      <c r="A29" s="189" t="s">
        <v>51</v>
      </c>
      <c r="B29" s="190"/>
      <c r="C29" s="190"/>
      <c r="D29" s="190"/>
      <c r="E29" s="190"/>
      <c r="F29" s="191" t="s">
        <v>35</v>
      </c>
      <c r="G29" s="101"/>
      <c r="H29" s="102"/>
    </row>
    <row r="30" spans="1:8" s="7" customFormat="1" ht="30" customHeight="1">
      <c r="A30" s="35" t="s">
        <v>43</v>
      </c>
      <c r="B30" s="10"/>
      <c r="C30" s="9"/>
      <c r="D30" s="9"/>
      <c r="E30" s="9"/>
      <c r="F30" s="9"/>
      <c r="G30" s="9"/>
      <c r="H30" s="10"/>
    </row>
    <row r="31" spans="1:8" s="7" customFormat="1" ht="30" customHeight="1">
      <c r="A31" s="35" t="str">
        <f>A25</f>
        <v>Non Meal Plan Meals</v>
      </c>
      <c r="B31" s="60"/>
      <c r="C31" s="60"/>
      <c r="D31" s="60"/>
      <c r="E31" s="60"/>
      <c r="F31" s="60"/>
      <c r="G31" s="60"/>
      <c r="H31" s="60"/>
    </row>
    <row r="32" spans="1:8" s="7" customFormat="1" ht="30" customHeight="1">
      <c r="A32" s="35" t="str">
        <f>A26</f>
        <v xml:space="preserve">Meal numbers </v>
      </c>
      <c r="B32" s="10"/>
      <c r="C32" s="10"/>
      <c r="D32" s="10"/>
      <c r="E32" s="10"/>
      <c r="F32" s="10"/>
      <c r="G32" s="10"/>
      <c r="H32" s="10"/>
    </row>
    <row r="33" spans="1:12" s="7" customFormat="1" ht="30.95" customHeight="1">
      <c r="A33" s="36" t="s">
        <v>53</v>
      </c>
      <c r="B33" s="103">
        <f>B30+B31+B32</f>
        <v>0</v>
      </c>
      <c r="C33" s="103">
        <f t="shared" ref="C33:G33" si="7">C30+C31+C32</f>
        <v>0</v>
      </c>
      <c r="D33" s="103">
        <f t="shared" si="7"/>
        <v>0</v>
      </c>
      <c r="E33" s="103">
        <f t="shared" si="7"/>
        <v>0</v>
      </c>
      <c r="F33" s="103">
        <f t="shared" si="7"/>
        <v>0</v>
      </c>
      <c r="G33" s="103">
        <f t="shared" si="7"/>
        <v>0</v>
      </c>
      <c r="H33" s="103">
        <f>H30+H31+H32</f>
        <v>0</v>
      </c>
    </row>
    <row r="34" spans="1:12" s="7" customFormat="1" ht="24.95" customHeight="1">
      <c r="A34" s="34" t="s">
        <v>40</v>
      </c>
      <c r="B34" s="92" t="e">
        <f t="shared" ref="B34:H34" si="8">(B33-B7)/B7</f>
        <v>#DIV/0!</v>
      </c>
      <c r="C34" s="93" t="e">
        <f t="shared" si="8"/>
        <v>#DIV/0!</v>
      </c>
      <c r="D34" s="93" t="e">
        <f t="shared" si="8"/>
        <v>#DIV/0!</v>
      </c>
      <c r="E34" s="93" t="e">
        <f t="shared" si="8"/>
        <v>#DIV/0!</v>
      </c>
      <c r="F34" s="93" t="e">
        <f t="shared" si="8"/>
        <v>#DIV/0!</v>
      </c>
      <c r="G34" s="93" t="e">
        <f t="shared" si="8"/>
        <v>#DIV/0!</v>
      </c>
      <c r="H34" s="94" t="e">
        <f t="shared" si="8"/>
        <v>#DIV/0!</v>
      </c>
    </row>
    <row r="35" spans="1:12" s="7" customFormat="1">
      <c r="A35" s="192" t="s">
        <v>54</v>
      </c>
      <c r="B35" s="193"/>
      <c r="C35" s="193"/>
      <c r="D35" s="193"/>
      <c r="E35" s="193"/>
      <c r="F35" s="194" t="s">
        <v>35</v>
      </c>
      <c r="G35" s="104"/>
      <c r="H35" s="105"/>
    </row>
    <row r="36" spans="1:12" s="7" customFormat="1" ht="30.95" customHeight="1">
      <c r="A36" s="78" t="s">
        <v>55</v>
      </c>
      <c r="B36" s="77">
        <f>B33+B27+B21</f>
        <v>0</v>
      </c>
      <c r="C36" s="77">
        <f t="shared" ref="C36:H36" si="9">C33+C27+C21</f>
        <v>0</v>
      </c>
      <c r="D36" s="77">
        <f t="shared" si="9"/>
        <v>0</v>
      </c>
      <c r="E36" s="77">
        <f t="shared" si="9"/>
        <v>0</v>
      </c>
      <c r="F36" s="77">
        <f t="shared" si="9"/>
        <v>0</v>
      </c>
      <c r="G36" s="77">
        <f t="shared" si="9"/>
        <v>0</v>
      </c>
      <c r="H36" s="77">
        <f t="shared" si="9"/>
        <v>0</v>
      </c>
    </row>
    <row r="37" spans="1:12" s="7" customFormat="1" ht="24.95" customHeight="1">
      <c r="A37" s="34" t="s">
        <v>40</v>
      </c>
      <c r="B37" s="92" t="e">
        <f t="shared" ref="B37:H37" si="10">(B36-B8)/B8</f>
        <v>#DIV/0!</v>
      </c>
      <c r="C37" s="93" t="e">
        <f t="shared" si="10"/>
        <v>#DIV/0!</v>
      </c>
      <c r="D37" s="93" t="e">
        <f t="shared" si="10"/>
        <v>#DIV/0!</v>
      </c>
      <c r="E37" s="93" t="e">
        <f t="shared" si="10"/>
        <v>#DIV/0!</v>
      </c>
      <c r="F37" s="93" t="e">
        <f t="shared" si="10"/>
        <v>#DIV/0!</v>
      </c>
      <c r="G37" s="93" t="e">
        <f t="shared" si="10"/>
        <v>#DIV/0!</v>
      </c>
      <c r="H37" s="94" t="e">
        <f t="shared" si="10"/>
        <v>#DIV/0!</v>
      </c>
    </row>
    <row r="38" spans="1:12" ht="30" customHeight="1">
      <c r="A38" s="195"/>
      <c r="B38" s="196"/>
      <c r="C38" s="196"/>
      <c r="D38" s="196"/>
      <c r="E38" s="196"/>
      <c r="F38" s="196"/>
      <c r="G38" s="106" t="s">
        <v>37</v>
      </c>
      <c r="H38" s="107">
        <f>SUM(B36:H36)</f>
        <v>0</v>
      </c>
    </row>
    <row r="39" spans="1:12" s="7" customFormat="1" ht="24.95" customHeight="1">
      <c r="A39" s="37"/>
      <c r="B39" s="25"/>
      <c r="C39" s="25"/>
      <c r="D39" s="25"/>
      <c r="E39" s="25"/>
      <c r="F39" s="25"/>
      <c r="G39" s="79" t="s">
        <v>40</v>
      </c>
      <c r="H39" s="80" t="e">
        <f>(H38-H9)/H9</f>
        <v>#DIV/0!</v>
      </c>
    </row>
    <row r="40" spans="1:12" s="7" customFormat="1" ht="24.95" customHeight="1">
      <c r="A40" s="37"/>
      <c r="B40" s="25"/>
      <c r="C40" s="25"/>
      <c r="D40" s="25"/>
      <c r="E40" s="25"/>
      <c r="F40" s="25"/>
      <c r="G40" s="81" t="s">
        <v>56</v>
      </c>
      <c r="H40" s="82" t="e">
        <f>(H38-H16)/H16</f>
        <v>#DIV/0!</v>
      </c>
    </row>
    <row r="41" spans="1:12" s="46" customFormat="1" ht="23.1" customHeight="1">
      <c r="A41" s="40"/>
      <c r="B41" s="47" t="s">
        <v>57</v>
      </c>
      <c r="C41" s="197" t="s">
        <v>58</v>
      </c>
      <c r="D41" s="197"/>
      <c r="E41" s="197"/>
      <c r="F41" s="197"/>
      <c r="G41" s="198">
        <v>2022</v>
      </c>
      <c r="H41" s="199"/>
    </row>
    <row r="42" spans="1:12" ht="30" customHeight="1">
      <c r="A42" s="1" t="s">
        <v>60</v>
      </c>
      <c r="B42" s="57" t="s">
        <v>59</v>
      </c>
      <c r="C42" s="180"/>
      <c r="D42" s="180"/>
      <c r="E42" s="180"/>
      <c r="F42" s="180"/>
      <c r="G42" s="178"/>
      <c r="H42" s="179"/>
      <c r="L42" s="7" t="s">
        <v>61</v>
      </c>
    </row>
    <row r="43" spans="1:12" ht="30" customHeight="1">
      <c r="A43" s="1" t="s">
        <v>1</v>
      </c>
      <c r="B43" s="57" t="s">
        <v>59</v>
      </c>
      <c r="C43" s="180"/>
      <c r="D43" s="180"/>
      <c r="E43" s="180"/>
      <c r="F43" s="180"/>
      <c r="G43" s="178"/>
      <c r="H43" s="179"/>
      <c r="L43" s="5" t="s">
        <v>62</v>
      </c>
    </row>
    <row r="44" spans="1:12" ht="30" customHeight="1">
      <c r="A44" s="1" t="s">
        <v>2</v>
      </c>
      <c r="B44" s="57" t="s">
        <v>59</v>
      </c>
      <c r="C44" s="175"/>
      <c r="D44" s="175"/>
      <c r="E44" s="175"/>
      <c r="F44" s="175"/>
      <c r="G44" s="176"/>
      <c r="H44" s="177"/>
      <c r="L44" s="5" t="s">
        <v>63</v>
      </c>
    </row>
    <row r="45" spans="1:12" ht="30" customHeight="1">
      <c r="A45" s="1" t="s">
        <v>3</v>
      </c>
      <c r="B45" s="57" t="s">
        <v>59</v>
      </c>
      <c r="C45" s="175"/>
      <c r="D45" s="175"/>
      <c r="E45" s="175"/>
      <c r="F45" s="175"/>
      <c r="G45" s="176"/>
      <c r="H45" s="177"/>
      <c r="L45" s="5" t="s">
        <v>64</v>
      </c>
    </row>
    <row r="46" spans="1:12" ht="30.95" customHeight="1">
      <c r="A46" s="1" t="s">
        <v>4</v>
      </c>
      <c r="B46" s="57" t="s">
        <v>59</v>
      </c>
      <c r="C46" s="175"/>
      <c r="D46" s="175"/>
      <c r="E46" s="175"/>
      <c r="F46" s="175"/>
      <c r="G46" s="176"/>
      <c r="H46" s="177"/>
    </row>
    <row r="47" spans="1:12" ht="30" customHeight="1">
      <c r="A47" s="1" t="s">
        <v>5</v>
      </c>
      <c r="B47" s="57" t="s">
        <v>59</v>
      </c>
      <c r="C47" s="175"/>
      <c r="D47" s="175"/>
      <c r="E47" s="175"/>
      <c r="F47" s="175"/>
      <c r="G47" s="176"/>
      <c r="H47" s="177"/>
    </row>
    <row r="48" spans="1:12" ht="30" customHeight="1">
      <c r="A48" s="1" t="s">
        <v>6</v>
      </c>
      <c r="B48" s="57" t="s">
        <v>59</v>
      </c>
      <c r="C48" s="175"/>
      <c r="D48" s="175"/>
      <c r="E48" s="175"/>
      <c r="F48" s="175"/>
      <c r="G48" s="176"/>
      <c r="H48" s="177"/>
    </row>
    <row r="49" spans="1:8" ht="30" customHeight="1">
      <c r="A49" s="1"/>
      <c r="B49" s="14"/>
      <c r="C49" s="175"/>
      <c r="D49" s="175"/>
      <c r="E49" s="175"/>
      <c r="F49" s="175"/>
      <c r="G49" s="176"/>
      <c r="H49" s="177"/>
    </row>
    <row r="50" spans="1:8" ht="30" customHeight="1">
      <c r="A50" s="2"/>
      <c r="B50" s="14"/>
      <c r="C50" s="175"/>
      <c r="D50" s="175"/>
      <c r="E50" s="175"/>
      <c r="F50" s="175"/>
      <c r="G50" s="176"/>
      <c r="H50" s="177"/>
    </row>
    <row r="51" spans="1:8">
      <c r="A51" s="30"/>
      <c r="B51" s="18" t="s">
        <v>27</v>
      </c>
      <c r="C51" s="18" t="s">
        <v>28</v>
      </c>
      <c r="D51" s="18" t="s">
        <v>65</v>
      </c>
      <c r="E51" s="18" t="s">
        <v>30</v>
      </c>
      <c r="F51" s="18" t="s">
        <v>66</v>
      </c>
      <c r="G51" s="18" t="s">
        <v>32</v>
      </c>
      <c r="H51" s="18" t="s">
        <v>33</v>
      </c>
    </row>
    <row r="52" spans="1:8">
      <c r="A52" s="38" t="s">
        <v>67</v>
      </c>
      <c r="B52" s="15"/>
      <c r="C52" s="20"/>
      <c r="D52" s="20"/>
      <c r="E52" s="20"/>
      <c r="F52" s="20"/>
      <c r="G52" s="20"/>
      <c r="H52" s="15"/>
    </row>
    <row r="53" spans="1:8" customFormat="1" ht="15.75">
      <c r="A53" s="48" t="s">
        <v>68</v>
      </c>
      <c r="B53" s="22"/>
      <c r="C53" s="21"/>
      <c r="D53" s="21"/>
      <c r="E53" s="21"/>
      <c r="F53" s="21"/>
      <c r="G53" s="23" t="s">
        <v>37</v>
      </c>
      <c r="H53" s="23">
        <f>SUM(B52:H52)</f>
        <v>0</v>
      </c>
    </row>
    <row r="54" spans="1:8">
      <c r="A54" s="30"/>
      <c r="B54" s="18" t="s">
        <v>27</v>
      </c>
      <c r="C54" s="18" t="s">
        <v>28</v>
      </c>
      <c r="D54" s="18" t="s">
        <v>65</v>
      </c>
      <c r="E54" s="18" t="s">
        <v>30</v>
      </c>
      <c r="F54" s="18" t="s">
        <v>66</v>
      </c>
      <c r="G54" s="18" t="s">
        <v>32</v>
      </c>
      <c r="H54" s="18" t="s">
        <v>33</v>
      </c>
    </row>
    <row r="55" spans="1:8">
      <c r="A55" s="38" t="s">
        <v>69</v>
      </c>
      <c r="B55" s="51"/>
      <c r="C55" s="52"/>
      <c r="D55" s="52"/>
      <c r="E55" s="52"/>
      <c r="F55" s="52"/>
      <c r="G55" s="20"/>
      <c r="H55" s="15"/>
    </row>
    <row r="56" spans="1:8" customFormat="1" ht="15.75">
      <c r="A56" s="49" t="s">
        <v>70</v>
      </c>
      <c r="B56" s="53"/>
      <c r="C56" s="53" t="s">
        <v>71</v>
      </c>
      <c r="D56" s="54"/>
      <c r="E56" s="54"/>
      <c r="F56" s="55"/>
      <c r="G56" s="50" t="s">
        <v>37</v>
      </c>
      <c r="H56" s="23"/>
    </row>
    <row r="57" spans="1:8">
      <c r="H57" s="16"/>
    </row>
    <row r="58" spans="1:8">
      <c r="H58" s="16"/>
    </row>
    <row r="59" spans="1:8">
      <c r="H59" s="16"/>
    </row>
    <row r="60" spans="1:8">
      <c r="H60" s="16"/>
    </row>
    <row r="61" spans="1:8">
      <c r="H61" s="16"/>
    </row>
    <row r="62" spans="1:8">
      <c r="H62" s="16"/>
    </row>
    <row r="63" spans="1:8">
      <c r="H63" s="16"/>
    </row>
    <row r="64" spans="1:8">
      <c r="B64" s="5"/>
      <c r="H64" s="16"/>
    </row>
    <row r="65" spans="2:8">
      <c r="B65" s="5"/>
      <c r="H65" s="16"/>
    </row>
    <row r="66" spans="2:8">
      <c r="B66" s="5"/>
      <c r="H66" s="16"/>
    </row>
    <row r="67" spans="2:8">
      <c r="B67" s="5"/>
      <c r="H67" s="16"/>
    </row>
    <row r="68" spans="2:8">
      <c r="B68" s="5"/>
      <c r="H68" s="16"/>
    </row>
    <row r="69" spans="2:8">
      <c r="B69" s="5"/>
      <c r="H69" s="16"/>
    </row>
    <row r="70" spans="2:8">
      <c r="B70" s="5"/>
      <c r="H70" s="16"/>
    </row>
    <row r="71" spans="2:8">
      <c r="B71" s="5"/>
      <c r="H71" s="16"/>
    </row>
    <row r="72" spans="2:8">
      <c r="B72" s="5"/>
      <c r="H72" s="16"/>
    </row>
    <row r="73" spans="2:8">
      <c r="B73" s="5"/>
      <c r="H73" s="16"/>
    </row>
    <row r="74" spans="2:8">
      <c r="B74" s="5"/>
      <c r="H74" s="16"/>
    </row>
    <row r="75" spans="2:8">
      <c r="B75" s="5"/>
      <c r="H75" s="16"/>
    </row>
    <row r="76" spans="2:8">
      <c r="B76" s="5"/>
      <c r="H76" s="16"/>
    </row>
    <row r="77" spans="2:8">
      <c r="B77" s="5"/>
      <c r="H77" s="16"/>
    </row>
    <row r="78" spans="2:8">
      <c r="B78" s="5"/>
      <c r="H78" s="16"/>
    </row>
    <row r="79" spans="2:8">
      <c r="B79" s="5"/>
      <c r="H79" s="16"/>
    </row>
    <row r="80" spans="2:8">
      <c r="B80" s="5"/>
      <c r="H80" s="16"/>
    </row>
    <row r="81" spans="2:8">
      <c r="B81" s="5"/>
      <c r="H81" s="16"/>
    </row>
    <row r="82" spans="2:8">
      <c r="B82" s="5"/>
      <c r="H82" s="16"/>
    </row>
    <row r="83" spans="2:8">
      <c r="B83" s="5"/>
      <c r="H83" s="16"/>
    </row>
    <row r="84" spans="2:8">
      <c r="B84" s="5"/>
      <c r="H84" s="16"/>
    </row>
    <row r="85" spans="2:8">
      <c r="B85" s="5"/>
      <c r="H85" s="16"/>
    </row>
    <row r="86" spans="2:8">
      <c r="B86" s="5"/>
      <c r="H86" s="16"/>
    </row>
    <row r="87" spans="2:8">
      <c r="B87" s="5"/>
      <c r="H87" s="16"/>
    </row>
    <row r="88" spans="2:8">
      <c r="B88" s="5"/>
      <c r="H88" s="16"/>
    </row>
    <row r="89" spans="2:8">
      <c r="B89" s="5"/>
      <c r="H89" s="16"/>
    </row>
    <row r="90" spans="2:8">
      <c r="B90" s="5"/>
      <c r="H90" s="16"/>
    </row>
    <row r="91" spans="2:8">
      <c r="B91" s="5"/>
      <c r="H91" s="16"/>
    </row>
    <row r="92" spans="2:8">
      <c r="B92" s="5"/>
      <c r="H92" s="16"/>
    </row>
    <row r="93" spans="2:8">
      <c r="B93" s="5"/>
      <c r="H93" s="16"/>
    </row>
    <row r="94" spans="2:8">
      <c r="B94" s="5"/>
      <c r="H94" s="16"/>
    </row>
    <row r="95" spans="2:8">
      <c r="B95" s="5"/>
      <c r="H95" s="16"/>
    </row>
    <row r="96" spans="2:8">
      <c r="B96" s="5"/>
      <c r="H96" s="16"/>
    </row>
    <row r="97" spans="2:8">
      <c r="B97" s="5"/>
      <c r="H97" s="16"/>
    </row>
    <row r="98" spans="2:8">
      <c r="B98" s="5"/>
      <c r="H98" s="16"/>
    </row>
    <row r="99" spans="2:8">
      <c r="B99" s="5"/>
      <c r="H99" s="16"/>
    </row>
    <row r="100" spans="2:8">
      <c r="B100" s="5"/>
      <c r="H100" s="16"/>
    </row>
    <row r="101" spans="2:8">
      <c r="B101" s="5"/>
      <c r="H101" s="16"/>
    </row>
    <row r="102" spans="2:8">
      <c r="B102" s="5"/>
      <c r="H102" s="16"/>
    </row>
    <row r="103" spans="2:8">
      <c r="B103" s="5"/>
      <c r="H103" s="16"/>
    </row>
    <row r="104" spans="2:8">
      <c r="B104" s="5"/>
      <c r="H104" s="16"/>
    </row>
    <row r="105" spans="2:8">
      <c r="B105" s="5"/>
      <c r="H105" s="16"/>
    </row>
    <row r="106" spans="2:8">
      <c r="B106" s="5"/>
      <c r="H106" s="16"/>
    </row>
    <row r="107" spans="2:8">
      <c r="B107" s="5"/>
      <c r="H107" s="16"/>
    </row>
    <row r="108" spans="2:8">
      <c r="B108" s="5"/>
      <c r="H108" s="16"/>
    </row>
    <row r="109" spans="2:8">
      <c r="B109" s="5"/>
      <c r="H109" s="16"/>
    </row>
    <row r="110" spans="2:8">
      <c r="B110" s="5"/>
      <c r="H110" s="16"/>
    </row>
    <row r="111" spans="2:8">
      <c r="B111" s="5"/>
      <c r="H111" s="16"/>
    </row>
    <row r="112" spans="2:8">
      <c r="B112" s="5"/>
      <c r="H112" s="16"/>
    </row>
    <row r="113" spans="2:8">
      <c r="B113" s="5"/>
      <c r="H113" s="16"/>
    </row>
    <row r="114" spans="2:8">
      <c r="B114" s="5"/>
      <c r="H114" s="16"/>
    </row>
    <row r="115" spans="2:8">
      <c r="B115" s="5"/>
      <c r="H115" s="16"/>
    </row>
    <row r="116" spans="2:8">
      <c r="B116" s="5"/>
      <c r="H116" s="16"/>
    </row>
    <row r="117" spans="2:8">
      <c r="B117" s="5"/>
      <c r="H117" s="16"/>
    </row>
    <row r="118" spans="2:8">
      <c r="B118" s="5"/>
      <c r="H118" s="16"/>
    </row>
    <row r="119" spans="2:8">
      <c r="B119" s="5"/>
      <c r="H119" s="16"/>
    </row>
    <row r="120" spans="2:8">
      <c r="B120" s="5"/>
      <c r="H120" s="16"/>
    </row>
    <row r="121" spans="2:8">
      <c r="B121" s="5"/>
      <c r="H121" s="16"/>
    </row>
    <row r="122" spans="2:8">
      <c r="B122" s="5"/>
      <c r="H122" s="16"/>
    </row>
    <row r="123" spans="2:8">
      <c r="B123" s="5"/>
      <c r="H123" s="16"/>
    </row>
    <row r="124" spans="2:8">
      <c r="B124" s="5"/>
      <c r="H124" s="16"/>
    </row>
    <row r="125" spans="2:8">
      <c r="B125" s="5"/>
      <c r="H125" s="16"/>
    </row>
    <row r="126" spans="2:8">
      <c r="B126" s="5"/>
      <c r="H126" s="16"/>
    </row>
    <row r="127" spans="2:8">
      <c r="B127" s="5"/>
      <c r="H127" s="16"/>
    </row>
    <row r="128" spans="2:8">
      <c r="B128" s="5"/>
      <c r="H128" s="16"/>
    </row>
    <row r="129" spans="2:8">
      <c r="B129" s="5"/>
      <c r="H129" s="16"/>
    </row>
    <row r="130" spans="2:8">
      <c r="B130" s="5"/>
      <c r="H130" s="16"/>
    </row>
    <row r="131" spans="2:8">
      <c r="B131" s="5"/>
      <c r="H131" s="16"/>
    </row>
    <row r="132" spans="2:8">
      <c r="B132" s="5"/>
      <c r="H132" s="16"/>
    </row>
    <row r="133" spans="2:8">
      <c r="B133" s="5"/>
      <c r="H133" s="16"/>
    </row>
    <row r="134" spans="2:8">
      <c r="B134" s="5"/>
      <c r="H134" s="16"/>
    </row>
    <row r="135" spans="2:8">
      <c r="B135" s="5"/>
      <c r="H135" s="16"/>
    </row>
    <row r="136" spans="2:8">
      <c r="B136" s="5"/>
      <c r="H136" s="16"/>
    </row>
    <row r="137" spans="2:8">
      <c r="B137" s="5"/>
      <c r="H137" s="16"/>
    </row>
    <row r="138" spans="2:8">
      <c r="B138" s="5"/>
      <c r="H138" s="16"/>
    </row>
    <row r="139" spans="2:8">
      <c r="B139" s="5"/>
      <c r="H139" s="16"/>
    </row>
    <row r="140" spans="2:8">
      <c r="B140" s="5"/>
      <c r="H140" s="16"/>
    </row>
    <row r="141" spans="2:8">
      <c r="B141" s="5"/>
      <c r="H141" s="16"/>
    </row>
    <row r="142" spans="2:8">
      <c r="B142" s="5"/>
      <c r="H142" s="16"/>
    </row>
    <row r="143" spans="2:8">
      <c r="B143" s="5"/>
      <c r="H143" s="16"/>
    </row>
    <row r="144" spans="2:8">
      <c r="B144" s="5"/>
      <c r="H144" s="16"/>
    </row>
    <row r="145" spans="2:8">
      <c r="B145" s="5"/>
      <c r="H145" s="16"/>
    </row>
    <row r="146" spans="2:8">
      <c r="B146" s="5"/>
      <c r="H146" s="16"/>
    </row>
    <row r="147" spans="2:8">
      <c r="B147" s="5"/>
      <c r="H147" s="16"/>
    </row>
    <row r="148" spans="2:8">
      <c r="B148" s="5"/>
      <c r="H148" s="16"/>
    </row>
    <row r="149" spans="2:8">
      <c r="B149" s="5"/>
      <c r="H149" s="16"/>
    </row>
    <row r="150" spans="2:8">
      <c r="B150" s="5"/>
      <c r="H150" s="16"/>
    </row>
    <row r="151" spans="2:8">
      <c r="B151" s="5"/>
      <c r="H151" s="16"/>
    </row>
    <row r="152" spans="2:8">
      <c r="B152" s="5"/>
      <c r="H152" s="16"/>
    </row>
    <row r="153" spans="2:8">
      <c r="B153" s="5"/>
      <c r="H153" s="16"/>
    </row>
    <row r="154" spans="2:8">
      <c r="B154" s="5"/>
      <c r="H154" s="16"/>
    </row>
    <row r="155" spans="2:8">
      <c r="B155" s="5"/>
      <c r="H155" s="16"/>
    </row>
    <row r="156" spans="2:8">
      <c r="B156" s="5"/>
      <c r="H156" s="16"/>
    </row>
    <row r="157" spans="2:8">
      <c r="B157" s="5"/>
      <c r="H157" s="16"/>
    </row>
    <row r="158" spans="2:8">
      <c r="B158" s="5"/>
      <c r="H158" s="16"/>
    </row>
    <row r="159" spans="2:8">
      <c r="B159" s="5"/>
      <c r="H159" s="16"/>
    </row>
    <row r="160" spans="2:8">
      <c r="B160" s="5"/>
      <c r="H160" s="16"/>
    </row>
    <row r="161" spans="2:8">
      <c r="B161" s="5"/>
      <c r="H161" s="16"/>
    </row>
    <row r="162" spans="2:8">
      <c r="B162" s="5"/>
      <c r="H162" s="16"/>
    </row>
    <row r="163" spans="2:8">
      <c r="B163" s="5"/>
      <c r="H163" s="16"/>
    </row>
    <row r="164" spans="2:8">
      <c r="B164" s="5"/>
      <c r="H164" s="16"/>
    </row>
    <row r="165" spans="2:8">
      <c r="B165" s="5"/>
      <c r="H165" s="16"/>
    </row>
    <row r="166" spans="2:8">
      <c r="B166" s="5"/>
      <c r="H166" s="16"/>
    </row>
    <row r="167" spans="2:8">
      <c r="B167" s="5"/>
      <c r="H167" s="16"/>
    </row>
    <row r="168" spans="2:8">
      <c r="B168" s="5"/>
      <c r="H168" s="16"/>
    </row>
    <row r="169" spans="2:8">
      <c r="B169" s="5"/>
      <c r="H169" s="16"/>
    </row>
    <row r="170" spans="2:8">
      <c r="B170" s="5"/>
      <c r="H170" s="16"/>
    </row>
    <row r="171" spans="2:8">
      <c r="B171" s="5"/>
      <c r="H171" s="16"/>
    </row>
    <row r="172" spans="2:8">
      <c r="B172" s="5"/>
      <c r="H172" s="16"/>
    </row>
    <row r="173" spans="2:8">
      <c r="B173" s="5"/>
      <c r="H173" s="16"/>
    </row>
    <row r="174" spans="2:8">
      <c r="B174" s="5"/>
      <c r="H174" s="16"/>
    </row>
    <row r="175" spans="2:8">
      <c r="B175" s="5"/>
      <c r="H175" s="16"/>
    </row>
    <row r="176" spans="2:8">
      <c r="B176" s="5"/>
      <c r="H176" s="16"/>
    </row>
    <row r="177" spans="2:8">
      <c r="B177" s="5"/>
      <c r="H177" s="16"/>
    </row>
    <row r="178" spans="2:8">
      <c r="B178" s="5"/>
      <c r="H178" s="16"/>
    </row>
    <row r="179" spans="2:8">
      <c r="B179" s="5"/>
      <c r="H179" s="16"/>
    </row>
    <row r="180" spans="2:8">
      <c r="B180" s="5"/>
      <c r="H180" s="16"/>
    </row>
    <row r="181" spans="2:8">
      <c r="B181" s="5"/>
      <c r="H181" s="16"/>
    </row>
    <row r="182" spans="2:8">
      <c r="B182" s="5"/>
      <c r="H182" s="16"/>
    </row>
    <row r="183" spans="2:8">
      <c r="B183" s="5"/>
      <c r="H183" s="16"/>
    </row>
    <row r="184" spans="2:8">
      <c r="B184" s="5"/>
      <c r="H184" s="16"/>
    </row>
    <row r="185" spans="2:8">
      <c r="B185" s="5"/>
      <c r="H185" s="16"/>
    </row>
    <row r="186" spans="2:8">
      <c r="B186" s="5"/>
      <c r="H186" s="16"/>
    </row>
    <row r="187" spans="2:8">
      <c r="B187" s="5"/>
      <c r="H187" s="16"/>
    </row>
    <row r="188" spans="2:8">
      <c r="B188" s="5"/>
      <c r="H188" s="16"/>
    </row>
    <row r="189" spans="2:8">
      <c r="B189" s="5"/>
      <c r="H189" s="16"/>
    </row>
    <row r="190" spans="2:8">
      <c r="B190" s="5"/>
      <c r="H190" s="16"/>
    </row>
    <row r="191" spans="2:8">
      <c r="B191" s="5"/>
      <c r="H191" s="16"/>
    </row>
    <row r="192" spans="2:8">
      <c r="B192" s="5"/>
      <c r="H192" s="16"/>
    </row>
    <row r="193" spans="2:8">
      <c r="B193" s="5"/>
      <c r="H193" s="16"/>
    </row>
    <row r="194" spans="2:8">
      <c r="B194" s="5"/>
      <c r="H194" s="16"/>
    </row>
    <row r="195" spans="2:8">
      <c r="B195" s="5"/>
      <c r="H195" s="16"/>
    </row>
    <row r="196" spans="2:8">
      <c r="B196" s="5"/>
      <c r="H196" s="16"/>
    </row>
    <row r="197" spans="2:8">
      <c r="B197" s="5"/>
      <c r="H197" s="16"/>
    </row>
    <row r="198" spans="2:8">
      <c r="B198" s="5"/>
      <c r="H198" s="16"/>
    </row>
    <row r="199" spans="2:8">
      <c r="B199" s="5"/>
      <c r="H199" s="16"/>
    </row>
    <row r="200" spans="2:8">
      <c r="B200" s="5"/>
      <c r="H200" s="16"/>
    </row>
    <row r="201" spans="2:8">
      <c r="B201" s="5"/>
      <c r="H201" s="16"/>
    </row>
    <row r="202" spans="2:8">
      <c r="B202" s="5"/>
      <c r="H202" s="16"/>
    </row>
    <row r="203" spans="2:8">
      <c r="B203" s="5"/>
      <c r="H203" s="16"/>
    </row>
    <row r="204" spans="2:8">
      <c r="B204" s="5"/>
      <c r="H204" s="16"/>
    </row>
    <row r="205" spans="2:8">
      <c r="B205" s="5"/>
      <c r="H205" s="16"/>
    </row>
    <row r="206" spans="2:8">
      <c r="B206" s="5"/>
      <c r="H206" s="16"/>
    </row>
    <row r="207" spans="2:8">
      <c r="B207" s="5"/>
      <c r="H207" s="16"/>
    </row>
    <row r="208" spans="2:8">
      <c r="B208" s="5"/>
      <c r="H208" s="16"/>
    </row>
    <row r="209" spans="2:8">
      <c r="B209" s="5"/>
      <c r="H209" s="16"/>
    </row>
    <row r="210" spans="2:8">
      <c r="B210" s="5"/>
      <c r="H210" s="16"/>
    </row>
    <row r="211" spans="2:8">
      <c r="B211" s="5"/>
      <c r="H211" s="16"/>
    </row>
    <row r="212" spans="2:8">
      <c r="B212" s="5"/>
      <c r="H212" s="16"/>
    </row>
    <row r="213" spans="2:8">
      <c r="B213" s="5"/>
      <c r="H213" s="16"/>
    </row>
    <row r="214" spans="2:8">
      <c r="B214" s="5"/>
      <c r="H214" s="16"/>
    </row>
    <row r="215" spans="2:8">
      <c r="B215" s="5"/>
      <c r="H215" s="16"/>
    </row>
    <row r="216" spans="2:8">
      <c r="B216" s="5"/>
      <c r="H216" s="16"/>
    </row>
    <row r="217" spans="2:8">
      <c r="B217" s="5"/>
      <c r="H217" s="16"/>
    </row>
    <row r="218" spans="2:8">
      <c r="B218" s="5"/>
      <c r="H218" s="16"/>
    </row>
    <row r="219" spans="2:8">
      <c r="B219" s="5"/>
      <c r="H219" s="16"/>
    </row>
    <row r="220" spans="2:8">
      <c r="B220" s="5"/>
      <c r="H220" s="16"/>
    </row>
    <row r="221" spans="2:8">
      <c r="B221" s="5"/>
      <c r="H221" s="16"/>
    </row>
    <row r="222" spans="2:8">
      <c r="B222" s="5"/>
      <c r="H222" s="16"/>
    </row>
    <row r="223" spans="2:8">
      <c r="B223" s="5"/>
      <c r="H223" s="16"/>
    </row>
    <row r="224" spans="2:8">
      <c r="B224" s="5"/>
      <c r="H224" s="16"/>
    </row>
    <row r="225" spans="2:8">
      <c r="B225" s="5"/>
      <c r="H225" s="16"/>
    </row>
    <row r="226" spans="2:8">
      <c r="B226" s="5"/>
      <c r="H226" s="16"/>
    </row>
    <row r="227" spans="2:8">
      <c r="B227" s="5"/>
      <c r="H227" s="16"/>
    </row>
    <row r="228" spans="2:8">
      <c r="B228" s="5"/>
      <c r="H228" s="16"/>
    </row>
    <row r="229" spans="2:8">
      <c r="B229" s="5"/>
      <c r="H229" s="16"/>
    </row>
    <row r="230" spans="2:8">
      <c r="B230" s="5"/>
      <c r="H230" s="16"/>
    </row>
    <row r="231" spans="2:8">
      <c r="B231" s="5"/>
      <c r="H231" s="16"/>
    </row>
    <row r="232" spans="2:8">
      <c r="B232" s="5"/>
      <c r="H232" s="16"/>
    </row>
    <row r="233" spans="2:8">
      <c r="B233" s="5"/>
      <c r="H233" s="16"/>
    </row>
    <row r="234" spans="2:8">
      <c r="B234" s="5"/>
      <c r="H234" s="16"/>
    </row>
    <row r="235" spans="2:8">
      <c r="B235" s="5"/>
      <c r="H235" s="16"/>
    </row>
    <row r="236" spans="2:8">
      <c r="B236" s="5"/>
      <c r="H236" s="16"/>
    </row>
    <row r="237" spans="2:8">
      <c r="B237" s="5"/>
      <c r="H237" s="16"/>
    </row>
    <row r="238" spans="2:8">
      <c r="B238" s="5"/>
      <c r="H238" s="16"/>
    </row>
    <row r="239" spans="2:8">
      <c r="B239" s="5"/>
      <c r="H239" s="16"/>
    </row>
    <row r="240" spans="2:8">
      <c r="B240" s="5"/>
      <c r="H240" s="16"/>
    </row>
    <row r="241" spans="2:8">
      <c r="B241" s="5"/>
      <c r="H241" s="16"/>
    </row>
    <row r="242" spans="2:8">
      <c r="B242" s="5"/>
      <c r="H242" s="16"/>
    </row>
    <row r="243" spans="2:8">
      <c r="B243" s="5"/>
      <c r="H243" s="16"/>
    </row>
    <row r="244" spans="2:8">
      <c r="B244" s="5"/>
      <c r="H244" s="16"/>
    </row>
    <row r="245" spans="2:8">
      <c r="B245" s="5"/>
      <c r="H245" s="16"/>
    </row>
    <row r="246" spans="2:8">
      <c r="B246" s="5"/>
      <c r="H246" s="16"/>
    </row>
    <row r="247" spans="2:8">
      <c r="B247" s="5"/>
      <c r="H247" s="16"/>
    </row>
    <row r="248" spans="2:8">
      <c r="B248" s="5"/>
      <c r="H248" s="16"/>
    </row>
    <row r="249" spans="2:8">
      <c r="B249" s="5"/>
      <c r="H249" s="16"/>
    </row>
    <row r="250" spans="2:8">
      <c r="B250" s="5"/>
      <c r="H250" s="16"/>
    </row>
    <row r="251" spans="2:8">
      <c r="B251" s="5"/>
      <c r="H251" s="16"/>
    </row>
    <row r="252" spans="2:8">
      <c r="B252" s="5"/>
      <c r="H252" s="16"/>
    </row>
    <row r="253" spans="2:8">
      <c r="B253" s="5"/>
      <c r="H253" s="16"/>
    </row>
    <row r="254" spans="2:8">
      <c r="B254" s="5"/>
      <c r="H254" s="16"/>
    </row>
    <row r="255" spans="2:8">
      <c r="B255" s="5"/>
      <c r="H255" s="16"/>
    </row>
    <row r="256" spans="2:8">
      <c r="B256" s="5"/>
      <c r="H256" s="16"/>
    </row>
    <row r="257" spans="2:8">
      <c r="B257" s="5"/>
      <c r="H257" s="16"/>
    </row>
    <row r="258" spans="2:8">
      <c r="B258" s="5"/>
      <c r="H258" s="16"/>
    </row>
    <row r="259" spans="2:8">
      <c r="B259" s="5"/>
      <c r="H259" s="16"/>
    </row>
    <row r="260" spans="2:8">
      <c r="B260" s="5"/>
      <c r="H260" s="16"/>
    </row>
    <row r="261" spans="2:8">
      <c r="B261" s="5"/>
      <c r="H261" s="16"/>
    </row>
    <row r="262" spans="2:8">
      <c r="B262" s="5"/>
      <c r="H262" s="16"/>
    </row>
    <row r="263" spans="2:8">
      <c r="B263" s="5"/>
      <c r="H263" s="16"/>
    </row>
    <row r="264" spans="2:8">
      <c r="B264" s="5"/>
      <c r="H264" s="16"/>
    </row>
    <row r="265" spans="2:8">
      <c r="B265" s="5"/>
      <c r="H265" s="16"/>
    </row>
    <row r="266" spans="2:8">
      <c r="B266" s="5"/>
      <c r="H266" s="16"/>
    </row>
    <row r="267" spans="2:8">
      <c r="B267" s="5"/>
      <c r="H267" s="16"/>
    </row>
    <row r="268" spans="2:8">
      <c r="B268" s="5"/>
      <c r="H268" s="16"/>
    </row>
    <row r="269" spans="2:8">
      <c r="B269" s="5"/>
      <c r="H269" s="16"/>
    </row>
    <row r="270" spans="2:8">
      <c r="B270" s="5"/>
      <c r="H270" s="16"/>
    </row>
    <row r="271" spans="2:8">
      <c r="B271" s="5"/>
      <c r="H271" s="16"/>
    </row>
    <row r="272" spans="2:8">
      <c r="B272" s="5"/>
      <c r="H272" s="16"/>
    </row>
    <row r="273" spans="2:8">
      <c r="B273" s="5"/>
      <c r="H273" s="16"/>
    </row>
    <row r="274" spans="2:8">
      <c r="B274" s="5"/>
      <c r="H274" s="16"/>
    </row>
    <row r="275" spans="2:8">
      <c r="B275" s="5"/>
      <c r="H275" s="16"/>
    </row>
    <row r="276" spans="2:8">
      <c r="B276" s="5"/>
      <c r="H276" s="16"/>
    </row>
    <row r="277" spans="2:8">
      <c r="B277" s="5"/>
      <c r="H277" s="16"/>
    </row>
    <row r="278" spans="2:8">
      <c r="B278" s="5"/>
      <c r="H278" s="16"/>
    </row>
    <row r="279" spans="2:8">
      <c r="B279" s="5"/>
      <c r="H279" s="16"/>
    </row>
    <row r="280" spans="2:8">
      <c r="B280" s="5"/>
      <c r="H280" s="16"/>
    </row>
    <row r="281" spans="2:8">
      <c r="B281" s="5"/>
      <c r="H281" s="16"/>
    </row>
    <row r="282" spans="2:8">
      <c r="B282" s="5"/>
      <c r="H282" s="16"/>
    </row>
    <row r="283" spans="2:8">
      <c r="B283" s="5"/>
      <c r="H283" s="16"/>
    </row>
    <row r="284" spans="2:8">
      <c r="B284" s="5"/>
      <c r="H284" s="16"/>
    </row>
    <row r="285" spans="2:8">
      <c r="B285" s="5"/>
      <c r="H285" s="16"/>
    </row>
    <row r="286" spans="2:8">
      <c r="B286" s="5"/>
      <c r="H286" s="16"/>
    </row>
    <row r="287" spans="2:8">
      <c r="B287" s="5"/>
      <c r="H287" s="16"/>
    </row>
    <row r="288" spans="2:8">
      <c r="B288" s="5"/>
      <c r="H288" s="16"/>
    </row>
    <row r="289" spans="2:8">
      <c r="B289" s="5"/>
      <c r="H289" s="16"/>
    </row>
    <row r="290" spans="2:8">
      <c r="B290" s="5"/>
      <c r="H290" s="16"/>
    </row>
    <row r="291" spans="2:8">
      <c r="B291" s="5"/>
      <c r="H291" s="16"/>
    </row>
    <row r="292" spans="2:8">
      <c r="B292" s="5"/>
      <c r="H292" s="16"/>
    </row>
    <row r="293" spans="2:8">
      <c r="B293" s="5"/>
      <c r="H293" s="16"/>
    </row>
    <row r="294" spans="2:8">
      <c r="B294" s="5"/>
      <c r="H294" s="16"/>
    </row>
    <row r="295" spans="2:8">
      <c r="B295" s="5"/>
      <c r="H295" s="16"/>
    </row>
    <row r="296" spans="2:8">
      <c r="B296" s="5"/>
      <c r="H296" s="16"/>
    </row>
    <row r="297" spans="2:8">
      <c r="B297" s="5"/>
      <c r="H297" s="16"/>
    </row>
    <row r="298" spans="2:8">
      <c r="B298" s="5"/>
      <c r="H298" s="16"/>
    </row>
    <row r="299" spans="2:8">
      <c r="B299" s="5"/>
      <c r="H299" s="16"/>
    </row>
    <row r="300" spans="2:8">
      <c r="B300" s="5"/>
      <c r="H300" s="16"/>
    </row>
    <row r="301" spans="2:8">
      <c r="B301" s="5"/>
      <c r="H301" s="16"/>
    </row>
    <row r="302" spans="2:8">
      <c r="B302" s="5"/>
      <c r="H302" s="16"/>
    </row>
    <row r="303" spans="2:8">
      <c r="B303" s="5"/>
      <c r="H303" s="16"/>
    </row>
    <row r="304" spans="2:8">
      <c r="B304" s="5"/>
      <c r="H304" s="16"/>
    </row>
    <row r="305" spans="2:8">
      <c r="B305" s="5"/>
      <c r="H305" s="16"/>
    </row>
    <row r="306" spans="2:8">
      <c r="B306" s="5"/>
      <c r="H306" s="16"/>
    </row>
    <row r="307" spans="2:8">
      <c r="B307" s="5"/>
      <c r="H307" s="16"/>
    </row>
    <row r="308" spans="2:8">
      <c r="B308" s="5"/>
      <c r="H308" s="16"/>
    </row>
    <row r="309" spans="2:8">
      <c r="B309" s="5"/>
      <c r="H309" s="16"/>
    </row>
    <row r="310" spans="2:8">
      <c r="B310" s="5"/>
      <c r="H310" s="16"/>
    </row>
    <row r="311" spans="2:8">
      <c r="B311" s="5"/>
      <c r="H311" s="16"/>
    </row>
    <row r="312" spans="2:8">
      <c r="B312" s="5"/>
      <c r="H312" s="16"/>
    </row>
    <row r="313" spans="2:8">
      <c r="B313" s="5"/>
      <c r="H313" s="16"/>
    </row>
    <row r="314" spans="2:8">
      <c r="B314" s="5"/>
      <c r="H314" s="16"/>
    </row>
    <row r="315" spans="2:8">
      <c r="B315" s="5"/>
      <c r="H315" s="16"/>
    </row>
    <row r="316" spans="2:8">
      <c r="B316" s="5"/>
      <c r="H316" s="16"/>
    </row>
    <row r="317" spans="2:8">
      <c r="B317" s="5"/>
      <c r="H317" s="16"/>
    </row>
    <row r="318" spans="2:8">
      <c r="B318" s="5"/>
      <c r="H318" s="16"/>
    </row>
    <row r="319" spans="2:8">
      <c r="B319" s="5"/>
      <c r="H319" s="16"/>
    </row>
    <row r="320" spans="2:8">
      <c r="B320" s="5"/>
      <c r="H320" s="16"/>
    </row>
    <row r="321" spans="2:8">
      <c r="B321" s="5"/>
      <c r="H321" s="16"/>
    </row>
    <row r="322" spans="2:8">
      <c r="B322" s="5"/>
      <c r="H322" s="16"/>
    </row>
    <row r="323" spans="2:8">
      <c r="B323" s="5"/>
      <c r="H323" s="16"/>
    </row>
    <row r="324" spans="2:8">
      <c r="B324" s="5"/>
      <c r="H324" s="16"/>
    </row>
    <row r="325" spans="2:8">
      <c r="B325" s="5"/>
      <c r="H325" s="16"/>
    </row>
    <row r="326" spans="2:8">
      <c r="B326" s="5"/>
      <c r="H326" s="16"/>
    </row>
    <row r="327" spans="2:8">
      <c r="B327" s="5"/>
      <c r="H327" s="16"/>
    </row>
    <row r="328" spans="2:8">
      <c r="B328" s="5"/>
      <c r="H328" s="16"/>
    </row>
    <row r="329" spans="2:8">
      <c r="B329" s="5"/>
      <c r="H329" s="16"/>
    </row>
    <row r="330" spans="2:8">
      <c r="B330" s="5"/>
      <c r="H330" s="16"/>
    </row>
    <row r="331" spans="2:8">
      <c r="B331" s="5"/>
      <c r="H331" s="16"/>
    </row>
    <row r="332" spans="2:8">
      <c r="B332" s="5"/>
      <c r="H332" s="16"/>
    </row>
    <row r="333" spans="2:8">
      <c r="B333" s="5"/>
      <c r="H333" s="16"/>
    </row>
    <row r="334" spans="2:8">
      <c r="B334" s="5"/>
      <c r="H334" s="16"/>
    </row>
    <row r="335" spans="2:8">
      <c r="B335" s="5"/>
      <c r="H335" s="16"/>
    </row>
    <row r="336" spans="2:8">
      <c r="B336" s="5"/>
      <c r="H336" s="16"/>
    </row>
    <row r="337" spans="2:8">
      <c r="B337" s="5"/>
      <c r="H337" s="16"/>
    </row>
    <row r="338" spans="2:8">
      <c r="B338" s="5"/>
      <c r="H338" s="16"/>
    </row>
    <row r="339" spans="2:8">
      <c r="B339" s="5"/>
      <c r="H339" s="16"/>
    </row>
    <row r="340" spans="2:8">
      <c r="B340" s="5"/>
      <c r="H340" s="16"/>
    </row>
    <row r="341" spans="2:8">
      <c r="B341" s="5"/>
      <c r="H341" s="16"/>
    </row>
    <row r="342" spans="2:8">
      <c r="B342" s="5"/>
      <c r="H342" s="16"/>
    </row>
    <row r="343" spans="2:8">
      <c r="B343" s="5"/>
      <c r="H343" s="16"/>
    </row>
    <row r="344" spans="2:8">
      <c r="B344" s="5"/>
      <c r="H344" s="16"/>
    </row>
    <row r="345" spans="2:8">
      <c r="B345" s="5"/>
      <c r="H345" s="16"/>
    </row>
    <row r="346" spans="2:8">
      <c r="B346" s="5"/>
      <c r="H346" s="16"/>
    </row>
    <row r="347" spans="2:8">
      <c r="B347" s="5"/>
      <c r="H347" s="16"/>
    </row>
    <row r="348" spans="2:8">
      <c r="B348" s="5"/>
      <c r="H348" s="16"/>
    </row>
    <row r="349" spans="2:8">
      <c r="B349" s="5"/>
      <c r="H349" s="16"/>
    </row>
    <row r="350" spans="2:8">
      <c r="B350" s="5"/>
      <c r="H350" s="16"/>
    </row>
    <row r="351" spans="2:8">
      <c r="B351" s="5"/>
      <c r="H351" s="16"/>
    </row>
    <row r="352" spans="2:8">
      <c r="B352" s="5"/>
      <c r="H352" s="16"/>
    </row>
    <row r="353" spans="2:8">
      <c r="B353" s="5"/>
      <c r="H353" s="16"/>
    </row>
    <row r="354" spans="2:8">
      <c r="B354" s="5"/>
      <c r="H354" s="16"/>
    </row>
    <row r="355" spans="2:8">
      <c r="B355" s="5"/>
      <c r="H355" s="16"/>
    </row>
    <row r="356" spans="2:8">
      <c r="B356" s="5"/>
      <c r="H356" s="16"/>
    </row>
    <row r="357" spans="2:8">
      <c r="B357" s="5"/>
      <c r="H357" s="16"/>
    </row>
    <row r="358" spans="2:8">
      <c r="B358" s="5"/>
      <c r="H358" s="16"/>
    </row>
    <row r="359" spans="2:8">
      <c r="B359" s="5"/>
      <c r="H359" s="16"/>
    </row>
    <row r="360" spans="2:8">
      <c r="B360" s="5"/>
      <c r="H360" s="16"/>
    </row>
    <row r="361" spans="2:8">
      <c r="B361" s="5"/>
      <c r="H361" s="16"/>
    </row>
    <row r="362" spans="2:8">
      <c r="B362" s="5"/>
      <c r="H362" s="16"/>
    </row>
    <row r="363" spans="2:8">
      <c r="B363" s="5"/>
      <c r="H363" s="16"/>
    </row>
    <row r="364" spans="2:8">
      <c r="B364" s="5"/>
      <c r="H364" s="16"/>
    </row>
    <row r="365" spans="2:8">
      <c r="B365" s="5"/>
      <c r="H365" s="16"/>
    </row>
    <row r="366" spans="2:8">
      <c r="B366" s="5"/>
      <c r="H366" s="16"/>
    </row>
    <row r="367" spans="2:8">
      <c r="B367" s="5"/>
      <c r="H367" s="16"/>
    </row>
    <row r="368" spans="2:8">
      <c r="B368" s="5"/>
      <c r="H368" s="16"/>
    </row>
    <row r="369" spans="2:8">
      <c r="B369" s="5"/>
      <c r="H369" s="16"/>
    </row>
    <row r="370" spans="2:8">
      <c r="B370" s="5"/>
      <c r="H370" s="16"/>
    </row>
    <row r="371" spans="2:8">
      <c r="B371" s="5"/>
      <c r="H371" s="16"/>
    </row>
    <row r="372" spans="2:8">
      <c r="B372" s="5"/>
      <c r="H372" s="16"/>
    </row>
    <row r="373" spans="2:8">
      <c r="B373" s="5"/>
      <c r="H373" s="16"/>
    </row>
    <row r="374" spans="2:8">
      <c r="B374" s="5"/>
      <c r="H374" s="16"/>
    </row>
    <row r="375" spans="2:8">
      <c r="B375" s="5"/>
      <c r="H375" s="16"/>
    </row>
    <row r="376" spans="2:8">
      <c r="B376" s="5"/>
      <c r="H376" s="16"/>
    </row>
    <row r="377" spans="2:8">
      <c r="B377" s="5"/>
      <c r="H377" s="16"/>
    </row>
    <row r="378" spans="2:8">
      <c r="B378" s="5"/>
      <c r="H378" s="16"/>
    </row>
    <row r="379" spans="2:8">
      <c r="B379" s="5"/>
      <c r="H379" s="16"/>
    </row>
    <row r="380" spans="2:8">
      <c r="B380" s="5"/>
      <c r="H380" s="16"/>
    </row>
    <row r="381" spans="2:8">
      <c r="B381" s="5"/>
      <c r="H381" s="16"/>
    </row>
    <row r="382" spans="2:8">
      <c r="B382" s="5"/>
      <c r="H382" s="16"/>
    </row>
    <row r="383" spans="2:8">
      <c r="B383" s="5"/>
      <c r="H383" s="16"/>
    </row>
    <row r="384" spans="2:8">
      <c r="B384" s="5"/>
      <c r="H384" s="16"/>
    </row>
    <row r="385" spans="2:8">
      <c r="B385" s="5"/>
      <c r="H385" s="16"/>
    </row>
    <row r="386" spans="2:8">
      <c r="B386" s="5"/>
      <c r="H386" s="16"/>
    </row>
    <row r="387" spans="2:8">
      <c r="B387" s="5"/>
      <c r="H387" s="16"/>
    </row>
    <row r="388" spans="2:8">
      <c r="B388" s="5"/>
      <c r="H388" s="16"/>
    </row>
    <row r="389" spans="2:8">
      <c r="B389" s="5"/>
      <c r="H389" s="16"/>
    </row>
    <row r="390" spans="2:8">
      <c r="B390" s="5"/>
      <c r="H390" s="16"/>
    </row>
    <row r="391" spans="2:8">
      <c r="B391" s="5"/>
      <c r="H391" s="16"/>
    </row>
    <row r="392" spans="2:8">
      <c r="B392" s="5"/>
      <c r="H392" s="16"/>
    </row>
    <row r="393" spans="2:8">
      <c r="B393" s="5"/>
      <c r="H393" s="16"/>
    </row>
    <row r="394" spans="2:8">
      <c r="B394" s="5"/>
      <c r="H394" s="16"/>
    </row>
    <row r="395" spans="2:8">
      <c r="B395" s="5"/>
      <c r="H395" s="16"/>
    </row>
    <row r="396" spans="2:8">
      <c r="B396" s="5"/>
      <c r="H396" s="16"/>
    </row>
    <row r="397" spans="2:8">
      <c r="B397" s="5"/>
      <c r="H397" s="16"/>
    </row>
    <row r="398" spans="2:8">
      <c r="B398" s="5"/>
      <c r="H398" s="16"/>
    </row>
    <row r="399" spans="2:8">
      <c r="B399" s="5"/>
      <c r="H399" s="16"/>
    </row>
    <row r="400" spans="2:8">
      <c r="B400" s="5"/>
      <c r="H400" s="16"/>
    </row>
    <row r="401" spans="2:8">
      <c r="B401" s="5"/>
      <c r="H401" s="16"/>
    </row>
    <row r="402" spans="2:8">
      <c r="B402" s="5"/>
      <c r="H402" s="16"/>
    </row>
    <row r="403" spans="2:8">
      <c r="B403" s="5"/>
      <c r="H403" s="16"/>
    </row>
    <row r="404" spans="2:8">
      <c r="B404" s="5"/>
      <c r="H404" s="16"/>
    </row>
    <row r="405" spans="2:8">
      <c r="B405" s="5"/>
      <c r="H405" s="16"/>
    </row>
    <row r="406" spans="2:8">
      <c r="B406" s="5"/>
      <c r="H406" s="16"/>
    </row>
    <row r="407" spans="2:8">
      <c r="B407" s="5"/>
      <c r="H407" s="16"/>
    </row>
    <row r="408" spans="2:8">
      <c r="B408" s="5"/>
      <c r="H408" s="16"/>
    </row>
    <row r="409" spans="2:8">
      <c r="B409" s="5"/>
      <c r="H409" s="16"/>
    </row>
    <row r="410" spans="2:8">
      <c r="B410" s="5"/>
      <c r="H410" s="16"/>
    </row>
    <row r="411" spans="2:8">
      <c r="B411" s="5"/>
      <c r="H411" s="16"/>
    </row>
    <row r="412" spans="2:8">
      <c r="B412" s="5"/>
      <c r="H412" s="16"/>
    </row>
    <row r="413" spans="2:8">
      <c r="B413" s="5"/>
      <c r="H413" s="16"/>
    </row>
    <row r="414" spans="2:8">
      <c r="B414" s="5"/>
      <c r="H414" s="16"/>
    </row>
    <row r="415" spans="2:8">
      <c r="B415" s="5"/>
      <c r="H415" s="16"/>
    </row>
    <row r="416" spans="2:8">
      <c r="B416" s="5"/>
      <c r="H416" s="16"/>
    </row>
    <row r="417" spans="2:8">
      <c r="B417" s="5"/>
      <c r="H417" s="16"/>
    </row>
    <row r="418" spans="2:8">
      <c r="B418" s="5"/>
      <c r="H418" s="16"/>
    </row>
    <row r="419" spans="2:8">
      <c r="B419" s="5"/>
      <c r="H419" s="16"/>
    </row>
    <row r="420" spans="2:8">
      <c r="B420" s="5"/>
      <c r="H420" s="16"/>
    </row>
    <row r="421" spans="2:8">
      <c r="B421" s="5"/>
      <c r="H421" s="16"/>
    </row>
    <row r="422" spans="2:8">
      <c r="B422" s="5"/>
      <c r="H422" s="16"/>
    </row>
    <row r="423" spans="2:8">
      <c r="B423" s="5"/>
      <c r="H423" s="16"/>
    </row>
    <row r="424" spans="2:8">
      <c r="B424" s="5"/>
      <c r="H424" s="16"/>
    </row>
    <row r="425" spans="2:8">
      <c r="B425" s="5"/>
      <c r="H425" s="16"/>
    </row>
    <row r="426" spans="2:8">
      <c r="B426" s="5"/>
      <c r="H426" s="16"/>
    </row>
    <row r="427" spans="2:8">
      <c r="B427" s="5"/>
      <c r="H427" s="16"/>
    </row>
    <row r="428" spans="2:8">
      <c r="B428" s="5"/>
      <c r="H428" s="16"/>
    </row>
    <row r="429" spans="2:8">
      <c r="B429" s="5"/>
      <c r="H429" s="16"/>
    </row>
    <row r="430" spans="2:8">
      <c r="B430" s="5"/>
      <c r="H430" s="16"/>
    </row>
    <row r="431" spans="2:8">
      <c r="B431" s="5"/>
      <c r="H431" s="16"/>
    </row>
    <row r="432" spans="2:8">
      <c r="B432" s="5"/>
      <c r="H432" s="16"/>
    </row>
    <row r="433" spans="2:8">
      <c r="B433" s="5"/>
      <c r="H433" s="16"/>
    </row>
    <row r="434" spans="2:8">
      <c r="B434" s="5"/>
      <c r="H434" s="16"/>
    </row>
    <row r="435" spans="2:8">
      <c r="B435" s="5"/>
      <c r="H435" s="16"/>
    </row>
    <row r="436" spans="2:8">
      <c r="B436" s="5"/>
      <c r="H436" s="16"/>
    </row>
    <row r="437" spans="2:8">
      <c r="B437" s="5"/>
      <c r="H437" s="16"/>
    </row>
    <row r="438" spans="2:8">
      <c r="B438" s="5"/>
      <c r="H438" s="16"/>
    </row>
    <row r="439" spans="2:8">
      <c r="B439" s="5"/>
      <c r="H439" s="16"/>
    </row>
    <row r="440" spans="2:8">
      <c r="B440" s="5"/>
      <c r="H440" s="16"/>
    </row>
    <row r="441" spans="2:8">
      <c r="B441" s="5"/>
      <c r="H441" s="16"/>
    </row>
    <row r="442" spans="2:8">
      <c r="B442" s="5"/>
      <c r="H442" s="16"/>
    </row>
    <row r="443" spans="2:8">
      <c r="B443" s="5"/>
      <c r="H443" s="16"/>
    </row>
    <row r="444" spans="2:8">
      <c r="B444" s="5"/>
      <c r="H444" s="16"/>
    </row>
    <row r="445" spans="2:8">
      <c r="B445" s="5"/>
      <c r="H445" s="16"/>
    </row>
    <row r="446" spans="2:8">
      <c r="B446" s="5"/>
      <c r="H446" s="16"/>
    </row>
    <row r="447" spans="2:8">
      <c r="B447" s="5"/>
      <c r="H447" s="16"/>
    </row>
    <row r="448" spans="2:8">
      <c r="B448" s="5"/>
      <c r="H448" s="16"/>
    </row>
    <row r="449" spans="2:8">
      <c r="B449" s="5"/>
      <c r="H449" s="16"/>
    </row>
    <row r="450" spans="2:8">
      <c r="B450" s="5"/>
      <c r="H450" s="16"/>
    </row>
    <row r="451" spans="2:8">
      <c r="B451" s="5"/>
      <c r="H451" s="16"/>
    </row>
    <row r="452" spans="2:8">
      <c r="B452" s="5"/>
      <c r="H452" s="16"/>
    </row>
    <row r="453" spans="2:8">
      <c r="B453" s="5"/>
      <c r="H453" s="16"/>
    </row>
    <row r="454" spans="2:8">
      <c r="B454" s="5"/>
      <c r="H454" s="16"/>
    </row>
    <row r="455" spans="2:8">
      <c r="B455" s="5"/>
      <c r="H455" s="16"/>
    </row>
    <row r="456" spans="2:8">
      <c r="B456" s="5"/>
      <c r="H456" s="16"/>
    </row>
    <row r="457" spans="2:8">
      <c r="B457" s="5"/>
      <c r="H457" s="16"/>
    </row>
    <row r="458" spans="2:8">
      <c r="B458" s="5"/>
      <c r="H458" s="16"/>
    </row>
    <row r="459" spans="2:8">
      <c r="B459" s="5"/>
      <c r="H459" s="16"/>
    </row>
    <row r="460" spans="2:8">
      <c r="B460" s="5"/>
      <c r="H460" s="16"/>
    </row>
    <row r="461" spans="2:8">
      <c r="B461" s="5"/>
      <c r="H461" s="16"/>
    </row>
    <row r="462" spans="2:8">
      <c r="B462" s="5"/>
      <c r="H462" s="16"/>
    </row>
    <row r="463" spans="2:8">
      <c r="B463" s="5"/>
      <c r="H463" s="16"/>
    </row>
    <row r="464" spans="2:8">
      <c r="B464" s="5"/>
      <c r="H464" s="16"/>
    </row>
    <row r="465" spans="2:8">
      <c r="B465" s="5"/>
      <c r="H465" s="16"/>
    </row>
    <row r="466" spans="2:8">
      <c r="B466" s="5"/>
      <c r="H466" s="16"/>
    </row>
    <row r="467" spans="2:8">
      <c r="B467" s="5"/>
      <c r="H467" s="16"/>
    </row>
    <row r="468" spans="2:8">
      <c r="B468" s="5"/>
      <c r="H468" s="16"/>
    </row>
    <row r="469" spans="2:8">
      <c r="B469" s="5"/>
      <c r="H469" s="16"/>
    </row>
    <row r="470" spans="2:8">
      <c r="B470" s="5"/>
      <c r="H470" s="16"/>
    </row>
    <row r="471" spans="2:8">
      <c r="B471" s="5"/>
      <c r="H471" s="16"/>
    </row>
    <row r="472" spans="2:8">
      <c r="B472" s="5"/>
      <c r="H472" s="16"/>
    </row>
    <row r="473" spans="2:8">
      <c r="B473" s="5"/>
      <c r="H473" s="16"/>
    </row>
    <row r="474" spans="2:8">
      <c r="B474" s="5"/>
      <c r="H474" s="16"/>
    </row>
    <row r="475" spans="2:8">
      <c r="B475" s="5"/>
      <c r="H475" s="16"/>
    </row>
    <row r="476" spans="2:8">
      <c r="B476" s="5"/>
      <c r="H476" s="16"/>
    </row>
    <row r="477" spans="2:8">
      <c r="B477" s="5"/>
      <c r="H477" s="16"/>
    </row>
    <row r="478" spans="2:8">
      <c r="B478" s="5"/>
      <c r="H478" s="16"/>
    </row>
    <row r="479" spans="2:8">
      <c r="B479" s="5"/>
      <c r="H479" s="16"/>
    </row>
    <row r="480" spans="2:8">
      <c r="B480" s="5"/>
      <c r="H480" s="16"/>
    </row>
    <row r="481" spans="2:8">
      <c r="B481" s="5"/>
      <c r="H481" s="16"/>
    </row>
    <row r="482" spans="2:8">
      <c r="B482" s="5"/>
      <c r="H482" s="16"/>
    </row>
    <row r="483" spans="2:8">
      <c r="B483" s="5"/>
      <c r="H483" s="16"/>
    </row>
    <row r="484" spans="2:8">
      <c r="B484" s="5"/>
      <c r="H484" s="16"/>
    </row>
    <row r="485" spans="2:8">
      <c r="B485" s="5"/>
      <c r="H485" s="16"/>
    </row>
    <row r="486" spans="2:8">
      <c r="B486" s="5"/>
      <c r="H486" s="16"/>
    </row>
    <row r="487" spans="2:8">
      <c r="B487" s="5"/>
      <c r="H487" s="16"/>
    </row>
    <row r="488" spans="2:8">
      <c r="B488" s="5"/>
      <c r="H488" s="16"/>
    </row>
    <row r="489" spans="2:8">
      <c r="B489" s="5"/>
      <c r="H489" s="16"/>
    </row>
    <row r="490" spans="2:8">
      <c r="B490" s="5"/>
      <c r="H490" s="16"/>
    </row>
    <row r="491" spans="2:8">
      <c r="B491" s="5"/>
      <c r="H491" s="16"/>
    </row>
    <row r="492" spans="2:8">
      <c r="B492" s="5"/>
      <c r="H492" s="16"/>
    </row>
    <row r="493" spans="2:8">
      <c r="B493" s="5"/>
      <c r="H493" s="16"/>
    </row>
    <row r="494" spans="2:8">
      <c r="B494" s="5"/>
      <c r="H494" s="16"/>
    </row>
    <row r="495" spans="2:8">
      <c r="B495" s="5"/>
      <c r="H495" s="16"/>
    </row>
    <row r="496" spans="2:8">
      <c r="B496" s="5"/>
      <c r="H496" s="16"/>
    </row>
    <row r="497" spans="2:8">
      <c r="B497" s="5"/>
      <c r="H497" s="16"/>
    </row>
    <row r="498" spans="2:8">
      <c r="B498" s="5"/>
      <c r="H498" s="16"/>
    </row>
    <row r="499" spans="2:8">
      <c r="B499" s="5"/>
      <c r="H499" s="16"/>
    </row>
    <row r="500" spans="2:8">
      <c r="B500" s="5"/>
      <c r="H500" s="16"/>
    </row>
    <row r="501" spans="2:8">
      <c r="B501" s="5"/>
      <c r="H501" s="16"/>
    </row>
    <row r="502" spans="2:8">
      <c r="B502" s="5"/>
      <c r="H502" s="16"/>
    </row>
    <row r="503" spans="2:8">
      <c r="B503" s="5"/>
      <c r="H503" s="16"/>
    </row>
    <row r="504" spans="2:8">
      <c r="B504" s="5"/>
      <c r="H504" s="16"/>
    </row>
    <row r="505" spans="2:8">
      <c r="B505" s="5"/>
      <c r="H505" s="16"/>
    </row>
    <row r="506" spans="2:8">
      <c r="B506" s="5"/>
      <c r="H506" s="16"/>
    </row>
    <row r="507" spans="2:8">
      <c r="B507" s="5"/>
      <c r="H507" s="16"/>
    </row>
    <row r="508" spans="2:8">
      <c r="B508" s="5"/>
      <c r="H508" s="16"/>
    </row>
    <row r="509" spans="2:8">
      <c r="B509" s="5"/>
      <c r="H509" s="16"/>
    </row>
    <row r="510" spans="2:8">
      <c r="B510" s="5"/>
      <c r="H510" s="16"/>
    </row>
    <row r="511" spans="2:8">
      <c r="B511" s="5"/>
      <c r="H511" s="16"/>
    </row>
    <row r="512" spans="2:8">
      <c r="B512" s="5"/>
      <c r="H512" s="16"/>
    </row>
    <row r="513" spans="2:8">
      <c r="B513" s="5"/>
      <c r="H513" s="16"/>
    </row>
    <row r="514" spans="2:8">
      <c r="B514" s="5"/>
      <c r="H514" s="16"/>
    </row>
    <row r="515" spans="2:8">
      <c r="B515" s="5"/>
      <c r="H515" s="16"/>
    </row>
    <row r="516" spans="2:8">
      <c r="B516" s="5"/>
      <c r="H516" s="16"/>
    </row>
    <row r="517" spans="2:8">
      <c r="B517" s="5"/>
      <c r="H517" s="16"/>
    </row>
    <row r="518" spans="2:8">
      <c r="B518" s="5"/>
      <c r="H518" s="16"/>
    </row>
    <row r="519" spans="2:8">
      <c r="B519" s="5"/>
      <c r="H519" s="16"/>
    </row>
    <row r="520" spans="2:8">
      <c r="B520" s="5"/>
      <c r="H520" s="16"/>
    </row>
    <row r="521" spans="2:8">
      <c r="B521" s="5"/>
      <c r="H521" s="16"/>
    </row>
    <row r="522" spans="2:8">
      <c r="B522" s="5"/>
      <c r="H522" s="16"/>
    </row>
    <row r="523" spans="2:8">
      <c r="B523" s="5"/>
      <c r="H523" s="16"/>
    </row>
    <row r="524" spans="2:8">
      <c r="B524" s="5"/>
      <c r="H524" s="16"/>
    </row>
    <row r="525" spans="2:8">
      <c r="B525" s="5"/>
      <c r="H525" s="16"/>
    </row>
    <row r="526" spans="2:8">
      <c r="B526" s="5"/>
      <c r="H526" s="16"/>
    </row>
    <row r="527" spans="2:8">
      <c r="B527" s="5"/>
      <c r="H527" s="16"/>
    </row>
    <row r="528" spans="2:8">
      <c r="B528" s="5"/>
      <c r="H528" s="16"/>
    </row>
    <row r="529" spans="2:8">
      <c r="B529" s="5"/>
      <c r="H529" s="16"/>
    </row>
    <row r="530" spans="2:8">
      <c r="B530" s="5"/>
      <c r="H530" s="16"/>
    </row>
    <row r="531" spans="2:8">
      <c r="B531" s="5"/>
      <c r="H531" s="16"/>
    </row>
    <row r="532" spans="2:8">
      <c r="B532" s="5"/>
      <c r="H532" s="16"/>
    </row>
    <row r="533" spans="2:8">
      <c r="B533" s="5"/>
      <c r="H533" s="16"/>
    </row>
    <row r="534" spans="2:8">
      <c r="B534" s="5"/>
      <c r="H534" s="16"/>
    </row>
    <row r="535" spans="2:8">
      <c r="B535" s="5"/>
      <c r="H535" s="16"/>
    </row>
    <row r="536" spans="2:8">
      <c r="B536" s="5"/>
      <c r="H536" s="16"/>
    </row>
    <row r="537" spans="2:8">
      <c r="B537" s="5"/>
      <c r="H537" s="16"/>
    </row>
    <row r="538" spans="2:8">
      <c r="B538" s="5"/>
      <c r="H538" s="16"/>
    </row>
    <row r="539" spans="2:8">
      <c r="B539" s="5"/>
      <c r="H539" s="16"/>
    </row>
    <row r="540" spans="2:8">
      <c r="B540" s="5"/>
      <c r="H540" s="16"/>
    </row>
    <row r="541" spans="2:8">
      <c r="B541" s="5"/>
      <c r="H541" s="16"/>
    </row>
    <row r="542" spans="2:8">
      <c r="B542" s="5"/>
      <c r="H542" s="16"/>
    </row>
    <row r="543" spans="2:8">
      <c r="B543" s="5"/>
      <c r="H543" s="16"/>
    </row>
    <row r="544" spans="2:8">
      <c r="B544" s="5"/>
      <c r="H544" s="16"/>
    </row>
    <row r="545" spans="2:8">
      <c r="B545" s="5"/>
      <c r="H545" s="16"/>
    </row>
    <row r="546" spans="2:8">
      <c r="B546" s="5"/>
      <c r="H546" s="16"/>
    </row>
    <row r="547" spans="2:8">
      <c r="B547" s="5"/>
      <c r="H547" s="16"/>
    </row>
    <row r="548" spans="2:8">
      <c r="B548" s="5"/>
      <c r="H548" s="16"/>
    </row>
    <row r="549" spans="2:8">
      <c r="B549" s="5"/>
      <c r="H549" s="16"/>
    </row>
    <row r="550" spans="2:8">
      <c r="B550" s="5"/>
      <c r="H550" s="16"/>
    </row>
    <row r="551" spans="2:8">
      <c r="B551" s="5"/>
      <c r="H551" s="16"/>
    </row>
    <row r="552" spans="2:8">
      <c r="B552" s="5"/>
      <c r="H552" s="16"/>
    </row>
    <row r="553" spans="2:8">
      <c r="B553" s="5"/>
      <c r="H553" s="16"/>
    </row>
    <row r="554" spans="2:8">
      <c r="B554" s="5"/>
      <c r="H554" s="16"/>
    </row>
    <row r="555" spans="2:8">
      <c r="B555" s="5"/>
      <c r="H555" s="16"/>
    </row>
    <row r="556" spans="2:8">
      <c r="B556" s="5"/>
      <c r="H556" s="16"/>
    </row>
    <row r="557" spans="2:8">
      <c r="B557" s="5"/>
      <c r="H557" s="16"/>
    </row>
    <row r="558" spans="2:8">
      <c r="B558" s="5"/>
      <c r="H558" s="16"/>
    </row>
    <row r="559" spans="2:8">
      <c r="B559" s="5"/>
      <c r="H559" s="16"/>
    </row>
    <row r="560" spans="2:8">
      <c r="B560" s="5"/>
      <c r="H560" s="16"/>
    </row>
    <row r="561" spans="2:8">
      <c r="B561" s="5"/>
      <c r="H561" s="16"/>
    </row>
    <row r="562" spans="2:8">
      <c r="B562" s="5"/>
      <c r="H562" s="16"/>
    </row>
    <row r="563" spans="2:8">
      <c r="B563" s="5"/>
      <c r="H563" s="16"/>
    </row>
    <row r="564" spans="2:8">
      <c r="B564" s="5"/>
      <c r="H564" s="16"/>
    </row>
    <row r="565" spans="2:8">
      <c r="B565" s="5"/>
      <c r="H565" s="16"/>
    </row>
    <row r="566" spans="2:8">
      <c r="B566" s="5"/>
      <c r="H566" s="16"/>
    </row>
    <row r="567" spans="2:8">
      <c r="B567" s="5"/>
      <c r="H567" s="16"/>
    </row>
    <row r="568" spans="2:8">
      <c r="B568" s="5"/>
      <c r="H568" s="16"/>
    </row>
    <row r="569" spans="2:8">
      <c r="B569" s="5"/>
      <c r="H569" s="16"/>
    </row>
    <row r="570" spans="2:8">
      <c r="B570" s="5"/>
      <c r="H570" s="16"/>
    </row>
    <row r="571" spans="2:8">
      <c r="B571" s="5"/>
      <c r="H571" s="16"/>
    </row>
    <row r="572" spans="2:8">
      <c r="B572" s="5"/>
      <c r="H572" s="16"/>
    </row>
    <row r="573" spans="2:8">
      <c r="B573" s="5"/>
      <c r="H573" s="16"/>
    </row>
    <row r="574" spans="2:8">
      <c r="B574" s="5"/>
      <c r="H574" s="16"/>
    </row>
    <row r="575" spans="2:8">
      <c r="B575" s="5"/>
      <c r="H575" s="16"/>
    </row>
    <row r="576" spans="2:8">
      <c r="B576" s="5"/>
      <c r="H576" s="16"/>
    </row>
    <row r="577" spans="2:8">
      <c r="B577" s="5"/>
      <c r="H577" s="16"/>
    </row>
    <row r="578" spans="2:8">
      <c r="B578" s="5"/>
      <c r="H578" s="16"/>
    </row>
    <row r="579" spans="2:8">
      <c r="B579" s="5"/>
      <c r="H579" s="16"/>
    </row>
    <row r="580" spans="2:8">
      <c r="B580" s="5"/>
      <c r="H580" s="16"/>
    </row>
    <row r="581" spans="2:8">
      <c r="B581" s="5"/>
      <c r="H581" s="16"/>
    </row>
    <row r="582" spans="2:8">
      <c r="B582" s="5"/>
      <c r="H582" s="16"/>
    </row>
    <row r="583" spans="2:8">
      <c r="B583" s="5"/>
      <c r="H583" s="16"/>
    </row>
    <row r="584" spans="2:8">
      <c r="B584" s="5"/>
      <c r="H584" s="16"/>
    </row>
    <row r="585" spans="2:8">
      <c r="B585" s="5"/>
      <c r="H585" s="16"/>
    </row>
    <row r="586" spans="2:8">
      <c r="B586" s="5"/>
      <c r="H586" s="16"/>
    </row>
    <row r="587" spans="2:8">
      <c r="B587" s="5"/>
      <c r="H587" s="16"/>
    </row>
    <row r="588" spans="2:8">
      <c r="B588" s="5"/>
      <c r="H588" s="16"/>
    </row>
    <row r="589" spans="2:8">
      <c r="B589" s="5"/>
      <c r="H589" s="16"/>
    </row>
    <row r="590" spans="2:8">
      <c r="B590" s="5"/>
      <c r="H590" s="16"/>
    </row>
    <row r="591" spans="2:8">
      <c r="B591" s="5"/>
      <c r="H591" s="16"/>
    </row>
    <row r="592" spans="2:8">
      <c r="B592" s="5"/>
      <c r="H592" s="16"/>
    </row>
    <row r="593" spans="2:8">
      <c r="B593" s="5"/>
      <c r="H593" s="16"/>
    </row>
    <row r="594" spans="2:8">
      <c r="B594" s="5"/>
      <c r="H594" s="16"/>
    </row>
    <row r="595" spans="2:8">
      <c r="B595" s="5"/>
      <c r="H595" s="16"/>
    </row>
    <row r="596" spans="2:8">
      <c r="B596" s="5"/>
      <c r="H596" s="16"/>
    </row>
    <row r="597" spans="2:8">
      <c r="B597" s="5"/>
      <c r="H597" s="16"/>
    </row>
    <row r="598" spans="2:8">
      <c r="B598" s="5"/>
      <c r="H598" s="16"/>
    </row>
    <row r="599" spans="2:8">
      <c r="B599" s="5"/>
      <c r="H599" s="16"/>
    </row>
    <row r="600" spans="2:8">
      <c r="B600" s="5"/>
      <c r="H600" s="16"/>
    </row>
    <row r="601" spans="2:8">
      <c r="B601" s="5"/>
      <c r="H601" s="16"/>
    </row>
    <row r="602" spans="2:8">
      <c r="B602" s="5"/>
      <c r="H602" s="16"/>
    </row>
    <row r="603" spans="2:8">
      <c r="B603" s="5"/>
      <c r="H603" s="16"/>
    </row>
    <row r="604" spans="2:8">
      <c r="B604" s="5"/>
      <c r="H604" s="16"/>
    </row>
    <row r="605" spans="2:8">
      <c r="B605" s="5"/>
      <c r="H605" s="16"/>
    </row>
    <row r="606" spans="2:8">
      <c r="B606" s="5"/>
      <c r="H606" s="16"/>
    </row>
    <row r="607" spans="2:8">
      <c r="B607" s="5"/>
      <c r="H607" s="16"/>
    </row>
    <row r="608" spans="2:8">
      <c r="B608" s="5"/>
      <c r="H608" s="16"/>
    </row>
    <row r="609" spans="2:8">
      <c r="B609" s="5"/>
      <c r="H609" s="16"/>
    </row>
    <row r="610" spans="2:8">
      <c r="B610" s="5"/>
      <c r="H610" s="16"/>
    </row>
    <row r="611" spans="2:8">
      <c r="B611" s="5"/>
      <c r="H611" s="16"/>
    </row>
    <row r="612" spans="2:8">
      <c r="B612" s="5"/>
      <c r="H612" s="16"/>
    </row>
    <row r="613" spans="2:8">
      <c r="B613" s="5"/>
      <c r="H613" s="16"/>
    </row>
    <row r="614" spans="2:8">
      <c r="B614" s="5"/>
      <c r="H614" s="16"/>
    </row>
    <row r="615" spans="2:8">
      <c r="B615" s="5"/>
      <c r="H615" s="16"/>
    </row>
    <row r="616" spans="2:8">
      <c r="B616" s="5"/>
      <c r="H616" s="16"/>
    </row>
    <row r="617" spans="2:8">
      <c r="B617" s="5"/>
      <c r="H617" s="16"/>
    </row>
    <row r="618" spans="2:8">
      <c r="B618" s="5"/>
      <c r="H618" s="16"/>
    </row>
    <row r="619" spans="2:8">
      <c r="B619" s="5"/>
      <c r="H619" s="16"/>
    </row>
    <row r="620" spans="2:8">
      <c r="B620" s="5"/>
      <c r="H620" s="16"/>
    </row>
    <row r="621" spans="2:8">
      <c r="B621" s="5"/>
      <c r="H621" s="16"/>
    </row>
    <row r="622" spans="2:8">
      <c r="B622" s="5"/>
      <c r="H622" s="16"/>
    </row>
    <row r="623" spans="2:8">
      <c r="B623" s="5"/>
      <c r="H623" s="16"/>
    </row>
    <row r="624" spans="2:8">
      <c r="B624" s="5"/>
      <c r="H624" s="16"/>
    </row>
    <row r="625" spans="2:8">
      <c r="B625" s="5"/>
      <c r="H625" s="16"/>
    </row>
    <row r="626" spans="2:8">
      <c r="B626" s="5"/>
      <c r="H626" s="16"/>
    </row>
    <row r="627" spans="2:8">
      <c r="B627" s="5"/>
      <c r="H627" s="16"/>
    </row>
    <row r="628" spans="2:8">
      <c r="B628" s="5"/>
      <c r="H628" s="16"/>
    </row>
    <row r="629" spans="2:8">
      <c r="B629" s="5"/>
      <c r="H629" s="16"/>
    </row>
    <row r="630" spans="2:8">
      <c r="B630" s="5"/>
      <c r="H630" s="16"/>
    </row>
    <row r="631" spans="2:8">
      <c r="B631" s="5"/>
      <c r="H631" s="16"/>
    </row>
    <row r="632" spans="2:8">
      <c r="B632" s="5"/>
      <c r="H632" s="16"/>
    </row>
    <row r="633" spans="2:8">
      <c r="B633" s="5"/>
      <c r="H633" s="16"/>
    </row>
    <row r="634" spans="2:8">
      <c r="B634" s="5"/>
      <c r="H634" s="16"/>
    </row>
    <row r="635" spans="2:8">
      <c r="B635" s="5"/>
      <c r="H635" s="16"/>
    </row>
    <row r="636" spans="2:8">
      <c r="B636" s="5"/>
      <c r="H636" s="16"/>
    </row>
    <row r="637" spans="2:8">
      <c r="B637" s="5"/>
      <c r="H637" s="16"/>
    </row>
    <row r="638" spans="2:8">
      <c r="B638" s="5"/>
      <c r="H638" s="16"/>
    </row>
    <row r="639" spans="2:8">
      <c r="B639" s="5"/>
      <c r="H639" s="16"/>
    </row>
    <row r="640" spans="2:8">
      <c r="B640" s="5"/>
      <c r="H640" s="16"/>
    </row>
    <row r="641" spans="2:8">
      <c r="B641" s="5"/>
      <c r="H641" s="16"/>
    </row>
    <row r="642" spans="2:8">
      <c r="B642" s="5"/>
      <c r="H642" s="16"/>
    </row>
    <row r="643" spans="2:8">
      <c r="B643" s="5"/>
      <c r="H643" s="16"/>
    </row>
    <row r="644" spans="2:8">
      <c r="B644" s="5"/>
      <c r="H644" s="16"/>
    </row>
    <row r="645" spans="2:8">
      <c r="B645" s="5"/>
      <c r="H645" s="16"/>
    </row>
    <row r="646" spans="2:8">
      <c r="B646" s="5"/>
      <c r="H646" s="16"/>
    </row>
    <row r="647" spans="2:8">
      <c r="B647" s="5"/>
      <c r="H647" s="16"/>
    </row>
    <row r="648" spans="2:8">
      <c r="B648" s="5"/>
      <c r="H648" s="16"/>
    </row>
    <row r="649" spans="2:8">
      <c r="B649" s="5"/>
      <c r="H649" s="16"/>
    </row>
    <row r="650" spans="2:8">
      <c r="B650" s="5"/>
      <c r="H650" s="16"/>
    </row>
    <row r="651" spans="2:8">
      <c r="B651" s="5"/>
      <c r="H651" s="16"/>
    </row>
    <row r="652" spans="2:8">
      <c r="B652" s="5"/>
      <c r="H652" s="16"/>
    </row>
    <row r="653" spans="2:8">
      <c r="B653" s="5"/>
      <c r="H653" s="16"/>
    </row>
    <row r="654" spans="2:8">
      <c r="B654" s="5"/>
      <c r="H654" s="16"/>
    </row>
    <row r="655" spans="2:8">
      <c r="B655" s="5"/>
      <c r="H655" s="16"/>
    </row>
    <row r="656" spans="2:8">
      <c r="B656" s="5"/>
      <c r="H656" s="16"/>
    </row>
    <row r="657" spans="2:8">
      <c r="B657" s="5"/>
      <c r="H657" s="16"/>
    </row>
    <row r="658" spans="2:8">
      <c r="B658" s="5"/>
      <c r="H658" s="16"/>
    </row>
    <row r="659" spans="2:8">
      <c r="B659" s="5"/>
      <c r="H659" s="16"/>
    </row>
    <row r="660" spans="2:8">
      <c r="B660" s="5"/>
      <c r="H660" s="16"/>
    </row>
    <row r="661" spans="2:8">
      <c r="B661" s="5"/>
      <c r="H661" s="16"/>
    </row>
    <row r="662" spans="2:8">
      <c r="B662" s="5"/>
      <c r="H662" s="16"/>
    </row>
    <row r="663" spans="2:8">
      <c r="B663" s="5"/>
      <c r="H663" s="16"/>
    </row>
    <row r="664" spans="2:8">
      <c r="B664" s="5"/>
      <c r="H664" s="16"/>
    </row>
    <row r="665" spans="2:8">
      <c r="B665" s="5"/>
      <c r="H665" s="16"/>
    </row>
    <row r="666" spans="2:8">
      <c r="B666" s="5"/>
      <c r="H666" s="16"/>
    </row>
    <row r="667" spans="2:8">
      <c r="B667" s="5"/>
      <c r="H667" s="16"/>
    </row>
    <row r="668" spans="2:8">
      <c r="B668" s="5"/>
      <c r="H668" s="16"/>
    </row>
    <row r="669" spans="2:8">
      <c r="B669" s="5"/>
      <c r="H669" s="16"/>
    </row>
    <row r="670" spans="2:8">
      <c r="B670" s="5"/>
      <c r="H670" s="16"/>
    </row>
    <row r="671" spans="2:8">
      <c r="B671" s="5"/>
      <c r="H671" s="16"/>
    </row>
    <row r="672" spans="2:8">
      <c r="B672" s="5"/>
      <c r="H672" s="16"/>
    </row>
    <row r="673" spans="2:8">
      <c r="B673" s="5"/>
      <c r="H673" s="16"/>
    </row>
    <row r="674" spans="2:8">
      <c r="B674" s="5"/>
      <c r="H674" s="16"/>
    </row>
    <row r="675" spans="2:8">
      <c r="B675" s="5"/>
      <c r="H675" s="16"/>
    </row>
    <row r="676" spans="2:8">
      <c r="B676" s="5"/>
      <c r="H676" s="16"/>
    </row>
    <row r="677" spans="2:8">
      <c r="B677" s="5"/>
      <c r="H677" s="16"/>
    </row>
    <row r="678" spans="2:8">
      <c r="B678" s="5"/>
      <c r="H678" s="16"/>
    </row>
    <row r="679" spans="2:8">
      <c r="B679" s="5"/>
      <c r="H679" s="16"/>
    </row>
    <row r="680" spans="2:8">
      <c r="B680" s="5"/>
      <c r="H680" s="16"/>
    </row>
    <row r="681" spans="2:8">
      <c r="B681" s="5"/>
      <c r="H681" s="16"/>
    </row>
    <row r="682" spans="2:8">
      <c r="B682" s="5"/>
      <c r="H682" s="16"/>
    </row>
    <row r="683" spans="2:8">
      <c r="B683" s="5"/>
      <c r="H683" s="16"/>
    </row>
    <row r="684" spans="2:8">
      <c r="B684" s="5"/>
      <c r="H684" s="16"/>
    </row>
    <row r="685" spans="2:8">
      <c r="B685" s="5"/>
      <c r="H685" s="16"/>
    </row>
    <row r="686" spans="2:8">
      <c r="B686" s="5"/>
      <c r="H686" s="16"/>
    </row>
    <row r="687" spans="2:8">
      <c r="B687" s="5"/>
      <c r="H687" s="16"/>
    </row>
    <row r="688" spans="2:8">
      <c r="B688" s="5"/>
      <c r="H688" s="16"/>
    </row>
    <row r="689" spans="2:8">
      <c r="B689" s="5"/>
      <c r="H689" s="16"/>
    </row>
    <row r="690" spans="2:8">
      <c r="B690" s="5"/>
      <c r="H690" s="16"/>
    </row>
    <row r="691" spans="2:8">
      <c r="B691" s="5"/>
      <c r="H691" s="16"/>
    </row>
    <row r="692" spans="2:8">
      <c r="B692" s="5"/>
      <c r="H692" s="16"/>
    </row>
    <row r="693" spans="2:8">
      <c r="B693" s="5"/>
      <c r="H693" s="16"/>
    </row>
    <row r="694" spans="2:8">
      <c r="B694" s="5"/>
      <c r="H694" s="16"/>
    </row>
    <row r="695" spans="2:8">
      <c r="B695" s="5"/>
      <c r="H695" s="16"/>
    </row>
    <row r="696" spans="2:8">
      <c r="B696" s="5"/>
      <c r="H696" s="16"/>
    </row>
    <row r="697" spans="2:8">
      <c r="B697" s="5"/>
      <c r="H697" s="16"/>
    </row>
    <row r="698" spans="2:8">
      <c r="B698" s="5"/>
      <c r="H698" s="16"/>
    </row>
    <row r="699" spans="2:8">
      <c r="B699" s="5"/>
      <c r="H699" s="16"/>
    </row>
    <row r="700" spans="2:8">
      <c r="B700" s="5"/>
      <c r="H700" s="16"/>
    </row>
    <row r="701" spans="2:8">
      <c r="B701" s="5"/>
      <c r="H701" s="16"/>
    </row>
    <row r="702" spans="2:8">
      <c r="B702" s="5"/>
      <c r="H702" s="16"/>
    </row>
    <row r="703" spans="2:8">
      <c r="B703" s="5"/>
      <c r="H703" s="16"/>
    </row>
    <row r="704" spans="2:8">
      <c r="B704" s="5"/>
      <c r="H704" s="16"/>
    </row>
    <row r="705" spans="2:8">
      <c r="B705" s="5"/>
      <c r="H705" s="16"/>
    </row>
    <row r="706" spans="2:8">
      <c r="B706" s="5"/>
      <c r="H706" s="16"/>
    </row>
    <row r="707" spans="2:8">
      <c r="B707" s="5"/>
      <c r="H707" s="16"/>
    </row>
    <row r="708" spans="2:8">
      <c r="B708" s="5"/>
      <c r="H708" s="16"/>
    </row>
    <row r="709" spans="2:8">
      <c r="B709" s="5"/>
      <c r="H709" s="16"/>
    </row>
    <row r="710" spans="2:8">
      <c r="B710" s="5"/>
      <c r="H710" s="16"/>
    </row>
    <row r="711" spans="2:8">
      <c r="B711" s="5"/>
      <c r="H711" s="16"/>
    </row>
    <row r="712" spans="2:8">
      <c r="B712" s="5"/>
      <c r="H712" s="16"/>
    </row>
    <row r="713" spans="2:8">
      <c r="B713" s="5"/>
      <c r="H713" s="16"/>
    </row>
    <row r="714" spans="2:8">
      <c r="B714" s="5"/>
      <c r="H714" s="16"/>
    </row>
    <row r="715" spans="2:8">
      <c r="B715" s="5"/>
      <c r="H715" s="16"/>
    </row>
    <row r="716" spans="2:8">
      <c r="B716" s="5"/>
      <c r="H716" s="16"/>
    </row>
    <row r="717" spans="2:8">
      <c r="B717" s="5"/>
      <c r="H717" s="16"/>
    </row>
    <row r="718" spans="2:8">
      <c r="B718" s="5"/>
      <c r="H718" s="16"/>
    </row>
    <row r="719" spans="2:8">
      <c r="B719" s="5"/>
      <c r="H719" s="16"/>
    </row>
    <row r="720" spans="2:8">
      <c r="B720" s="5"/>
      <c r="H720" s="16"/>
    </row>
    <row r="721" spans="2:8">
      <c r="B721" s="5"/>
      <c r="H721" s="16"/>
    </row>
    <row r="722" spans="2:8">
      <c r="B722" s="5"/>
      <c r="H722" s="16"/>
    </row>
    <row r="723" spans="2:8">
      <c r="B723" s="5"/>
      <c r="H723" s="16"/>
    </row>
    <row r="724" spans="2:8">
      <c r="B724" s="5"/>
      <c r="H724" s="16"/>
    </row>
    <row r="725" spans="2:8">
      <c r="B725" s="5"/>
      <c r="H725" s="16"/>
    </row>
    <row r="726" spans="2:8">
      <c r="B726" s="5"/>
      <c r="H726" s="16"/>
    </row>
    <row r="727" spans="2:8">
      <c r="B727" s="5"/>
      <c r="H727" s="16"/>
    </row>
    <row r="728" spans="2:8">
      <c r="B728" s="5"/>
      <c r="H728" s="16"/>
    </row>
    <row r="729" spans="2:8">
      <c r="B729" s="5"/>
      <c r="H729" s="16"/>
    </row>
    <row r="730" spans="2:8">
      <c r="B730" s="5"/>
      <c r="H730" s="16"/>
    </row>
    <row r="731" spans="2:8">
      <c r="B731" s="5"/>
      <c r="H731" s="16"/>
    </row>
    <row r="732" spans="2:8">
      <c r="B732" s="5"/>
      <c r="H732" s="16"/>
    </row>
    <row r="733" spans="2:8">
      <c r="B733" s="5"/>
      <c r="H733" s="16"/>
    </row>
    <row r="734" spans="2:8">
      <c r="B734" s="5"/>
      <c r="H734" s="16"/>
    </row>
    <row r="735" spans="2:8">
      <c r="B735" s="5"/>
      <c r="H735" s="16"/>
    </row>
    <row r="736" spans="2:8">
      <c r="B736" s="5"/>
      <c r="H736" s="16"/>
    </row>
    <row r="737" spans="2:8">
      <c r="B737" s="5"/>
      <c r="H737" s="16"/>
    </row>
    <row r="738" spans="2:8">
      <c r="B738" s="5"/>
      <c r="H738" s="16"/>
    </row>
    <row r="739" spans="2:8">
      <c r="B739" s="5"/>
      <c r="H739" s="16"/>
    </row>
    <row r="740" spans="2:8">
      <c r="B740" s="5"/>
      <c r="H740" s="16"/>
    </row>
    <row r="741" spans="2:8">
      <c r="B741" s="5"/>
      <c r="H741" s="16"/>
    </row>
    <row r="742" spans="2:8">
      <c r="B742" s="5"/>
      <c r="H742" s="16"/>
    </row>
    <row r="743" spans="2:8">
      <c r="B743" s="5"/>
      <c r="H743" s="16"/>
    </row>
    <row r="744" spans="2:8">
      <c r="B744" s="5"/>
      <c r="H744" s="16"/>
    </row>
    <row r="745" spans="2:8">
      <c r="B745" s="5"/>
      <c r="H745" s="16"/>
    </row>
    <row r="746" spans="2:8">
      <c r="B746" s="5"/>
      <c r="H746" s="16"/>
    </row>
    <row r="747" spans="2:8">
      <c r="B747" s="5"/>
      <c r="H747" s="16"/>
    </row>
    <row r="748" spans="2:8">
      <c r="B748" s="5"/>
      <c r="H748" s="16"/>
    </row>
    <row r="749" spans="2:8">
      <c r="B749" s="5"/>
      <c r="H749" s="16"/>
    </row>
    <row r="750" spans="2:8">
      <c r="B750" s="5"/>
      <c r="H750" s="16"/>
    </row>
    <row r="751" spans="2:8">
      <c r="B751" s="5"/>
      <c r="H751" s="16"/>
    </row>
    <row r="752" spans="2:8">
      <c r="B752" s="5"/>
      <c r="H752" s="16"/>
    </row>
    <row r="753" spans="2:8">
      <c r="B753" s="5"/>
      <c r="H753" s="16"/>
    </row>
    <row r="754" spans="2:8">
      <c r="B754" s="5"/>
      <c r="H754" s="16"/>
    </row>
    <row r="755" spans="2:8">
      <c r="B755" s="5"/>
      <c r="H755" s="16"/>
    </row>
    <row r="756" spans="2:8">
      <c r="B756" s="5"/>
      <c r="H756" s="16"/>
    </row>
    <row r="757" spans="2:8">
      <c r="B757" s="5"/>
      <c r="H757" s="16"/>
    </row>
    <row r="758" spans="2:8">
      <c r="B758" s="5"/>
      <c r="H758" s="16"/>
    </row>
    <row r="759" spans="2:8">
      <c r="B759" s="5"/>
      <c r="H759" s="16"/>
    </row>
    <row r="760" spans="2:8">
      <c r="B760" s="5"/>
      <c r="H760" s="16"/>
    </row>
    <row r="761" spans="2:8">
      <c r="B761" s="5"/>
      <c r="H761" s="16"/>
    </row>
    <row r="762" spans="2:8">
      <c r="B762" s="5"/>
      <c r="H762" s="16"/>
    </row>
    <row r="763" spans="2:8">
      <c r="B763" s="5"/>
      <c r="H763" s="16"/>
    </row>
    <row r="764" spans="2:8">
      <c r="B764" s="5"/>
      <c r="H764" s="16"/>
    </row>
    <row r="765" spans="2:8">
      <c r="B765" s="5"/>
      <c r="H765" s="16"/>
    </row>
    <row r="766" spans="2:8">
      <c r="B766" s="5"/>
      <c r="H766" s="16"/>
    </row>
    <row r="767" spans="2:8">
      <c r="B767" s="5"/>
      <c r="H767" s="16"/>
    </row>
    <row r="768" spans="2:8">
      <c r="B768" s="5"/>
      <c r="H768" s="16"/>
    </row>
    <row r="769" spans="2:8">
      <c r="B769" s="5"/>
      <c r="H769" s="16"/>
    </row>
    <row r="770" spans="2:8">
      <c r="B770" s="5"/>
      <c r="H770" s="16"/>
    </row>
    <row r="771" spans="2:8">
      <c r="B771" s="5"/>
      <c r="H771" s="16"/>
    </row>
    <row r="772" spans="2:8">
      <c r="B772" s="5"/>
      <c r="H772" s="16"/>
    </row>
    <row r="773" spans="2:8">
      <c r="B773" s="5"/>
      <c r="H773" s="16"/>
    </row>
    <row r="774" spans="2:8">
      <c r="B774" s="5"/>
      <c r="H774" s="16"/>
    </row>
    <row r="775" spans="2:8">
      <c r="B775" s="5"/>
      <c r="H775" s="16"/>
    </row>
    <row r="776" spans="2:8">
      <c r="B776" s="5"/>
      <c r="H776" s="16"/>
    </row>
    <row r="777" spans="2:8">
      <c r="B777" s="5"/>
      <c r="H777" s="16"/>
    </row>
    <row r="778" spans="2:8">
      <c r="B778" s="5"/>
      <c r="H778" s="16"/>
    </row>
    <row r="779" spans="2:8">
      <c r="B779" s="5"/>
      <c r="H779" s="16"/>
    </row>
    <row r="780" spans="2:8">
      <c r="B780" s="5"/>
      <c r="H780" s="16"/>
    </row>
    <row r="781" spans="2:8">
      <c r="B781" s="5"/>
      <c r="H781" s="16"/>
    </row>
    <row r="782" spans="2:8">
      <c r="B782" s="5"/>
      <c r="H782" s="16"/>
    </row>
    <row r="783" spans="2:8">
      <c r="B783" s="5"/>
      <c r="H783" s="16"/>
    </row>
    <row r="784" spans="2:8">
      <c r="B784" s="5"/>
      <c r="H784" s="16"/>
    </row>
    <row r="785" spans="2:8">
      <c r="B785" s="5"/>
      <c r="H785" s="16"/>
    </row>
    <row r="786" spans="2:8">
      <c r="B786" s="5"/>
      <c r="H786" s="16"/>
    </row>
    <row r="787" spans="2:8">
      <c r="B787" s="5"/>
      <c r="H787" s="16"/>
    </row>
    <row r="788" spans="2:8">
      <c r="B788" s="5"/>
      <c r="H788" s="16"/>
    </row>
    <row r="789" spans="2:8">
      <c r="B789" s="5"/>
      <c r="H789" s="16"/>
    </row>
    <row r="790" spans="2:8">
      <c r="B790" s="5"/>
      <c r="H790" s="16"/>
    </row>
    <row r="791" spans="2:8">
      <c r="B791" s="5"/>
      <c r="H791" s="16"/>
    </row>
    <row r="792" spans="2:8">
      <c r="B792" s="5"/>
      <c r="H792" s="16"/>
    </row>
    <row r="793" spans="2:8">
      <c r="B793" s="5"/>
      <c r="H793" s="16"/>
    </row>
    <row r="794" spans="2:8">
      <c r="B794" s="5"/>
      <c r="H794" s="16"/>
    </row>
    <row r="795" spans="2:8">
      <c r="B795" s="5"/>
      <c r="H795" s="16"/>
    </row>
    <row r="796" spans="2:8">
      <c r="B796" s="5"/>
      <c r="H796" s="16"/>
    </row>
    <row r="797" spans="2:8">
      <c r="B797" s="5"/>
      <c r="H797" s="16"/>
    </row>
    <row r="798" spans="2:8">
      <c r="B798" s="5"/>
      <c r="H798" s="16"/>
    </row>
    <row r="799" spans="2:8">
      <c r="B799" s="5"/>
      <c r="H799" s="16"/>
    </row>
    <row r="800" spans="2:8">
      <c r="B800" s="5"/>
      <c r="H800" s="16"/>
    </row>
    <row r="801" spans="2:8">
      <c r="B801" s="5"/>
      <c r="H801" s="16"/>
    </row>
    <row r="802" spans="2:8">
      <c r="B802" s="5"/>
      <c r="H802" s="16"/>
    </row>
    <row r="803" spans="2:8">
      <c r="B803" s="5"/>
      <c r="H803" s="16"/>
    </row>
    <row r="804" spans="2:8">
      <c r="B804" s="5"/>
      <c r="H804" s="16"/>
    </row>
    <row r="805" spans="2:8">
      <c r="B805" s="5"/>
      <c r="H805" s="16"/>
    </row>
    <row r="806" spans="2:8">
      <c r="B806" s="5"/>
      <c r="H806" s="16"/>
    </row>
    <row r="807" spans="2:8">
      <c r="B807" s="5"/>
      <c r="H807" s="16"/>
    </row>
    <row r="808" spans="2:8">
      <c r="B808" s="5"/>
      <c r="H808" s="16"/>
    </row>
    <row r="809" spans="2:8">
      <c r="B809" s="5"/>
      <c r="H809" s="16"/>
    </row>
    <row r="810" spans="2:8">
      <c r="B810" s="5"/>
      <c r="H810" s="16"/>
    </row>
    <row r="811" spans="2:8">
      <c r="B811" s="5"/>
      <c r="H811" s="16"/>
    </row>
    <row r="812" spans="2:8">
      <c r="B812" s="5"/>
      <c r="H812" s="16"/>
    </row>
    <row r="813" spans="2:8">
      <c r="B813" s="5"/>
      <c r="H813" s="16"/>
    </row>
    <row r="814" spans="2:8">
      <c r="B814" s="5"/>
      <c r="H814" s="16"/>
    </row>
    <row r="815" spans="2:8">
      <c r="B815" s="5"/>
      <c r="H815" s="16"/>
    </row>
    <row r="816" spans="2:8">
      <c r="B816" s="5"/>
      <c r="H816" s="16"/>
    </row>
    <row r="817" spans="2:8">
      <c r="B817" s="5"/>
      <c r="H817" s="16"/>
    </row>
    <row r="818" spans="2:8">
      <c r="B818" s="5"/>
      <c r="H818" s="16"/>
    </row>
    <row r="819" spans="2:8">
      <c r="B819" s="5"/>
      <c r="H819" s="16"/>
    </row>
    <row r="820" spans="2:8">
      <c r="B820" s="5"/>
      <c r="H820" s="16"/>
    </row>
    <row r="821" spans="2:8">
      <c r="B821" s="5"/>
      <c r="H821" s="16"/>
    </row>
    <row r="822" spans="2:8">
      <c r="B822" s="5"/>
      <c r="H822" s="16"/>
    </row>
    <row r="823" spans="2:8">
      <c r="B823" s="5"/>
      <c r="H823" s="16"/>
    </row>
    <row r="824" spans="2:8">
      <c r="B824" s="5"/>
      <c r="H824" s="16"/>
    </row>
    <row r="825" spans="2:8">
      <c r="B825" s="5"/>
      <c r="H825" s="16"/>
    </row>
    <row r="826" spans="2:8">
      <c r="B826" s="5"/>
      <c r="H826" s="16"/>
    </row>
    <row r="827" spans="2:8">
      <c r="B827" s="5"/>
      <c r="H827" s="16"/>
    </row>
    <row r="828" spans="2:8">
      <c r="B828" s="5"/>
      <c r="H828" s="16"/>
    </row>
    <row r="829" spans="2:8">
      <c r="B829" s="5"/>
      <c r="H829" s="16"/>
    </row>
    <row r="830" spans="2:8">
      <c r="B830" s="5"/>
      <c r="H830" s="16"/>
    </row>
    <row r="831" spans="2:8">
      <c r="B831" s="5"/>
      <c r="H831" s="16"/>
    </row>
    <row r="832" spans="2:8">
      <c r="B832" s="5"/>
      <c r="H832" s="16"/>
    </row>
    <row r="833" spans="2:8">
      <c r="B833" s="5"/>
      <c r="H833" s="16"/>
    </row>
    <row r="834" spans="2:8">
      <c r="B834" s="5"/>
      <c r="H834" s="16"/>
    </row>
    <row r="835" spans="2:8">
      <c r="B835" s="5"/>
      <c r="H835" s="16"/>
    </row>
    <row r="836" spans="2:8">
      <c r="B836" s="5"/>
      <c r="H836" s="16"/>
    </row>
    <row r="837" spans="2:8">
      <c r="B837" s="5"/>
      <c r="H837" s="16"/>
    </row>
    <row r="838" spans="2:8">
      <c r="B838" s="5"/>
      <c r="H838" s="16"/>
    </row>
    <row r="839" spans="2:8">
      <c r="B839" s="5"/>
      <c r="H839" s="16"/>
    </row>
    <row r="840" spans="2:8">
      <c r="B840" s="5"/>
      <c r="H840" s="16"/>
    </row>
    <row r="841" spans="2:8">
      <c r="B841" s="5"/>
      <c r="H841" s="16"/>
    </row>
    <row r="842" spans="2:8">
      <c r="B842" s="5"/>
      <c r="H842" s="16"/>
    </row>
    <row r="843" spans="2:8">
      <c r="B843" s="5"/>
      <c r="H843" s="16"/>
    </row>
    <row r="844" spans="2:8">
      <c r="B844" s="5"/>
      <c r="H844" s="16"/>
    </row>
    <row r="845" spans="2:8">
      <c r="B845" s="5"/>
      <c r="H845" s="16"/>
    </row>
    <row r="846" spans="2:8">
      <c r="B846" s="5"/>
      <c r="H846" s="16"/>
    </row>
    <row r="847" spans="2:8">
      <c r="B847" s="5"/>
      <c r="H847" s="16"/>
    </row>
    <row r="848" spans="2:8">
      <c r="B848" s="5"/>
      <c r="H848" s="16"/>
    </row>
    <row r="849" spans="2:8">
      <c r="B849" s="5"/>
      <c r="H849" s="16"/>
    </row>
    <row r="850" spans="2:8">
      <c r="B850" s="5"/>
      <c r="H850" s="16"/>
    </row>
    <row r="851" spans="2:8">
      <c r="B851" s="5"/>
      <c r="H851" s="16"/>
    </row>
    <row r="852" spans="2:8">
      <c r="B852" s="5"/>
      <c r="H852" s="16"/>
    </row>
    <row r="853" spans="2:8">
      <c r="B853" s="5"/>
      <c r="H853" s="16"/>
    </row>
    <row r="854" spans="2:8">
      <c r="B854" s="5"/>
      <c r="H854" s="16"/>
    </row>
    <row r="855" spans="2:8">
      <c r="B855" s="5"/>
      <c r="H855" s="16"/>
    </row>
    <row r="856" spans="2:8">
      <c r="B856" s="5"/>
      <c r="H856" s="16"/>
    </row>
    <row r="857" spans="2:8">
      <c r="B857" s="5"/>
      <c r="H857" s="16"/>
    </row>
    <row r="858" spans="2:8">
      <c r="B858" s="5"/>
      <c r="H858" s="16"/>
    </row>
    <row r="859" spans="2:8">
      <c r="B859" s="5"/>
      <c r="H859" s="16"/>
    </row>
    <row r="860" spans="2:8">
      <c r="B860" s="5"/>
      <c r="H860" s="16"/>
    </row>
    <row r="861" spans="2:8">
      <c r="B861" s="5"/>
      <c r="H861" s="16"/>
    </row>
    <row r="862" spans="2:8">
      <c r="B862" s="5"/>
      <c r="H862" s="16"/>
    </row>
    <row r="863" spans="2:8">
      <c r="B863" s="5"/>
      <c r="H863" s="16"/>
    </row>
    <row r="864" spans="2:8">
      <c r="B864" s="5"/>
      <c r="H864" s="16"/>
    </row>
    <row r="865" spans="2:8">
      <c r="B865" s="5"/>
      <c r="H865" s="16"/>
    </row>
    <row r="866" spans="2:8">
      <c r="B866" s="5"/>
      <c r="H866" s="16"/>
    </row>
    <row r="867" spans="2:8">
      <c r="B867" s="5"/>
      <c r="H867" s="16"/>
    </row>
    <row r="868" spans="2:8">
      <c r="B868" s="5"/>
      <c r="H868" s="16"/>
    </row>
    <row r="869" spans="2:8">
      <c r="B869" s="5"/>
      <c r="H869" s="16"/>
    </row>
    <row r="870" spans="2:8">
      <c r="B870" s="5"/>
      <c r="H870" s="16"/>
    </row>
    <row r="871" spans="2:8">
      <c r="B871" s="5"/>
      <c r="H871" s="16"/>
    </row>
    <row r="872" spans="2:8">
      <c r="B872" s="5"/>
      <c r="H872" s="16"/>
    </row>
    <row r="873" spans="2:8">
      <c r="B873" s="5"/>
      <c r="H873" s="16"/>
    </row>
    <row r="874" spans="2:8">
      <c r="B874" s="5"/>
      <c r="H874" s="16"/>
    </row>
    <row r="875" spans="2:8">
      <c r="B875" s="5"/>
      <c r="H875" s="16"/>
    </row>
    <row r="876" spans="2:8">
      <c r="B876" s="5"/>
      <c r="H876" s="16"/>
    </row>
    <row r="877" spans="2:8">
      <c r="B877" s="5"/>
      <c r="H877" s="16"/>
    </row>
    <row r="878" spans="2:8">
      <c r="B878" s="5"/>
      <c r="H878" s="16"/>
    </row>
    <row r="879" spans="2:8">
      <c r="B879" s="5"/>
      <c r="H879" s="16"/>
    </row>
    <row r="880" spans="2:8">
      <c r="B880" s="5"/>
      <c r="H880" s="16"/>
    </row>
    <row r="881" spans="2:8">
      <c r="B881" s="5"/>
      <c r="H881" s="16"/>
    </row>
    <row r="882" spans="2:8">
      <c r="B882" s="5"/>
      <c r="H882" s="16"/>
    </row>
    <row r="883" spans="2:8">
      <c r="B883" s="5"/>
      <c r="H883" s="16"/>
    </row>
    <row r="884" spans="2:8">
      <c r="B884" s="5"/>
      <c r="H884" s="16"/>
    </row>
    <row r="885" spans="2:8">
      <c r="B885" s="5"/>
      <c r="H885" s="16"/>
    </row>
    <row r="886" spans="2:8">
      <c r="B886" s="5"/>
      <c r="H886" s="16"/>
    </row>
    <row r="887" spans="2:8">
      <c r="B887" s="5"/>
      <c r="H887" s="16"/>
    </row>
    <row r="888" spans="2:8">
      <c r="B888" s="5"/>
      <c r="H888" s="16"/>
    </row>
    <row r="889" spans="2:8">
      <c r="B889" s="5"/>
      <c r="H889" s="16"/>
    </row>
    <row r="890" spans="2:8">
      <c r="B890" s="5"/>
      <c r="H890" s="16"/>
    </row>
    <row r="891" spans="2:8">
      <c r="B891" s="5"/>
      <c r="H891" s="16"/>
    </row>
    <row r="892" spans="2:8">
      <c r="B892" s="5"/>
      <c r="H892" s="16"/>
    </row>
  </sheetData>
  <mergeCells count="27">
    <mergeCell ref="C50:F50"/>
    <mergeCell ref="G50:H50"/>
    <mergeCell ref="C47:F47"/>
    <mergeCell ref="G47:H47"/>
    <mergeCell ref="C48:F48"/>
    <mergeCell ref="G48:H48"/>
    <mergeCell ref="C49:F49"/>
    <mergeCell ref="G49:H49"/>
    <mergeCell ref="C44:F44"/>
    <mergeCell ref="G44:H44"/>
    <mergeCell ref="C45:F45"/>
    <mergeCell ref="G45:H45"/>
    <mergeCell ref="C46:F46"/>
    <mergeCell ref="G46:H46"/>
    <mergeCell ref="C43:F43"/>
    <mergeCell ref="G43:H43"/>
    <mergeCell ref="A4:H4"/>
    <mergeCell ref="A10:F10"/>
    <mergeCell ref="A17:F17"/>
    <mergeCell ref="A23:F23"/>
    <mergeCell ref="A29:F29"/>
    <mergeCell ref="A35:F35"/>
    <mergeCell ref="A38:F38"/>
    <mergeCell ref="C41:F41"/>
    <mergeCell ref="G41:H41"/>
    <mergeCell ref="C42:F42"/>
    <mergeCell ref="G42:H42"/>
  </mergeCells>
  <phoneticPr fontId="24" type="noConversion"/>
  <dataValidations count="1">
    <dataValidation type="list" allowBlank="1" showInputMessage="1" showErrorMessage="1" sqref="B42:B48" xr:uid="{76591740-6AA4-4325-9F34-82116B422B25}">
      <formula1>$L$41:$L$45</formula1>
    </dataValidation>
  </dataValidations>
  <pageMargins left="0.7" right="0.7" top="0.75" bottom="0.75" header="0.3" footer="0.3"/>
  <pageSetup scale="52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E5405-6D62-4BE3-AF35-5383223302A3}">
  <sheetPr>
    <pageSetUpPr fitToPage="1"/>
  </sheetPr>
  <dimension ref="A1:L892"/>
  <sheetViews>
    <sheetView showZeros="0" view="pageBreakPreview" zoomScale="60" zoomScaleNormal="70" workbookViewId="0">
      <selection activeCell="A11" sqref="A11"/>
    </sheetView>
  </sheetViews>
  <sheetFormatPr defaultColWidth="10.875" defaultRowHeight="18.75"/>
  <cols>
    <col min="1" max="1" width="35.625" customWidth="1"/>
    <col min="2" max="2" width="14.625" style="16" customWidth="1"/>
    <col min="3" max="7" width="15.875" style="5" customWidth="1"/>
    <col min="8" max="8" width="15.875" style="17" customWidth="1"/>
    <col min="9" max="9" width="9" style="5"/>
    <col min="10" max="12" width="0" style="5" hidden="1" customWidth="1"/>
    <col min="13" max="16384" width="10.875" style="5"/>
  </cols>
  <sheetData>
    <row r="1" spans="1:10" customFormat="1" ht="15.75">
      <c r="A1" s="41"/>
      <c r="B1" s="42"/>
      <c r="C1" s="43"/>
      <c r="D1" s="43"/>
      <c r="E1" s="45" t="s">
        <v>25</v>
      </c>
      <c r="F1" s="43"/>
      <c r="G1" s="45" t="s">
        <v>26</v>
      </c>
      <c r="H1" s="44">
        <v>6</v>
      </c>
    </row>
    <row r="2" spans="1:10">
      <c r="A2" s="30"/>
      <c r="B2" s="18" t="s">
        <v>27</v>
      </c>
      <c r="C2" s="19" t="s">
        <v>28</v>
      </c>
      <c r="D2" s="19" t="s">
        <v>29</v>
      </c>
      <c r="E2" s="18" t="s">
        <v>30</v>
      </c>
      <c r="F2" s="18" t="s">
        <v>31</v>
      </c>
      <c r="G2" s="18" t="s">
        <v>32</v>
      </c>
      <c r="H2" s="18" t="s">
        <v>33</v>
      </c>
    </row>
    <row r="3" spans="1:10" ht="21" customHeight="1">
      <c r="A3" s="31" t="s">
        <v>7</v>
      </c>
      <c r="B3" s="6">
        <f>'Week. 13'!H3+1</f>
        <v>46117</v>
      </c>
      <c r="C3" s="6">
        <f>B3+1</f>
        <v>46118</v>
      </c>
      <c r="D3" s="6">
        <f t="shared" ref="D3:H3" si="0">C3+1</f>
        <v>46119</v>
      </c>
      <c r="E3" s="6">
        <f t="shared" si="0"/>
        <v>46120</v>
      </c>
      <c r="F3" s="6">
        <f t="shared" si="0"/>
        <v>46121</v>
      </c>
      <c r="G3" s="6">
        <f t="shared" si="0"/>
        <v>46122</v>
      </c>
      <c r="H3" s="6">
        <f t="shared" si="0"/>
        <v>46123</v>
      </c>
    </row>
    <row r="4" spans="1:10" s="7" customFormat="1">
      <c r="A4" s="181" t="s">
        <v>135</v>
      </c>
      <c r="B4" s="181"/>
      <c r="C4" s="181"/>
      <c r="D4" s="181"/>
      <c r="E4" s="181"/>
      <c r="F4" s="181"/>
      <c r="G4" s="181"/>
      <c r="H4" s="181"/>
    </row>
    <row r="5" spans="1:10" s="7" customFormat="1" ht="26.1" customHeight="1">
      <c r="A5" s="32" t="s">
        <v>8</v>
      </c>
      <c r="B5" s="27"/>
      <c r="C5" s="27"/>
      <c r="D5" s="27"/>
      <c r="E5" s="27"/>
      <c r="F5" s="27"/>
      <c r="G5" s="27"/>
      <c r="H5" s="27"/>
    </row>
    <row r="6" spans="1:10" s="7" customFormat="1" ht="26.1" customHeight="1">
      <c r="A6" s="4" t="s">
        <v>23</v>
      </c>
      <c r="B6" s="62"/>
      <c r="C6" s="62"/>
      <c r="D6" s="62"/>
      <c r="E6" s="62"/>
      <c r="F6" s="62"/>
      <c r="G6" s="62"/>
      <c r="H6" s="62"/>
    </row>
    <row r="7" spans="1:10" s="7" customFormat="1" ht="21.95" customHeight="1">
      <c r="A7" s="32" t="s">
        <v>35</v>
      </c>
      <c r="B7" s="27"/>
      <c r="C7" s="28"/>
      <c r="D7" s="28"/>
      <c r="E7" s="28"/>
      <c r="F7" s="28"/>
      <c r="G7" s="28"/>
      <c r="H7" s="27"/>
    </row>
    <row r="8" spans="1:10" s="7" customFormat="1" ht="24.95" customHeight="1">
      <c r="A8" s="83" t="s">
        <v>36</v>
      </c>
      <c r="B8" s="84">
        <f t="shared" ref="B8:H8" si="1">B5+B6+B7</f>
        <v>0</v>
      </c>
      <c r="C8" s="84">
        <f t="shared" si="1"/>
        <v>0</v>
      </c>
      <c r="D8" s="84">
        <f t="shared" si="1"/>
        <v>0</v>
      </c>
      <c r="E8" s="84">
        <f t="shared" si="1"/>
        <v>0</v>
      </c>
      <c r="F8" s="84">
        <f t="shared" si="1"/>
        <v>0</v>
      </c>
      <c r="G8" s="84">
        <f t="shared" si="1"/>
        <v>0</v>
      </c>
      <c r="H8" s="84">
        <f t="shared" si="1"/>
        <v>0</v>
      </c>
    </row>
    <row r="9" spans="1:10" s="7" customFormat="1" ht="24.95" customHeight="1">
      <c r="A9" s="33"/>
      <c r="B9" s="29"/>
      <c r="C9" s="29"/>
      <c r="D9" s="29"/>
      <c r="E9" s="29"/>
      <c r="F9" s="29"/>
      <c r="G9" s="63" t="s">
        <v>37</v>
      </c>
      <c r="H9" s="64">
        <f>SUM(B8:H8)</f>
        <v>0</v>
      </c>
    </row>
    <row r="10" spans="1:10" s="7" customFormat="1">
      <c r="A10" s="182" t="s">
        <v>136</v>
      </c>
      <c r="B10" s="183"/>
      <c r="C10" s="183"/>
      <c r="D10" s="183"/>
      <c r="E10" s="183"/>
      <c r="F10" s="183"/>
      <c r="G10" s="65" t="s">
        <v>39</v>
      </c>
      <c r="H10" s="66">
        <v>-0.15</v>
      </c>
      <c r="I10" s="5"/>
      <c r="J10" s="26"/>
    </row>
    <row r="11" spans="1:10" s="7" customFormat="1" ht="30" customHeight="1">
      <c r="A11" s="39" t="s">
        <v>8</v>
      </c>
      <c r="B11" s="9"/>
      <c r="C11" s="9"/>
      <c r="D11" s="67"/>
      <c r="E11" s="67"/>
      <c r="F11" s="9"/>
      <c r="G11" s="68"/>
      <c r="H11" s="69"/>
    </row>
    <row r="12" spans="1:10" s="7" customFormat="1" ht="30" customHeight="1">
      <c r="A12" s="70" t="s">
        <v>23</v>
      </c>
      <c r="B12" s="59"/>
      <c r="C12" s="58"/>
      <c r="D12" s="58"/>
      <c r="E12" s="58"/>
      <c r="F12" s="58"/>
      <c r="G12" s="58"/>
      <c r="H12" s="58"/>
    </row>
    <row r="13" spans="1:10" s="7" customFormat="1" ht="30" customHeight="1">
      <c r="A13" s="3" t="s">
        <v>35</v>
      </c>
      <c r="B13" s="8"/>
      <c r="C13" s="8"/>
      <c r="D13" s="8"/>
      <c r="E13" s="8"/>
      <c r="F13" s="8"/>
      <c r="G13" s="8"/>
      <c r="H13" s="8"/>
    </row>
    <row r="14" spans="1:10" s="7" customFormat="1" ht="27" customHeight="1">
      <c r="A14" s="85" t="s">
        <v>36</v>
      </c>
      <c r="B14" s="87">
        <f t="shared" ref="B14:H14" si="2">B11+B12+B13</f>
        <v>0</v>
      </c>
      <c r="C14" s="87">
        <f t="shared" si="2"/>
        <v>0</v>
      </c>
      <c r="D14" s="87">
        <f t="shared" si="2"/>
        <v>0</v>
      </c>
      <c r="E14" s="87">
        <f t="shared" si="2"/>
        <v>0</v>
      </c>
      <c r="F14" s="87">
        <f t="shared" si="2"/>
        <v>0</v>
      </c>
      <c r="G14" s="87">
        <f t="shared" si="2"/>
        <v>0</v>
      </c>
      <c r="H14" s="87">
        <f t="shared" si="2"/>
        <v>0</v>
      </c>
    </row>
    <row r="15" spans="1:10" s="7" customFormat="1" ht="24.95" customHeight="1">
      <c r="A15" s="86" t="s">
        <v>40</v>
      </c>
      <c r="B15" s="92" t="e">
        <f t="shared" ref="B15:H15" si="3">(B14-B8)/B8</f>
        <v>#DIV/0!</v>
      </c>
      <c r="C15" s="93" t="e">
        <f t="shared" si="3"/>
        <v>#DIV/0!</v>
      </c>
      <c r="D15" s="93" t="e">
        <f t="shared" si="3"/>
        <v>#DIV/0!</v>
      </c>
      <c r="E15" s="93" t="e">
        <f t="shared" si="3"/>
        <v>#DIV/0!</v>
      </c>
      <c r="F15" s="93" t="e">
        <f t="shared" si="3"/>
        <v>#DIV/0!</v>
      </c>
      <c r="G15" s="93" t="e">
        <f t="shared" si="3"/>
        <v>#DIV/0!</v>
      </c>
      <c r="H15" s="94" t="e">
        <f t="shared" si="3"/>
        <v>#DIV/0!</v>
      </c>
      <c r="I15" s="71"/>
    </row>
    <row r="16" spans="1:10" ht="30" customHeight="1">
      <c r="B16" s="88"/>
      <c r="C16" s="88"/>
      <c r="D16" s="88"/>
      <c r="E16" s="88"/>
      <c r="F16" s="89"/>
      <c r="G16" s="90" t="s">
        <v>37</v>
      </c>
      <c r="H16" s="91">
        <f>SUM(B14:H14)</f>
        <v>0</v>
      </c>
    </row>
    <row r="17" spans="1:8" s="7" customFormat="1">
      <c r="A17" s="184" t="s">
        <v>41</v>
      </c>
      <c r="B17" s="185"/>
      <c r="C17" s="185"/>
      <c r="D17" s="185"/>
      <c r="E17" s="185"/>
      <c r="F17" s="185"/>
      <c r="G17" s="72" t="s">
        <v>42</v>
      </c>
      <c r="H17" s="66" t="e">
        <f>(H16-H9)/H9</f>
        <v>#DIV/0!</v>
      </c>
    </row>
    <row r="18" spans="1:8" s="7" customFormat="1" ht="30" customHeight="1">
      <c r="A18" s="35" t="s">
        <v>43</v>
      </c>
      <c r="B18" s="12"/>
      <c r="C18" s="12"/>
      <c r="D18" s="73"/>
      <c r="E18" s="73"/>
      <c r="F18" s="12"/>
      <c r="G18" s="24"/>
      <c r="H18" s="74"/>
    </row>
    <row r="19" spans="1:8" s="7" customFormat="1" ht="30" customHeight="1">
      <c r="A19" s="35" t="str">
        <f>'Week. 13'!A31</f>
        <v>Non Meal Plan Meals</v>
      </c>
      <c r="B19" s="12"/>
      <c r="C19" s="12"/>
      <c r="D19" s="73"/>
      <c r="E19" s="73"/>
      <c r="F19" s="12"/>
      <c r="G19" s="24"/>
      <c r="H19" s="74"/>
    </row>
    <row r="20" spans="1:8" s="7" customFormat="1" ht="30" customHeight="1">
      <c r="A20" s="35" t="str">
        <f>'Week. 13'!A32</f>
        <v xml:space="preserve">Meal numbers </v>
      </c>
      <c r="B20" s="95"/>
      <c r="C20" s="95"/>
      <c r="D20" s="67"/>
      <c r="E20" s="67"/>
      <c r="F20" s="95"/>
      <c r="G20" s="95"/>
      <c r="H20" s="75"/>
    </row>
    <row r="21" spans="1:8" s="7" customFormat="1" ht="24.95" customHeight="1">
      <c r="A21" s="36" t="s">
        <v>45</v>
      </c>
      <c r="B21" s="77">
        <f t="shared" ref="B21:G21" si="4">B18+B20</f>
        <v>0</v>
      </c>
      <c r="C21" s="77">
        <f t="shared" si="4"/>
        <v>0</v>
      </c>
      <c r="D21" s="96"/>
      <c r="E21" s="96"/>
      <c r="F21" s="77">
        <f t="shared" si="4"/>
        <v>0</v>
      </c>
      <c r="G21" s="77">
        <f t="shared" si="4"/>
        <v>0</v>
      </c>
      <c r="H21" s="77">
        <f>H18+H20</f>
        <v>0</v>
      </c>
    </row>
    <row r="22" spans="1:8" s="7" customFormat="1" ht="24.95" customHeight="1">
      <c r="A22" s="34" t="s">
        <v>40</v>
      </c>
      <c r="B22" s="92" t="e">
        <f>(B21-B5)/B5</f>
        <v>#DIV/0!</v>
      </c>
      <c r="C22" s="93" t="e">
        <f>(C21-C5)/C5</f>
        <v>#DIV/0!</v>
      </c>
      <c r="D22" s="99"/>
      <c r="E22" s="99"/>
      <c r="F22" s="93" t="e">
        <f>(F21-F5)/F5</f>
        <v>#DIV/0!</v>
      </c>
      <c r="G22" s="93" t="e">
        <f>(G21-G5)/G5</f>
        <v>#DIV/0!</v>
      </c>
      <c r="H22" s="94" t="e">
        <f>(H21-H5)/H5</f>
        <v>#DIV/0!</v>
      </c>
    </row>
    <row r="23" spans="1:8" s="7" customFormat="1">
      <c r="A23" s="186" t="s">
        <v>46</v>
      </c>
      <c r="B23" s="187"/>
      <c r="C23" s="187"/>
      <c r="D23" s="187"/>
      <c r="E23" s="187"/>
      <c r="F23" s="188" t="s">
        <v>47</v>
      </c>
      <c r="G23" s="97"/>
      <c r="H23" s="98"/>
    </row>
    <row r="24" spans="1:8" s="7" customFormat="1" ht="30" customHeight="1">
      <c r="A24" s="35" t="s">
        <v>43</v>
      </c>
      <c r="B24" s="11"/>
      <c r="C24" s="12"/>
      <c r="D24" s="12"/>
      <c r="E24" s="12"/>
      <c r="F24" s="12"/>
      <c r="G24" s="12"/>
      <c r="H24" s="11"/>
    </row>
    <row r="25" spans="1:8" s="7" customFormat="1" ht="30" customHeight="1">
      <c r="A25" s="35" t="str">
        <f>A19</f>
        <v>Non Meal Plan Meals</v>
      </c>
      <c r="B25" s="117"/>
      <c r="C25" s="117"/>
      <c r="D25" s="117"/>
      <c r="E25" s="117"/>
      <c r="F25" s="117"/>
      <c r="G25" s="117"/>
      <c r="H25" s="117"/>
    </row>
    <row r="26" spans="1:8" s="7" customFormat="1" ht="30" customHeight="1">
      <c r="A26" s="35" t="str">
        <f>A20</f>
        <v xml:space="preserve">Meal numbers </v>
      </c>
      <c r="B26" s="11"/>
      <c r="C26" s="11"/>
      <c r="D26" s="11"/>
      <c r="E26" s="11"/>
      <c r="F26" s="11"/>
      <c r="G26" s="11"/>
      <c r="H26" s="11"/>
    </row>
    <row r="27" spans="1:8" s="7" customFormat="1" ht="27.95" customHeight="1">
      <c r="A27" s="36" t="s">
        <v>50</v>
      </c>
      <c r="B27" s="100">
        <f>B24+B25+B26</f>
        <v>0</v>
      </c>
      <c r="C27" s="100">
        <f t="shared" ref="C27:G27" si="5">C24+C25+C26</f>
        <v>0</v>
      </c>
      <c r="D27" s="100">
        <f t="shared" si="5"/>
        <v>0</v>
      </c>
      <c r="E27" s="100">
        <f t="shared" si="5"/>
        <v>0</v>
      </c>
      <c r="F27" s="100">
        <f t="shared" si="5"/>
        <v>0</v>
      </c>
      <c r="G27" s="100">
        <f t="shared" si="5"/>
        <v>0</v>
      </c>
      <c r="H27" s="100">
        <f>H24+H25+H26</f>
        <v>0</v>
      </c>
    </row>
    <row r="28" spans="1:8" s="7" customFormat="1" ht="24.95" customHeight="1">
      <c r="A28" s="34" t="s">
        <v>40</v>
      </c>
      <c r="B28" s="92" t="e">
        <f t="shared" ref="B28:H28" si="6">(B27-B6)/B6</f>
        <v>#DIV/0!</v>
      </c>
      <c r="C28" s="93" t="e">
        <f t="shared" si="6"/>
        <v>#DIV/0!</v>
      </c>
      <c r="D28" s="93" t="e">
        <f t="shared" si="6"/>
        <v>#DIV/0!</v>
      </c>
      <c r="E28" s="93" t="e">
        <f t="shared" si="6"/>
        <v>#DIV/0!</v>
      </c>
      <c r="F28" s="93" t="e">
        <f t="shared" si="6"/>
        <v>#DIV/0!</v>
      </c>
      <c r="G28" s="93" t="e">
        <f t="shared" si="6"/>
        <v>#DIV/0!</v>
      </c>
      <c r="H28" s="94" t="e">
        <f t="shared" si="6"/>
        <v>#DIV/0!</v>
      </c>
    </row>
    <row r="29" spans="1:8" s="7" customFormat="1">
      <c r="A29" s="189" t="s">
        <v>51</v>
      </c>
      <c r="B29" s="190"/>
      <c r="C29" s="190"/>
      <c r="D29" s="190"/>
      <c r="E29" s="190"/>
      <c r="F29" s="191" t="s">
        <v>35</v>
      </c>
      <c r="G29" s="101"/>
      <c r="H29" s="102"/>
    </row>
    <row r="30" spans="1:8" s="7" customFormat="1" ht="30" customHeight="1">
      <c r="A30" s="35" t="s">
        <v>43</v>
      </c>
      <c r="B30" s="10"/>
      <c r="C30" s="9"/>
      <c r="D30" s="9"/>
      <c r="E30" s="9"/>
      <c r="F30" s="9"/>
      <c r="G30" s="9"/>
      <c r="H30" s="10"/>
    </row>
    <row r="31" spans="1:8" s="7" customFormat="1" ht="30" customHeight="1">
      <c r="A31" s="35" t="str">
        <f>A25</f>
        <v>Non Meal Plan Meals</v>
      </c>
      <c r="B31" s="60"/>
      <c r="C31" s="60"/>
      <c r="D31" s="60"/>
      <c r="E31" s="60"/>
      <c r="F31" s="60"/>
      <c r="G31" s="60"/>
      <c r="H31" s="60"/>
    </row>
    <row r="32" spans="1:8" s="7" customFormat="1" ht="30" customHeight="1">
      <c r="A32" s="35" t="str">
        <f>A26</f>
        <v xml:space="preserve">Meal numbers </v>
      </c>
      <c r="B32" s="10"/>
      <c r="C32" s="10"/>
      <c r="D32" s="10"/>
      <c r="E32" s="10"/>
      <c r="F32" s="10"/>
      <c r="G32" s="10"/>
      <c r="H32" s="10"/>
    </row>
    <row r="33" spans="1:12" s="7" customFormat="1" ht="30.95" customHeight="1">
      <c r="A33" s="36" t="s">
        <v>53</v>
      </c>
      <c r="B33" s="103">
        <f>B30+B31+B32</f>
        <v>0</v>
      </c>
      <c r="C33" s="103">
        <f t="shared" ref="C33:G33" si="7">C30+C31+C32</f>
        <v>0</v>
      </c>
      <c r="D33" s="103">
        <f t="shared" si="7"/>
        <v>0</v>
      </c>
      <c r="E33" s="103">
        <f t="shared" si="7"/>
        <v>0</v>
      </c>
      <c r="F33" s="103">
        <f t="shared" si="7"/>
        <v>0</v>
      </c>
      <c r="G33" s="103">
        <f t="shared" si="7"/>
        <v>0</v>
      </c>
      <c r="H33" s="103">
        <f>H30+H31+H32</f>
        <v>0</v>
      </c>
    </row>
    <row r="34" spans="1:12" s="7" customFormat="1" ht="24.95" customHeight="1">
      <c r="A34" s="34" t="s">
        <v>40</v>
      </c>
      <c r="B34" s="92" t="e">
        <f t="shared" ref="B34:H34" si="8">(B33-B7)/B7</f>
        <v>#DIV/0!</v>
      </c>
      <c r="C34" s="93" t="e">
        <f t="shared" si="8"/>
        <v>#DIV/0!</v>
      </c>
      <c r="D34" s="93" t="e">
        <f t="shared" si="8"/>
        <v>#DIV/0!</v>
      </c>
      <c r="E34" s="93" t="e">
        <f t="shared" si="8"/>
        <v>#DIV/0!</v>
      </c>
      <c r="F34" s="93" t="e">
        <f t="shared" si="8"/>
        <v>#DIV/0!</v>
      </c>
      <c r="G34" s="93" t="e">
        <f t="shared" si="8"/>
        <v>#DIV/0!</v>
      </c>
      <c r="H34" s="94" t="e">
        <f t="shared" si="8"/>
        <v>#DIV/0!</v>
      </c>
    </row>
    <row r="35" spans="1:12" s="7" customFormat="1">
      <c r="A35" s="192" t="s">
        <v>54</v>
      </c>
      <c r="B35" s="193"/>
      <c r="C35" s="193"/>
      <c r="D35" s="193"/>
      <c r="E35" s="193"/>
      <c r="F35" s="194" t="s">
        <v>35</v>
      </c>
      <c r="G35" s="104"/>
      <c r="H35" s="105"/>
    </row>
    <row r="36" spans="1:12" s="7" customFormat="1" ht="30.95" customHeight="1">
      <c r="A36" s="78" t="s">
        <v>55</v>
      </c>
      <c r="B36" s="77">
        <f>B33+B27+B21</f>
        <v>0</v>
      </c>
      <c r="C36" s="77">
        <f t="shared" ref="C36:H36" si="9">C33+C27+C21</f>
        <v>0</v>
      </c>
      <c r="D36" s="77">
        <f t="shared" si="9"/>
        <v>0</v>
      </c>
      <c r="E36" s="77">
        <f t="shared" si="9"/>
        <v>0</v>
      </c>
      <c r="F36" s="77">
        <f t="shared" si="9"/>
        <v>0</v>
      </c>
      <c r="G36" s="77">
        <f t="shared" si="9"/>
        <v>0</v>
      </c>
      <c r="H36" s="77">
        <f t="shared" si="9"/>
        <v>0</v>
      </c>
    </row>
    <row r="37" spans="1:12" s="7" customFormat="1" ht="24.95" customHeight="1">
      <c r="A37" s="34" t="s">
        <v>40</v>
      </c>
      <c r="B37" s="92" t="e">
        <f t="shared" ref="B37:H37" si="10">(B36-B8)/B8</f>
        <v>#DIV/0!</v>
      </c>
      <c r="C37" s="93" t="e">
        <f t="shared" si="10"/>
        <v>#DIV/0!</v>
      </c>
      <c r="D37" s="93" t="e">
        <f t="shared" si="10"/>
        <v>#DIV/0!</v>
      </c>
      <c r="E37" s="93" t="e">
        <f t="shared" si="10"/>
        <v>#DIV/0!</v>
      </c>
      <c r="F37" s="93" t="e">
        <f t="shared" si="10"/>
        <v>#DIV/0!</v>
      </c>
      <c r="G37" s="93" t="e">
        <f t="shared" si="10"/>
        <v>#DIV/0!</v>
      </c>
      <c r="H37" s="94" t="e">
        <f t="shared" si="10"/>
        <v>#DIV/0!</v>
      </c>
    </row>
    <row r="38" spans="1:12" ht="30" customHeight="1">
      <c r="A38" s="195"/>
      <c r="B38" s="196"/>
      <c r="C38" s="196"/>
      <c r="D38" s="196"/>
      <c r="E38" s="196"/>
      <c r="F38" s="196"/>
      <c r="G38" s="106" t="s">
        <v>37</v>
      </c>
      <c r="H38" s="107">
        <f>SUM(B36:H36)</f>
        <v>0</v>
      </c>
    </row>
    <row r="39" spans="1:12" s="7" customFormat="1" ht="24.95" customHeight="1">
      <c r="A39" s="37"/>
      <c r="B39" s="25"/>
      <c r="C39" s="25"/>
      <c r="D39" s="25"/>
      <c r="E39" s="25"/>
      <c r="F39" s="25"/>
      <c r="G39" s="79" t="s">
        <v>40</v>
      </c>
      <c r="H39" s="80" t="e">
        <f>(H38-H9)/H9</f>
        <v>#DIV/0!</v>
      </c>
    </row>
    <row r="40" spans="1:12" s="7" customFormat="1" ht="24.95" customHeight="1">
      <c r="A40" s="37"/>
      <c r="B40" s="25"/>
      <c r="C40" s="25"/>
      <c r="D40" s="25"/>
      <c r="E40" s="25"/>
      <c r="F40" s="25"/>
      <c r="G40" s="81" t="s">
        <v>56</v>
      </c>
      <c r="H40" s="82" t="e">
        <f>(H38-H16)/H16</f>
        <v>#DIV/0!</v>
      </c>
    </row>
    <row r="41" spans="1:12" s="46" customFormat="1" ht="23.1" customHeight="1">
      <c r="A41" s="40"/>
      <c r="B41" s="47" t="s">
        <v>57</v>
      </c>
      <c r="C41" s="197" t="s">
        <v>58</v>
      </c>
      <c r="D41" s="197"/>
      <c r="E41" s="197"/>
      <c r="F41" s="197"/>
      <c r="G41" s="198">
        <v>2022</v>
      </c>
      <c r="H41" s="199"/>
    </row>
    <row r="42" spans="1:12" ht="30" customHeight="1">
      <c r="A42" s="1" t="s">
        <v>60</v>
      </c>
      <c r="B42" s="57" t="s">
        <v>59</v>
      </c>
      <c r="C42" s="180"/>
      <c r="D42" s="180"/>
      <c r="E42" s="180"/>
      <c r="F42" s="180"/>
      <c r="G42" s="178"/>
      <c r="H42" s="179"/>
      <c r="L42" s="7" t="s">
        <v>61</v>
      </c>
    </row>
    <row r="43" spans="1:12" ht="30" customHeight="1">
      <c r="A43" s="1" t="s">
        <v>1</v>
      </c>
      <c r="B43" s="57" t="s">
        <v>59</v>
      </c>
      <c r="C43" s="180"/>
      <c r="D43" s="180"/>
      <c r="E43" s="180"/>
      <c r="F43" s="180"/>
      <c r="G43" s="178"/>
      <c r="H43" s="179"/>
      <c r="L43" s="5" t="s">
        <v>62</v>
      </c>
    </row>
    <row r="44" spans="1:12" ht="30" customHeight="1">
      <c r="A44" s="1" t="s">
        <v>2</v>
      </c>
      <c r="B44" s="57" t="s">
        <v>59</v>
      </c>
      <c r="C44" s="175"/>
      <c r="D44" s="175"/>
      <c r="E44" s="175"/>
      <c r="F44" s="175"/>
      <c r="G44" s="176"/>
      <c r="H44" s="177"/>
      <c r="L44" s="5" t="s">
        <v>63</v>
      </c>
    </row>
    <row r="45" spans="1:12" ht="30" customHeight="1">
      <c r="A45" s="1" t="s">
        <v>3</v>
      </c>
      <c r="B45" s="57" t="s">
        <v>59</v>
      </c>
      <c r="C45" s="175"/>
      <c r="D45" s="175"/>
      <c r="E45" s="175"/>
      <c r="F45" s="175"/>
      <c r="G45" s="176"/>
      <c r="H45" s="177"/>
      <c r="L45" s="5" t="s">
        <v>64</v>
      </c>
    </row>
    <row r="46" spans="1:12" ht="30.95" customHeight="1">
      <c r="A46" s="1" t="s">
        <v>4</v>
      </c>
      <c r="B46" s="57" t="s">
        <v>59</v>
      </c>
      <c r="C46" s="175"/>
      <c r="D46" s="175"/>
      <c r="E46" s="175"/>
      <c r="F46" s="175"/>
      <c r="G46" s="176"/>
      <c r="H46" s="177"/>
    </row>
    <row r="47" spans="1:12" ht="30" customHeight="1">
      <c r="A47" s="1" t="s">
        <v>5</v>
      </c>
      <c r="B47" s="57" t="s">
        <v>59</v>
      </c>
      <c r="C47" s="175"/>
      <c r="D47" s="175"/>
      <c r="E47" s="175"/>
      <c r="F47" s="175"/>
      <c r="G47" s="176"/>
      <c r="H47" s="177"/>
    </row>
    <row r="48" spans="1:12" ht="30" customHeight="1">
      <c r="A48" s="1" t="s">
        <v>6</v>
      </c>
      <c r="B48" s="57" t="s">
        <v>59</v>
      </c>
      <c r="C48" s="175"/>
      <c r="D48" s="175"/>
      <c r="E48" s="175"/>
      <c r="F48" s="175"/>
      <c r="G48" s="176"/>
      <c r="H48" s="177"/>
    </row>
    <row r="49" spans="1:8" ht="30" customHeight="1">
      <c r="A49" s="1"/>
      <c r="B49" s="14"/>
      <c r="C49" s="175"/>
      <c r="D49" s="175"/>
      <c r="E49" s="175"/>
      <c r="F49" s="175"/>
      <c r="G49" s="176"/>
      <c r="H49" s="177"/>
    </row>
    <row r="50" spans="1:8" ht="30" customHeight="1">
      <c r="A50" s="2"/>
      <c r="B50" s="14"/>
      <c r="C50" s="175"/>
      <c r="D50" s="175"/>
      <c r="E50" s="175"/>
      <c r="F50" s="175"/>
      <c r="G50" s="176"/>
      <c r="H50" s="177"/>
    </row>
    <row r="51" spans="1:8">
      <c r="A51" s="30"/>
      <c r="B51" s="18" t="s">
        <v>27</v>
      </c>
      <c r="C51" s="18" t="s">
        <v>28</v>
      </c>
      <c r="D51" s="18" t="s">
        <v>65</v>
      </c>
      <c r="E51" s="18" t="s">
        <v>30</v>
      </c>
      <c r="F51" s="18" t="s">
        <v>66</v>
      </c>
      <c r="G51" s="18" t="s">
        <v>32</v>
      </c>
      <c r="H51" s="18" t="s">
        <v>33</v>
      </c>
    </row>
    <row r="52" spans="1:8">
      <c r="A52" s="38" t="s">
        <v>67</v>
      </c>
      <c r="B52" s="15"/>
      <c r="C52" s="20"/>
      <c r="D52" s="20"/>
      <c r="E52" s="20"/>
      <c r="F52" s="20"/>
      <c r="G52" s="20"/>
      <c r="H52" s="15"/>
    </row>
    <row r="53" spans="1:8" customFormat="1" ht="15.75">
      <c r="A53" s="48" t="s">
        <v>68</v>
      </c>
      <c r="B53" s="22"/>
      <c r="C53" s="21"/>
      <c r="D53" s="21"/>
      <c r="E53" s="21"/>
      <c r="F53" s="21"/>
      <c r="G53" s="23" t="s">
        <v>37</v>
      </c>
      <c r="H53" s="23">
        <f>SUM(B52:H52)</f>
        <v>0</v>
      </c>
    </row>
    <row r="54" spans="1:8">
      <c r="A54" s="30"/>
      <c r="B54" s="18" t="s">
        <v>27</v>
      </c>
      <c r="C54" s="18" t="s">
        <v>28</v>
      </c>
      <c r="D54" s="18" t="s">
        <v>65</v>
      </c>
      <c r="E54" s="18" t="s">
        <v>30</v>
      </c>
      <c r="F54" s="18" t="s">
        <v>66</v>
      </c>
      <c r="G54" s="18" t="s">
        <v>32</v>
      </c>
      <c r="H54" s="18" t="s">
        <v>33</v>
      </c>
    </row>
    <row r="55" spans="1:8">
      <c r="A55" s="38" t="s">
        <v>69</v>
      </c>
      <c r="B55" s="51"/>
      <c r="C55" s="52"/>
      <c r="D55" s="52"/>
      <c r="E55" s="52"/>
      <c r="F55" s="52"/>
      <c r="G55" s="20"/>
      <c r="H55" s="15"/>
    </row>
    <row r="56" spans="1:8" customFormat="1" ht="15.75">
      <c r="A56" s="49" t="s">
        <v>70</v>
      </c>
      <c r="B56" s="53"/>
      <c r="C56" s="53" t="s">
        <v>71</v>
      </c>
      <c r="D56" s="54"/>
      <c r="E56" s="54"/>
      <c r="F56" s="55"/>
      <c r="G56" s="50" t="s">
        <v>37</v>
      </c>
      <c r="H56" s="23"/>
    </row>
    <row r="57" spans="1:8">
      <c r="H57" s="16"/>
    </row>
    <row r="58" spans="1:8">
      <c r="H58" s="16"/>
    </row>
    <row r="59" spans="1:8">
      <c r="H59" s="16"/>
    </row>
    <row r="60" spans="1:8">
      <c r="H60" s="16"/>
    </row>
    <row r="61" spans="1:8">
      <c r="H61" s="16"/>
    </row>
    <row r="62" spans="1:8">
      <c r="H62" s="16"/>
    </row>
    <row r="63" spans="1:8">
      <c r="H63" s="16"/>
    </row>
    <row r="64" spans="1:8">
      <c r="B64" s="5"/>
      <c r="H64" s="16"/>
    </row>
    <row r="65" spans="2:8">
      <c r="B65" s="5"/>
      <c r="H65" s="16"/>
    </row>
    <row r="66" spans="2:8">
      <c r="B66" s="5"/>
      <c r="H66" s="16"/>
    </row>
    <row r="67" spans="2:8">
      <c r="B67" s="5"/>
      <c r="H67" s="16"/>
    </row>
    <row r="68" spans="2:8">
      <c r="B68" s="5"/>
      <c r="H68" s="16"/>
    </row>
    <row r="69" spans="2:8">
      <c r="B69" s="5"/>
      <c r="H69" s="16"/>
    </row>
    <row r="70" spans="2:8">
      <c r="B70" s="5"/>
      <c r="H70" s="16"/>
    </row>
    <row r="71" spans="2:8">
      <c r="B71" s="5"/>
      <c r="H71" s="16"/>
    </row>
    <row r="72" spans="2:8">
      <c r="B72" s="5"/>
      <c r="H72" s="16"/>
    </row>
    <row r="73" spans="2:8">
      <c r="B73" s="5"/>
      <c r="H73" s="16"/>
    </row>
    <row r="74" spans="2:8">
      <c r="B74" s="5"/>
      <c r="H74" s="16"/>
    </row>
    <row r="75" spans="2:8">
      <c r="B75" s="5"/>
      <c r="H75" s="16"/>
    </row>
    <row r="76" spans="2:8">
      <c r="B76" s="5"/>
      <c r="H76" s="16"/>
    </row>
    <row r="77" spans="2:8">
      <c r="B77" s="5"/>
      <c r="H77" s="16"/>
    </row>
    <row r="78" spans="2:8">
      <c r="B78" s="5"/>
      <c r="H78" s="16"/>
    </row>
    <row r="79" spans="2:8">
      <c r="B79" s="5"/>
      <c r="H79" s="16"/>
    </row>
    <row r="80" spans="2:8">
      <c r="B80" s="5"/>
      <c r="H80" s="16"/>
    </row>
    <row r="81" spans="2:8">
      <c r="B81" s="5"/>
      <c r="H81" s="16"/>
    </row>
    <row r="82" spans="2:8">
      <c r="B82" s="5"/>
      <c r="H82" s="16"/>
    </row>
    <row r="83" spans="2:8">
      <c r="B83" s="5"/>
      <c r="H83" s="16"/>
    </row>
    <row r="84" spans="2:8">
      <c r="B84" s="5"/>
      <c r="H84" s="16"/>
    </row>
    <row r="85" spans="2:8">
      <c r="B85" s="5"/>
      <c r="H85" s="16"/>
    </row>
    <row r="86" spans="2:8">
      <c r="B86" s="5"/>
      <c r="H86" s="16"/>
    </row>
    <row r="87" spans="2:8">
      <c r="B87" s="5"/>
      <c r="H87" s="16"/>
    </row>
    <row r="88" spans="2:8">
      <c r="B88" s="5"/>
      <c r="H88" s="16"/>
    </row>
    <row r="89" spans="2:8">
      <c r="B89" s="5"/>
      <c r="H89" s="16"/>
    </row>
    <row r="90" spans="2:8">
      <c r="B90" s="5"/>
      <c r="H90" s="16"/>
    </row>
    <row r="91" spans="2:8">
      <c r="B91" s="5"/>
      <c r="H91" s="16"/>
    </row>
    <row r="92" spans="2:8">
      <c r="B92" s="5"/>
      <c r="H92" s="16"/>
    </row>
    <row r="93" spans="2:8">
      <c r="B93" s="5"/>
      <c r="H93" s="16"/>
    </row>
    <row r="94" spans="2:8">
      <c r="B94" s="5"/>
      <c r="H94" s="16"/>
    </row>
    <row r="95" spans="2:8">
      <c r="B95" s="5"/>
      <c r="H95" s="16"/>
    </row>
    <row r="96" spans="2:8">
      <c r="B96" s="5"/>
      <c r="H96" s="16"/>
    </row>
    <row r="97" spans="2:8">
      <c r="B97" s="5"/>
      <c r="H97" s="16"/>
    </row>
    <row r="98" spans="2:8">
      <c r="B98" s="5"/>
      <c r="H98" s="16"/>
    </row>
    <row r="99" spans="2:8">
      <c r="B99" s="5"/>
      <c r="H99" s="16"/>
    </row>
    <row r="100" spans="2:8">
      <c r="B100" s="5"/>
      <c r="H100" s="16"/>
    </row>
    <row r="101" spans="2:8">
      <c r="B101" s="5"/>
      <c r="H101" s="16"/>
    </row>
    <row r="102" spans="2:8">
      <c r="B102" s="5"/>
      <c r="H102" s="16"/>
    </row>
    <row r="103" spans="2:8">
      <c r="B103" s="5"/>
      <c r="H103" s="16"/>
    </row>
    <row r="104" spans="2:8">
      <c r="B104" s="5"/>
      <c r="H104" s="16"/>
    </row>
    <row r="105" spans="2:8">
      <c r="B105" s="5"/>
      <c r="H105" s="16"/>
    </row>
    <row r="106" spans="2:8">
      <c r="B106" s="5"/>
      <c r="H106" s="16"/>
    </row>
    <row r="107" spans="2:8">
      <c r="B107" s="5"/>
      <c r="H107" s="16"/>
    </row>
    <row r="108" spans="2:8">
      <c r="B108" s="5"/>
      <c r="H108" s="16"/>
    </row>
    <row r="109" spans="2:8">
      <c r="B109" s="5"/>
      <c r="H109" s="16"/>
    </row>
    <row r="110" spans="2:8">
      <c r="B110" s="5"/>
      <c r="H110" s="16"/>
    </row>
    <row r="111" spans="2:8">
      <c r="B111" s="5"/>
      <c r="H111" s="16"/>
    </row>
    <row r="112" spans="2:8">
      <c r="B112" s="5"/>
      <c r="H112" s="16"/>
    </row>
    <row r="113" spans="2:8">
      <c r="B113" s="5"/>
      <c r="H113" s="16"/>
    </row>
    <row r="114" spans="2:8">
      <c r="B114" s="5"/>
      <c r="H114" s="16"/>
    </row>
    <row r="115" spans="2:8">
      <c r="B115" s="5"/>
      <c r="H115" s="16"/>
    </row>
    <row r="116" spans="2:8">
      <c r="B116" s="5"/>
      <c r="H116" s="16"/>
    </row>
    <row r="117" spans="2:8">
      <c r="B117" s="5"/>
      <c r="H117" s="16"/>
    </row>
    <row r="118" spans="2:8">
      <c r="B118" s="5"/>
      <c r="H118" s="16"/>
    </row>
    <row r="119" spans="2:8">
      <c r="B119" s="5"/>
      <c r="H119" s="16"/>
    </row>
    <row r="120" spans="2:8">
      <c r="B120" s="5"/>
      <c r="H120" s="16"/>
    </row>
    <row r="121" spans="2:8">
      <c r="B121" s="5"/>
      <c r="H121" s="16"/>
    </row>
    <row r="122" spans="2:8">
      <c r="B122" s="5"/>
      <c r="H122" s="16"/>
    </row>
    <row r="123" spans="2:8">
      <c r="B123" s="5"/>
      <c r="H123" s="16"/>
    </row>
    <row r="124" spans="2:8">
      <c r="B124" s="5"/>
      <c r="H124" s="16"/>
    </row>
    <row r="125" spans="2:8">
      <c r="B125" s="5"/>
      <c r="H125" s="16"/>
    </row>
    <row r="126" spans="2:8">
      <c r="B126" s="5"/>
      <c r="H126" s="16"/>
    </row>
    <row r="127" spans="2:8">
      <c r="B127" s="5"/>
      <c r="H127" s="16"/>
    </row>
    <row r="128" spans="2:8">
      <c r="B128" s="5"/>
      <c r="H128" s="16"/>
    </row>
    <row r="129" spans="2:8">
      <c r="B129" s="5"/>
      <c r="H129" s="16"/>
    </row>
    <row r="130" spans="2:8">
      <c r="B130" s="5"/>
      <c r="H130" s="16"/>
    </row>
    <row r="131" spans="2:8">
      <c r="B131" s="5"/>
      <c r="H131" s="16"/>
    </row>
    <row r="132" spans="2:8">
      <c r="B132" s="5"/>
      <c r="H132" s="16"/>
    </row>
    <row r="133" spans="2:8">
      <c r="B133" s="5"/>
      <c r="H133" s="16"/>
    </row>
    <row r="134" spans="2:8">
      <c r="B134" s="5"/>
      <c r="H134" s="16"/>
    </row>
    <row r="135" spans="2:8">
      <c r="B135" s="5"/>
      <c r="H135" s="16"/>
    </row>
    <row r="136" spans="2:8">
      <c r="B136" s="5"/>
      <c r="H136" s="16"/>
    </row>
    <row r="137" spans="2:8">
      <c r="B137" s="5"/>
      <c r="H137" s="16"/>
    </row>
    <row r="138" spans="2:8">
      <c r="B138" s="5"/>
      <c r="H138" s="16"/>
    </row>
    <row r="139" spans="2:8">
      <c r="B139" s="5"/>
      <c r="H139" s="16"/>
    </row>
    <row r="140" spans="2:8">
      <c r="B140" s="5"/>
      <c r="H140" s="16"/>
    </row>
    <row r="141" spans="2:8">
      <c r="B141" s="5"/>
      <c r="H141" s="16"/>
    </row>
    <row r="142" spans="2:8">
      <c r="B142" s="5"/>
      <c r="H142" s="16"/>
    </row>
    <row r="143" spans="2:8">
      <c r="B143" s="5"/>
      <c r="H143" s="16"/>
    </row>
    <row r="144" spans="2:8">
      <c r="B144" s="5"/>
      <c r="H144" s="16"/>
    </row>
    <row r="145" spans="2:8">
      <c r="B145" s="5"/>
      <c r="H145" s="16"/>
    </row>
    <row r="146" spans="2:8">
      <c r="B146" s="5"/>
      <c r="H146" s="16"/>
    </row>
    <row r="147" spans="2:8">
      <c r="B147" s="5"/>
      <c r="H147" s="16"/>
    </row>
    <row r="148" spans="2:8">
      <c r="B148" s="5"/>
      <c r="H148" s="16"/>
    </row>
    <row r="149" spans="2:8">
      <c r="B149" s="5"/>
      <c r="H149" s="16"/>
    </row>
    <row r="150" spans="2:8">
      <c r="B150" s="5"/>
      <c r="H150" s="16"/>
    </row>
    <row r="151" spans="2:8">
      <c r="B151" s="5"/>
      <c r="H151" s="16"/>
    </row>
    <row r="152" spans="2:8">
      <c r="B152" s="5"/>
      <c r="H152" s="16"/>
    </row>
    <row r="153" spans="2:8">
      <c r="B153" s="5"/>
      <c r="H153" s="16"/>
    </row>
    <row r="154" spans="2:8">
      <c r="B154" s="5"/>
      <c r="H154" s="16"/>
    </row>
    <row r="155" spans="2:8">
      <c r="B155" s="5"/>
      <c r="H155" s="16"/>
    </row>
    <row r="156" spans="2:8">
      <c r="B156" s="5"/>
      <c r="H156" s="16"/>
    </row>
    <row r="157" spans="2:8">
      <c r="B157" s="5"/>
      <c r="H157" s="16"/>
    </row>
    <row r="158" spans="2:8">
      <c r="B158" s="5"/>
      <c r="H158" s="16"/>
    </row>
    <row r="159" spans="2:8">
      <c r="B159" s="5"/>
      <c r="H159" s="16"/>
    </row>
    <row r="160" spans="2:8">
      <c r="B160" s="5"/>
      <c r="H160" s="16"/>
    </row>
    <row r="161" spans="2:8">
      <c r="B161" s="5"/>
      <c r="H161" s="16"/>
    </row>
    <row r="162" spans="2:8">
      <c r="B162" s="5"/>
      <c r="H162" s="16"/>
    </row>
    <row r="163" spans="2:8">
      <c r="B163" s="5"/>
      <c r="H163" s="16"/>
    </row>
    <row r="164" spans="2:8">
      <c r="B164" s="5"/>
      <c r="H164" s="16"/>
    </row>
    <row r="165" spans="2:8">
      <c r="B165" s="5"/>
      <c r="H165" s="16"/>
    </row>
    <row r="166" spans="2:8">
      <c r="B166" s="5"/>
      <c r="H166" s="16"/>
    </row>
    <row r="167" spans="2:8">
      <c r="B167" s="5"/>
      <c r="H167" s="16"/>
    </row>
    <row r="168" spans="2:8">
      <c r="B168" s="5"/>
      <c r="H168" s="16"/>
    </row>
    <row r="169" spans="2:8">
      <c r="B169" s="5"/>
      <c r="H169" s="16"/>
    </row>
    <row r="170" spans="2:8">
      <c r="B170" s="5"/>
      <c r="H170" s="16"/>
    </row>
    <row r="171" spans="2:8">
      <c r="B171" s="5"/>
      <c r="H171" s="16"/>
    </row>
    <row r="172" spans="2:8">
      <c r="B172" s="5"/>
      <c r="H172" s="16"/>
    </row>
    <row r="173" spans="2:8">
      <c r="B173" s="5"/>
      <c r="H173" s="16"/>
    </row>
    <row r="174" spans="2:8">
      <c r="B174" s="5"/>
      <c r="H174" s="16"/>
    </row>
    <row r="175" spans="2:8">
      <c r="B175" s="5"/>
      <c r="H175" s="16"/>
    </row>
    <row r="176" spans="2:8">
      <c r="B176" s="5"/>
      <c r="H176" s="16"/>
    </row>
    <row r="177" spans="2:8">
      <c r="B177" s="5"/>
      <c r="H177" s="16"/>
    </row>
    <row r="178" spans="2:8">
      <c r="B178" s="5"/>
      <c r="H178" s="16"/>
    </row>
    <row r="179" spans="2:8">
      <c r="B179" s="5"/>
      <c r="H179" s="16"/>
    </row>
    <row r="180" spans="2:8">
      <c r="B180" s="5"/>
      <c r="H180" s="16"/>
    </row>
    <row r="181" spans="2:8">
      <c r="B181" s="5"/>
      <c r="H181" s="16"/>
    </row>
    <row r="182" spans="2:8">
      <c r="B182" s="5"/>
      <c r="H182" s="16"/>
    </row>
    <row r="183" spans="2:8">
      <c r="B183" s="5"/>
      <c r="H183" s="16"/>
    </row>
    <row r="184" spans="2:8">
      <c r="B184" s="5"/>
      <c r="H184" s="16"/>
    </row>
    <row r="185" spans="2:8">
      <c r="B185" s="5"/>
      <c r="H185" s="16"/>
    </row>
    <row r="186" spans="2:8">
      <c r="B186" s="5"/>
      <c r="H186" s="16"/>
    </row>
    <row r="187" spans="2:8">
      <c r="B187" s="5"/>
      <c r="H187" s="16"/>
    </row>
    <row r="188" spans="2:8">
      <c r="B188" s="5"/>
      <c r="H188" s="16"/>
    </row>
    <row r="189" spans="2:8">
      <c r="B189" s="5"/>
      <c r="H189" s="16"/>
    </row>
    <row r="190" spans="2:8">
      <c r="B190" s="5"/>
      <c r="H190" s="16"/>
    </row>
    <row r="191" spans="2:8">
      <c r="B191" s="5"/>
      <c r="H191" s="16"/>
    </row>
    <row r="192" spans="2:8">
      <c r="B192" s="5"/>
      <c r="H192" s="16"/>
    </row>
    <row r="193" spans="2:8">
      <c r="B193" s="5"/>
      <c r="H193" s="16"/>
    </row>
    <row r="194" spans="2:8">
      <c r="B194" s="5"/>
      <c r="H194" s="16"/>
    </row>
    <row r="195" spans="2:8">
      <c r="B195" s="5"/>
      <c r="H195" s="16"/>
    </row>
    <row r="196" spans="2:8">
      <c r="B196" s="5"/>
      <c r="H196" s="16"/>
    </row>
    <row r="197" spans="2:8">
      <c r="B197" s="5"/>
      <c r="H197" s="16"/>
    </row>
    <row r="198" spans="2:8">
      <c r="B198" s="5"/>
      <c r="H198" s="16"/>
    </row>
    <row r="199" spans="2:8">
      <c r="B199" s="5"/>
      <c r="H199" s="16"/>
    </row>
    <row r="200" spans="2:8">
      <c r="B200" s="5"/>
      <c r="H200" s="16"/>
    </row>
    <row r="201" spans="2:8">
      <c r="B201" s="5"/>
      <c r="H201" s="16"/>
    </row>
    <row r="202" spans="2:8">
      <c r="B202" s="5"/>
      <c r="H202" s="16"/>
    </row>
    <row r="203" spans="2:8">
      <c r="B203" s="5"/>
      <c r="H203" s="16"/>
    </row>
    <row r="204" spans="2:8">
      <c r="B204" s="5"/>
      <c r="H204" s="16"/>
    </row>
    <row r="205" spans="2:8">
      <c r="B205" s="5"/>
      <c r="H205" s="16"/>
    </row>
    <row r="206" spans="2:8">
      <c r="B206" s="5"/>
      <c r="H206" s="16"/>
    </row>
    <row r="207" spans="2:8">
      <c r="B207" s="5"/>
      <c r="H207" s="16"/>
    </row>
    <row r="208" spans="2:8">
      <c r="B208" s="5"/>
      <c r="H208" s="16"/>
    </row>
    <row r="209" spans="2:8">
      <c r="B209" s="5"/>
      <c r="H209" s="16"/>
    </row>
    <row r="210" spans="2:8">
      <c r="B210" s="5"/>
      <c r="H210" s="16"/>
    </row>
    <row r="211" spans="2:8">
      <c r="B211" s="5"/>
      <c r="H211" s="16"/>
    </row>
    <row r="212" spans="2:8">
      <c r="B212" s="5"/>
      <c r="H212" s="16"/>
    </row>
    <row r="213" spans="2:8">
      <c r="B213" s="5"/>
      <c r="H213" s="16"/>
    </row>
    <row r="214" spans="2:8">
      <c r="B214" s="5"/>
      <c r="H214" s="16"/>
    </row>
    <row r="215" spans="2:8">
      <c r="B215" s="5"/>
      <c r="H215" s="16"/>
    </row>
    <row r="216" spans="2:8">
      <c r="B216" s="5"/>
      <c r="H216" s="16"/>
    </row>
    <row r="217" spans="2:8">
      <c r="B217" s="5"/>
      <c r="H217" s="16"/>
    </row>
    <row r="218" spans="2:8">
      <c r="B218" s="5"/>
      <c r="H218" s="16"/>
    </row>
    <row r="219" spans="2:8">
      <c r="B219" s="5"/>
      <c r="H219" s="16"/>
    </row>
    <row r="220" spans="2:8">
      <c r="B220" s="5"/>
      <c r="H220" s="16"/>
    </row>
    <row r="221" spans="2:8">
      <c r="B221" s="5"/>
      <c r="H221" s="16"/>
    </row>
    <row r="222" spans="2:8">
      <c r="B222" s="5"/>
      <c r="H222" s="16"/>
    </row>
    <row r="223" spans="2:8">
      <c r="B223" s="5"/>
      <c r="H223" s="16"/>
    </row>
    <row r="224" spans="2:8">
      <c r="B224" s="5"/>
      <c r="H224" s="16"/>
    </row>
    <row r="225" spans="2:8">
      <c r="B225" s="5"/>
      <c r="H225" s="16"/>
    </row>
    <row r="226" spans="2:8">
      <c r="B226" s="5"/>
      <c r="H226" s="16"/>
    </row>
    <row r="227" spans="2:8">
      <c r="B227" s="5"/>
      <c r="H227" s="16"/>
    </row>
    <row r="228" spans="2:8">
      <c r="B228" s="5"/>
      <c r="H228" s="16"/>
    </row>
    <row r="229" spans="2:8">
      <c r="B229" s="5"/>
      <c r="H229" s="16"/>
    </row>
    <row r="230" spans="2:8">
      <c r="B230" s="5"/>
      <c r="H230" s="16"/>
    </row>
    <row r="231" spans="2:8">
      <c r="B231" s="5"/>
      <c r="H231" s="16"/>
    </row>
    <row r="232" spans="2:8">
      <c r="B232" s="5"/>
      <c r="H232" s="16"/>
    </row>
    <row r="233" spans="2:8">
      <c r="B233" s="5"/>
      <c r="H233" s="16"/>
    </row>
    <row r="234" spans="2:8">
      <c r="B234" s="5"/>
      <c r="H234" s="16"/>
    </row>
    <row r="235" spans="2:8">
      <c r="B235" s="5"/>
      <c r="H235" s="16"/>
    </row>
    <row r="236" spans="2:8">
      <c r="B236" s="5"/>
      <c r="H236" s="16"/>
    </row>
    <row r="237" spans="2:8">
      <c r="B237" s="5"/>
      <c r="H237" s="16"/>
    </row>
    <row r="238" spans="2:8">
      <c r="B238" s="5"/>
      <c r="H238" s="16"/>
    </row>
    <row r="239" spans="2:8">
      <c r="B239" s="5"/>
      <c r="H239" s="16"/>
    </row>
    <row r="240" spans="2:8">
      <c r="B240" s="5"/>
      <c r="H240" s="16"/>
    </row>
    <row r="241" spans="2:8">
      <c r="B241" s="5"/>
      <c r="H241" s="16"/>
    </row>
    <row r="242" spans="2:8">
      <c r="B242" s="5"/>
      <c r="H242" s="16"/>
    </row>
    <row r="243" spans="2:8">
      <c r="B243" s="5"/>
      <c r="H243" s="16"/>
    </row>
    <row r="244" spans="2:8">
      <c r="B244" s="5"/>
      <c r="H244" s="16"/>
    </row>
    <row r="245" spans="2:8">
      <c r="B245" s="5"/>
      <c r="H245" s="16"/>
    </row>
    <row r="246" spans="2:8">
      <c r="B246" s="5"/>
      <c r="H246" s="16"/>
    </row>
    <row r="247" spans="2:8">
      <c r="B247" s="5"/>
      <c r="H247" s="16"/>
    </row>
    <row r="248" spans="2:8">
      <c r="B248" s="5"/>
      <c r="H248" s="16"/>
    </row>
    <row r="249" spans="2:8">
      <c r="B249" s="5"/>
      <c r="H249" s="16"/>
    </row>
    <row r="250" spans="2:8">
      <c r="B250" s="5"/>
      <c r="H250" s="16"/>
    </row>
    <row r="251" spans="2:8">
      <c r="B251" s="5"/>
      <c r="H251" s="16"/>
    </row>
    <row r="252" spans="2:8">
      <c r="B252" s="5"/>
      <c r="H252" s="16"/>
    </row>
    <row r="253" spans="2:8">
      <c r="B253" s="5"/>
      <c r="H253" s="16"/>
    </row>
    <row r="254" spans="2:8">
      <c r="B254" s="5"/>
      <c r="H254" s="16"/>
    </row>
    <row r="255" spans="2:8">
      <c r="B255" s="5"/>
      <c r="H255" s="16"/>
    </row>
    <row r="256" spans="2:8">
      <c r="B256" s="5"/>
      <c r="H256" s="16"/>
    </row>
    <row r="257" spans="2:8">
      <c r="B257" s="5"/>
      <c r="H257" s="16"/>
    </row>
    <row r="258" spans="2:8">
      <c r="B258" s="5"/>
      <c r="H258" s="16"/>
    </row>
    <row r="259" spans="2:8">
      <c r="B259" s="5"/>
      <c r="H259" s="16"/>
    </row>
    <row r="260" spans="2:8">
      <c r="B260" s="5"/>
      <c r="H260" s="16"/>
    </row>
    <row r="261" spans="2:8">
      <c r="B261" s="5"/>
      <c r="H261" s="16"/>
    </row>
    <row r="262" spans="2:8">
      <c r="B262" s="5"/>
      <c r="H262" s="16"/>
    </row>
    <row r="263" spans="2:8">
      <c r="B263" s="5"/>
      <c r="H263" s="16"/>
    </row>
    <row r="264" spans="2:8">
      <c r="B264" s="5"/>
      <c r="H264" s="16"/>
    </row>
    <row r="265" spans="2:8">
      <c r="B265" s="5"/>
      <c r="H265" s="16"/>
    </row>
    <row r="266" spans="2:8">
      <c r="B266" s="5"/>
      <c r="H266" s="16"/>
    </row>
    <row r="267" spans="2:8">
      <c r="B267" s="5"/>
      <c r="H267" s="16"/>
    </row>
    <row r="268" spans="2:8">
      <c r="B268" s="5"/>
      <c r="H268" s="16"/>
    </row>
    <row r="269" spans="2:8">
      <c r="B269" s="5"/>
      <c r="H269" s="16"/>
    </row>
    <row r="270" spans="2:8">
      <c r="B270" s="5"/>
      <c r="H270" s="16"/>
    </row>
    <row r="271" spans="2:8">
      <c r="B271" s="5"/>
      <c r="H271" s="16"/>
    </row>
    <row r="272" spans="2:8">
      <c r="B272" s="5"/>
      <c r="H272" s="16"/>
    </row>
    <row r="273" spans="2:8">
      <c r="B273" s="5"/>
      <c r="H273" s="16"/>
    </row>
    <row r="274" spans="2:8">
      <c r="B274" s="5"/>
      <c r="H274" s="16"/>
    </row>
    <row r="275" spans="2:8">
      <c r="B275" s="5"/>
      <c r="H275" s="16"/>
    </row>
    <row r="276" spans="2:8">
      <c r="B276" s="5"/>
      <c r="H276" s="16"/>
    </row>
    <row r="277" spans="2:8">
      <c r="B277" s="5"/>
      <c r="H277" s="16"/>
    </row>
    <row r="278" spans="2:8">
      <c r="B278" s="5"/>
      <c r="H278" s="16"/>
    </row>
    <row r="279" spans="2:8">
      <c r="B279" s="5"/>
      <c r="H279" s="16"/>
    </row>
    <row r="280" spans="2:8">
      <c r="B280" s="5"/>
      <c r="H280" s="16"/>
    </row>
    <row r="281" spans="2:8">
      <c r="B281" s="5"/>
      <c r="H281" s="16"/>
    </row>
    <row r="282" spans="2:8">
      <c r="B282" s="5"/>
      <c r="H282" s="16"/>
    </row>
    <row r="283" spans="2:8">
      <c r="B283" s="5"/>
      <c r="H283" s="16"/>
    </row>
    <row r="284" spans="2:8">
      <c r="B284" s="5"/>
      <c r="H284" s="16"/>
    </row>
    <row r="285" spans="2:8">
      <c r="B285" s="5"/>
      <c r="H285" s="16"/>
    </row>
    <row r="286" spans="2:8">
      <c r="B286" s="5"/>
      <c r="H286" s="16"/>
    </row>
    <row r="287" spans="2:8">
      <c r="B287" s="5"/>
      <c r="H287" s="16"/>
    </row>
    <row r="288" spans="2:8">
      <c r="B288" s="5"/>
      <c r="H288" s="16"/>
    </row>
    <row r="289" spans="2:8">
      <c r="B289" s="5"/>
      <c r="H289" s="16"/>
    </row>
    <row r="290" spans="2:8">
      <c r="B290" s="5"/>
      <c r="H290" s="16"/>
    </row>
    <row r="291" spans="2:8">
      <c r="B291" s="5"/>
      <c r="H291" s="16"/>
    </row>
    <row r="292" spans="2:8">
      <c r="B292" s="5"/>
      <c r="H292" s="16"/>
    </row>
    <row r="293" spans="2:8">
      <c r="B293" s="5"/>
      <c r="H293" s="16"/>
    </row>
    <row r="294" spans="2:8">
      <c r="B294" s="5"/>
      <c r="H294" s="16"/>
    </row>
    <row r="295" spans="2:8">
      <c r="B295" s="5"/>
      <c r="H295" s="16"/>
    </row>
    <row r="296" spans="2:8">
      <c r="B296" s="5"/>
      <c r="H296" s="16"/>
    </row>
    <row r="297" spans="2:8">
      <c r="B297" s="5"/>
      <c r="H297" s="16"/>
    </row>
    <row r="298" spans="2:8">
      <c r="B298" s="5"/>
      <c r="H298" s="16"/>
    </row>
    <row r="299" spans="2:8">
      <c r="B299" s="5"/>
      <c r="H299" s="16"/>
    </row>
    <row r="300" spans="2:8">
      <c r="B300" s="5"/>
      <c r="H300" s="16"/>
    </row>
    <row r="301" spans="2:8">
      <c r="B301" s="5"/>
      <c r="H301" s="16"/>
    </row>
    <row r="302" spans="2:8">
      <c r="B302" s="5"/>
      <c r="H302" s="16"/>
    </row>
    <row r="303" spans="2:8">
      <c r="B303" s="5"/>
      <c r="H303" s="16"/>
    </row>
    <row r="304" spans="2:8">
      <c r="B304" s="5"/>
      <c r="H304" s="16"/>
    </row>
    <row r="305" spans="2:8">
      <c r="B305" s="5"/>
      <c r="H305" s="16"/>
    </row>
    <row r="306" spans="2:8">
      <c r="B306" s="5"/>
      <c r="H306" s="16"/>
    </row>
    <row r="307" spans="2:8">
      <c r="B307" s="5"/>
      <c r="H307" s="16"/>
    </row>
    <row r="308" spans="2:8">
      <c r="B308" s="5"/>
      <c r="H308" s="16"/>
    </row>
    <row r="309" spans="2:8">
      <c r="B309" s="5"/>
      <c r="H309" s="16"/>
    </row>
    <row r="310" spans="2:8">
      <c r="B310" s="5"/>
      <c r="H310" s="16"/>
    </row>
    <row r="311" spans="2:8">
      <c r="B311" s="5"/>
      <c r="H311" s="16"/>
    </row>
    <row r="312" spans="2:8">
      <c r="B312" s="5"/>
      <c r="H312" s="16"/>
    </row>
    <row r="313" spans="2:8">
      <c r="B313" s="5"/>
      <c r="H313" s="16"/>
    </row>
    <row r="314" spans="2:8">
      <c r="B314" s="5"/>
      <c r="H314" s="16"/>
    </row>
    <row r="315" spans="2:8">
      <c r="B315" s="5"/>
      <c r="H315" s="16"/>
    </row>
    <row r="316" spans="2:8">
      <c r="B316" s="5"/>
      <c r="H316" s="16"/>
    </row>
    <row r="317" spans="2:8">
      <c r="B317" s="5"/>
      <c r="H317" s="16"/>
    </row>
    <row r="318" spans="2:8">
      <c r="B318" s="5"/>
      <c r="H318" s="16"/>
    </row>
    <row r="319" spans="2:8">
      <c r="B319" s="5"/>
      <c r="H319" s="16"/>
    </row>
    <row r="320" spans="2:8">
      <c r="B320" s="5"/>
      <c r="H320" s="16"/>
    </row>
    <row r="321" spans="2:8">
      <c r="B321" s="5"/>
      <c r="H321" s="16"/>
    </row>
    <row r="322" spans="2:8">
      <c r="B322" s="5"/>
      <c r="H322" s="16"/>
    </row>
    <row r="323" spans="2:8">
      <c r="B323" s="5"/>
      <c r="H323" s="16"/>
    </row>
    <row r="324" spans="2:8">
      <c r="B324" s="5"/>
      <c r="H324" s="16"/>
    </row>
    <row r="325" spans="2:8">
      <c r="B325" s="5"/>
      <c r="H325" s="16"/>
    </row>
    <row r="326" spans="2:8">
      <c r="B326" s="5"/>
      <c r="H326" s="16"/>
    </row>
    <row r="327" spans="2:8">
      <c r="B327" s="5"/>
      <c r="H327" s="16"/>
    </row>
    <row r="328" spans="2:8">
      <c r="B328" s="5"/>
      <c r="H328" s="16"/>
    </row>
    <row r="329" spans="2:8">
      <c r="B329" s="5"/>
      <c r="H329" s="16"/>
    </row>
    <row r="330" spans="2:8">
      <c r="B330" s="5"/>
      <c r="H330" s="16"/>
    </row>
    <row r="331" spans="2:8">
      <c r="B331" s="5"/>
      <c r="H331" s="16"/>
    </row>
    <row r="332" spans="2:8">
      <c r="B332" s="5"/>
      <c r="H332" s="16"/>
    </row>
    <row r="333" spans="2:8">
      <c r="B333" s="5"/>
      <c r="H333" s="16"/>
    </row>
    <row r="334" spans="2:8">
      <c r="B334" s="5"/>
      <c r="H334" s="16"/>
    </row>
    <row r="335" spans="2:8">
      <c r="B335" s="5"/>
      <c r="H335" s="16"/>
    </row>
    <row r="336" spans="2:8">
      <c r="B336" s="5"/>
      <c r="H336" s="16"/>
    </row>
    <row r="337" spans="2:8">
      <c r="B337" s="5"/>
      <c r="H337" s="16"/>
    </row>
    <row r="338" spans="2:8">
      <c r="B338" s="5"/>
      <c r="H338" s="16"/>
    </row>
    <row r="339" spans="2:8">
      <c r="B339" s="5"/>
      <c r="H339" s="16"/>
    </row>
    <row r="340" spans="2:8">
      <c r="B340" s="5"/>
      <c r="H340" s="16"/>
    </row>
    <row r="341" spans="2:8">
      <c r="B341" s="5"/>
      <c r="H341" s="16"/>
    </row>
    <row r="342" spans="2:8">
      <c r="B342" s="5"/>
      <c r="H342" s="16"/>
    </row>
    <row r="343" spans="2:8">
      <c r="B343" s="5"/>
      <c r="H343" s="16"/>
    </row>
    <row r="344" spans="2:8">
      <c r="B344" s="5"/>
      <c r="H344" s="16"/>
    </row>
    <row r="345" spans="2:8">
      <c r="B345" s="5"/>
      <c r="H345" s="16"/>
    </row>
    <row r="346" spans="2:8">
      <c r="B346" s="5"/>
      <c r="H346" s="16"/>
    </row>
    <row r="347" spans="2:8">
      <c r="B347" s="5"/>
      <c r="H347" s="16"/>
    </row>
    <row r="348" spans="2:8">
      <c r="B348" s="5"/>
      <c r="H348" s="16"/>
    </row>
    <row r="349" spans="2:8">
      <c r="B349" s="5"/>
      <c r="H349" s="16"/>
    </row>
    <row r="350" spans="2:8">
      <c r="B350" s="5"/>
      <c r="H350" s="16"/>
    </row>
    <row r="351" spans="2:8">
      <c r="B351" s="5"/>
      <c r="H351" s="16"/>
    </row>
    <row r="352" spans="2:8">
      <c r="B352" s="5"/>
      <c r="H352" s="16"/>
    </row>
    <row r="353" spans="2:8">
      <c r="B353" s="5"/>
      <c r="H353" s="16"/>
    </row>
    <row r="354" spans="2:8">
      <c r="B354" s="5"/>
      <c r="H354" s="16"/>
    </row>
    <row r="355" spans="2:8">
      <c r="B355" s="5"/>
      <c r="H355" s="16"/>
    </row>
    <row r="356" spans="2:8">
      <c r="B356" s="5"/>
      <c r="H356" s="16"/>
    </row>
    <row r="357" spans="2:8">
      <c r="B357" s="5"/>
      <c r="H357" s="16"/>
    </row>
    <row r="358" spans="2:8">
      <c r="B358" s="5"/>
      <c r="H358" s="16"/>
    </row>
    <row r="359" spans="2:8">
      <c r="B359" s="5"/>
      <c r="H359" s="16"/>
    </row>
    <row r="360" spans="2:8">
      <c r="B360" s="5"/>
      <c r="H360" s="16"/>
    </row>
    <row r="361" spans="2:8">
      <c r="B361" s="5"/>
      <c r="H361" s="16"/>
    </row>
    <row r="362" spans="2:8">
      <c r="B362" s="5"/>
      <c r="H362" s="16"/>
    </row>
    <row r="363" spans="2:8">
      <c r="B363" s="5"/>
      <c r="H363" s="16"/>
    </row>
    <row r="364" spans="2:8">
      <c r="B364" s="5"/>
      <c r="H364" s="16"/>
    </row>
    <row r="365" spans="2:8">
      <c r="B365" s="5"/>
      <c r="H365" s="16"/>
    </row>
    <row r="366" spans="2:8">
      <c r="B366" s="5"/>
      <c r="H366" s="16"/>
    </row>
    <row r="367" spans="2:8">
      <c r="B367" s="5"/>
      <c r="H367" s="16"/>
    </row>
    <row r="368" spans="2:8">
      <c r="B368" s="5"/>
      <c r="H368" s="16"/>
    </row>
    <row r="369" spans="2:8">
      <c r="B369" s="5"/>
      <c r="H369" s="16"/>
    </row>
    <row r="370" spans="2:8">
      <c r="B370" s="5"/>
      <c r="H370" s="16"/>
    </row>
    <row r="371" spans="2:8">
      <c r="B371" s="5"/>
      <c r="H371" s="16"/>
    </row>
    <row r="372" spans="2:8">
      <c r="B372" s="5"/>
      <c r="H372" s="16"/>
    </row>
    <row r="373" spans="2:8">
      <c r="B373" s="5"/>
      <c r="H373" s="16"/>
    </row>
    <row r="374" spans="2:8">
      <c r="B374" s="5"/>
      <c r="H374" s="16"/>
    </row>
    <row r="375" spans="2:8">
      <c r="B375" s="5"/>
      <c r="H375" s="16"/>
    </row>
    <row r="376" spans="2:8">
      <c r="B376" s="5"/>
      <c r="H376" s="16"/>
    </row>
    <row r="377" spans="2:8">
      <c r="B377" s="5"/>
      <c r="H377" s="16"/>
    </row>
    <row r="378" spans="2:8">
      <c r="B378" s="5"/>
      <c r="H378" s="16"/>
    </row>
    <row r="379" spans="2:8">
      <c r="B379" s="5"/>
      <c r="H379" s="16"/>
    </row>
    <row r="380" spans="2:8">
      <c r="B380" s="5"/>
      <c r="H380" s="16"/>
    </row>
    <row r="381" spans="2:8">
      <c r="B381" s="5"/>
      <c r="H381" s="16"/>
    </row>
    <row r="382" spans="2:8">
      <c r="B382" s="5"/>
      <c r="H382" s="16"/>
    </row>
    <row r="383" spans="2:8">
      <c r="B383" s="5"/>
      <c r="H383" s="16"/>
    </row>
    <row r="384" spans="2:8">
      <c r="B384" s="5"/>
      <c r="H384" s="16"/>
    </row>
    <row r="385" spans="2:8">
      <c r="B385" s="5"/>
      <c r="H385" s="16"/>
    </row>
    <row r="386" spans="2:8">
      <c r="B386" s="5"/>
      <c r="H386" s="16"/>
    </row>
    <row r="387" spans="2:8">
      <c r="B387" s="5"/>
      <c r="H387" s="16"/>
    </row>
    <row r="388" spans="2:8">
      <c r="B388" s="5"/>
      <c r="H388" s="16"/>
    </row>
    <row r="389" spans="2:8">
      <c r="B389" s="5"/>
      <c r="H389" s="16"/>
    </row>
    <row r="390" spans="2:8">
      <c r="B390" s="5"/>
      <c r="H390" s="16"/>
    </row>
    <row r="391" spans="2:8">
      <c r="B391" s="5"/>
      <c r="H391" s="16"/>
    </row>
    <row r="392" spans="2:8">
      <c r="B392" s="5"/>
      <c r="H392" s="16"/>
    </row>
    <row r="393" spans="2:8">
      <c r="B393" s="5"/>
      <c r="H393" s="16"/>
    </row>
    <row r="394" spans="2:8">
      <c r="B394" s="5"/>
      <c r="H394" s="16"/>
    </row>
    <row r="395" spans="2:8">
      <c r="B395" s="5"/>
      <c r="H395" s="16"/>
    </row>
    <row r="396" spans="2:8">
      <c r="B396" s="5"/>
      <c r="H396" s="16"/>
    </row>
    <row r="397" spans="2:8">
      <c r="B397" s="5"/>
      <c r="H397" s="16"/>
    </row>
    <row r="398" spans="2:8">
      <c r="B398" s="5"/>
      <c r="H398" s="16"/>
    </row>
    <row r="399" spans="2:8">
      <c r="B399" s="5"/>
      <c r="H399" s="16"/>
    </row>
    <row r="400" spans="2:8">
      <c r="B400" s="5"/>
      <c r="H400" s="16"/>
    </row>
    <row r="401" spans="2:8">
      <c r="B401" s="5"/>
      <c r="H401" s="16"/>
    </row>
    <row r="402" spans="2:8">
      <c r="B402" s="5"/>
      <c r="H402" s="16"/>
    </row>
    <row r="403" spans="2:8">
      <c r="B403" s="5"/>
      <c r="H403" s="16"/>
    </row>
    <row r="404" spans="2:8">
      <c r="B404" s="5"/>
      <c r="H404" s="16"/>
    </row>
    <row r="405" spans="2:8">
      <c r="B405" s="5"/>
      <c r="H405" s="16"/>
    </row>
    <row r="406" spans="2:8">
      <c r="B406" s="5"/>
      <c r="H406" s="16"/>
    </row>
    <row r="407" spans="2:8">
      <c r="B407" s="5"/>
      <c r="H407" s="16"/>
    </row>
    <row r="408" spans="2:8">
      <c r="B408" s="5"/>
      <c r="H408" s="16"/>
    </row>
    <row r="409" spans="2:8">
      <c r="B409" s="5"/>
      <c r="H409" s="16"/>
    </row>
    <row r="410" spans="2:8">
      <c r="B410" s="5"/>
      <c r="H410" s="16"/>
    </row>
    <row r="411" spans="2:8">
      <c r="B411" s="5"/>
      <c r="H411" s="16"/>
    </row>
    <row r="412" spans="2:8">
      <c r="B412" s="5"/>
      <c r="H412" s="16"/>
    </row>
    <row r="413" spans="2:8">
      <c r="B413" s="5"/>
      <c r="H413" s="16"/>
    </row>
    <row r="414" spans="2:8">
      <c r="B414" s="5"/>
      <c r="H414" s="16"/>
    </row>
    <row r="415" spans="2:8">
      <c r="B415" s="5"/>
      <c r="H415" s="16"/>
    </row>
    <row r="416" spans="2:8">
      <c r="B416" s="5"/>
      <c r="H416" s="16"/>
    </row>
    <row r="417" spans="2:8">
      <c r="B417" s="5"/>
      <c r="H417" s="16"/>
    </row>
    <row r="418" spans="2:8">
      <c r="B418" s="5"/>
      <c r="H418" s="16"/>
    </row>
    <row r="419" spans="2:8">
      <c r="B419" s="5"/>
      <c r="H419" s="16"/>
    </row>
    <row r="420" spans="2:8">
      <c r="B420" s="5"/>
      <c r="H420" s="16"/>
    </row>
    <row r="421" spans="2:8">
      <c r="B421" s="5"/>
      <c r="H421" s="16"/>
    </row>
    <row r="422" spans="2:8">
      <c r="B422" s="5"/>
      <c r="H422" s="16"/>
    </row>
    <row r="423" spans="2:8">
      <c r="B423" s="5"/>
      <c r="H423" s="16"/>
    </row>
    <row r="424" spans="2:8">
      <c r="B424" s="5"/>
      <c r="H424" s="16"/>
    </row>
    <row r="425" spans="2:8">
      <c r="B425" s="5"/>
      <c r="H425" s="16"/>
    </row>
    <row r="426" spans="2:8">
      <c r="B426" s="5"/>
      <c r="H426" s="16"/>
    </row>
    <row r="427" spans="2:8">
      <c r="B427" s="5"/>
      <c r="H427" s="16"/>
    </row>
    <row r="428" spans="2:8">
      <c r="B428" s="5"/>
      <c r="H428" s="16"/>
    </row>
    <row r="429" spans="2:8">
      <c r="B429" s="5"/>
      <c r="H429" s="16"/>
    </row>
    <row r="430" spans="2:8">
      <c r="B430" s="5"/>
      <c r="H430" s="16"/>
    </row>
    <row r="431" spans="2:8">
      <c r="B431" s="5"/>
      <c r="H431" s="16"/>
    </row>
    <row r="432" spans="2:8">
      <c r="B432" s="5"/>
      <c r="H432" s="16"/>
    </row>
    <row r="433" spans="2:8">
      <c r="B433" s="5"/>
      <c r="H433" s="16"/>
    </row>
    <row r="434" spans="2:8">
      <c r="B434" s="5"/>
      <c r="H434" s="16"/>
    </row>
    <row r="435" spans="2:8">
      <c r="B435" s="5"/>
      <c r="H435" s="16"/>
    </row>
    <row r="436" spans="2:8">
      <c r="B436" s="5"/>
      <c r="H436" s="16"/>
    </row>
    <row r="437" spans="2:8">
      <c r="B437" s="5"/>
      <c r="H437" s="16"/>
    </row>
    <row r="438" spans="2:8">
      <c r="B438" s="5"/>
      <c r="H438" s="16"/>
    </row>
    <row r="439" spans="2:8">
      <c r="B439" s="5"/>
      <c r="H439" s="16"/>
    </row>
    <row r="440" spans="2:8">
      <c r="B440" s="5"/>
      <c r="H440" s="16"/>
    </row>
    <row r="441" spans="2:8">
      <c r="B441" s="5"/>
      <c r="H441" s="16"/>
    </row>
    <row r="442" spans="2:8">
      <c r="B442" s="5"/>
      <c r="H442" s="16"/>
    </row>
    <row r="443" spans="2:8">
      <c r="B443" s="5"/>
      <c r="H443" s="16"/>
    </row>
    <row r="444" spans="2:8">
      <c r="B444" s="5"/>
      <c r="H444" s="16"/>
    </row>
    <row r="445" spans="2:8">
      <c r="B445" s="5"/>
      <c r="H445" s="16"/>
    </row>
    <row r="446" spans="2:8">
      <c r="B446" s="5"/>
      <c r="H446" s="16"/>
    </row>
    <row r="447" spans="2:8">
      <c r="B447" s="5"/>
      <c r="H447" s="16"/>
    </row>
    <row r="448" spans="2:8">
      <c r="B448" s="5"/>
      <c r="H448" s="16"/>
    </row>
    <row r="449" spans="2:8">
      <c r="B449" s="5"/>
      <c r="H449" s="16"/>
    </row>
    <row r="450" spans="2:8">
      <c r="B450" s="5"/>
      <c r="H450" s="16"/>
    </row>
    <row r="451" spans="2:8">
      <c r="B451" s="5"/>
      <c r="H451" s="16"/>
    </row>
    <row r="452" spans="2:8">
      <c r="B452" s="5"/>
      <c r="H452" s="16"/>
    </row>
    <row r="453" spans="2:8">
      <c r="B453" s="5"/>
      <c r="H453" s="16"/>
    </row>
    <row r="454" spans="2:8">
      <c r="B454" s="5"/>
      <c r="H454" s="16"/>
    </row>
    <row r="455" spans="2:8">
      <c r="B455" s="5"/>
      <c r="H455" s="16"/>
    </row>
    <row r="456" spans="2:8">
      <c r="B456" s="5"/>
      <c r="H456" s="16"/>
    </row>
    <row r="457" spans="2:8">
      <c r="B457" s="5"/>
      <c r="H457" s="16"/>
    </row>
    <row r="458" spans="2:8">
      <c r="B458" s="5"/>
      <c r="H458" s="16"/>
    </row>
    <row r="459" spans="2:8">
      <c r="B459" s="5"/>
      <c r="H459" s="16"/>
    </row>
    <row r="460" spans="2:8">
      <c r="B460" s="5"/>
      <c r="H460" s="16"/>
    </row>
    <row r="461" spans="2:8">
      <c r="B461" s="5"/>
      <c r="H461" s="16"/>
    </row>
    <row r="462" spans="2:8">
      <c r="B462" s="5"/>
      <c r="H462" s="16"/>
    </row>
    <row r="463" spans="2:8">
      <c r="B463" s="5"/>
      <c r="H463" s="16"/>
    </row>
    <row r="464" spans="2:8">
      <c r="B464" s="5"/>
      <c r="H464" s="16"/>
    </row>
    <row r="465" spans="2:8">
      <c r="B465" s="5"/>
      <c r="H465" s="16"/>
    </row>
    <row r="466" spans="2:8">
      <c r="B466" s="5"/>
      <c r="H466" s="16"/>
    </row>
    <row r="467" spans="2:8">
      <c r="B467" s="5"/>
      <c r="H467" s="16"/>
    </row>
    <row r="468" spans="2:8">
      <c r="B468" s="5"/>
      <c r="H468" s="16"/>
    </row>
    <row r="469" spans="2:8">
      <c r="B469" s="5"/>
      <c r="H469" s="16"/>
    </row>
    <row r="470" spans="2:8">
      <c r="B470" s="5"/>
      <c r="H470" s="16"/>
    </row>
    <row r="471" spans="2:8">
      <c r="B471" s="5"/>
      <c r="H471" s="16"/>
    </row>
    <row r="472" spans="2:8">
      <c r="B472" s="5"/>
      <c r="H472" s="16"/>
    </row>
    <row r="473" spans="2:8">
      <c r="B473" s="5"/>
      <c r="H473" s="16"/>
    </row>
    <row r="474" spans="2:8">
      <c r="B474" s="5"/>
      <c r="H474" s="16"/>
    </row>
    <row r="475" spans="2:8">
      <c r="B475" s="5"/>
      <c r="H475" s="16"/>
    </row>
    <row r="476" spans="2:8">
      <c r="B476" s="5"/>
      <c r="H476" s="16"/>
    </row>
    <row r="477" spans="2:8">
      <c r="B477" s="5"/>
      <c r="H477" s="16"/>
    </row>
    <row r="478" spans="2:8">
      <c r="B478" s="5"/>
      <c r="H478" s="16"/>
    </row>
    <row r="479" spans="2:8">
      <c r="B479" s="5"/>
      <c r="H479" s="16"/>
    </row>
    <row r="480" spans="2:8">
      <c r="B480" s="5"/>
      <c r="H480" s="16"/>
    </row>
    <row r="481" spans="2:8">
      <c r="B481" s="5"/>
      <c r="H481" s="16"/>
    </row>
    <row r="482" spans="2:8">
      <c r="B482" s="5"/>
      <c r="H482" s="16"/>
    </row>
    <row r="483" spans="2:8">
      <c r="B483" s="5"/>
      <c r="H483" s="16"/>
    </row>
    <row r="484" spans="2:8">
      <c r="B484" s="5"/>
      <c r="H484" s="16"/>
    </row>
    <row r="485" spans="2:8">
      <c r="B485" s="5"/>
      <c r="H485" s="16"/>
    </row>
    <row r="486" spans="2:8">
      <c r="B486" s="5"/>
      <c r="H486" s="16"/>
    </row>
    <row r="487" spans="2:8">
      <c r="B487" s="5"/>
      <c r="H487" s="16"/>
    </row>
    <row r="488" spans="2:8">
      <c r="B488" s="5"/>
      <c r="H488" s="16"/>
    </row>
    <row r="489" spans="2:8">
      <c r="B489" s="5"/>
      <c r="H489" s="16"/>
    </row>
    <row r="490" spans="2:8">
      <c r="B490" s="5"/>
      <c r="H490" s="16"/>
    </row>
    <row r="491" spans="2:8">
      <c r="B491" s="5"/>
      <c r="H491" s="16"/>
    </row>
    <row r="492" spans="2:8">
      <c r="B492" s="5"/>
      <c r="H492" s="16"/>
    </row>
    <row r="493" spans="2:8">
      <c r="B493" s="5"/>
      <c r="H493" s="16"/>
    </row>
    <row r="494" spans="2:8">
      <c r="B494" s="5"/>
      <c r="H494" s="16"/>
    </row>
    <row r="495" spans="2:8">
      <c r="B495" s="5"/>
      <c r="H495" s="16"/>
    </row>
    <row r="496" spans="2:8">
      <c r="B496" s="5"/>
      <c r="H496" s="16"/>
    </row>
    <row r="497" spans="2:8">
      <c r="B497" s="5"/>
      <c r="H497" s="16"/>
    </row>
    <row r="498" spans="2:8">
      <c r="B498" s="5"/>
      <c r="H498" s="16"/>
    </row>
    <row r="499" spans="2:8">
      <c r="B499" s="5"/>
      <c r="H499" s="16"/>
    </row>
    <row r="500" spans="2:8">
      <c r="B500" s="5"/>
      <c r="H500" s="16"/>
    </row>
    <row r="501" spans="2:8">
      <c r="B501" s="5"/>
      <c r="H501" s="16"/>
    </row>
    <row r="502" spans="2:8">
      <c r="B502" s="5"/>
      <c r="H502" s="16"/>
    </row>
    <row r="503" spans="2:8">
      <c r="B503" s="5"/>
      <c r="H503" s="16"/>
    </row>
    <row r="504" spans="2:8">
      <c r="B504" s="5"/>
      <c r="H504" s="16"/>
    </row>
    <row r="505" spans="2:8">
      <c r="B505" s="5"/>
      <c r="H505" s="16"/>
    </row>
    <row r="506" spans="2:8">
      <c r="B506" s="5"/>
      <c r="H506" s="16"/>
    </row>
    <row r="507" spans="2:8">
      <c r="B507" s="5"/>
      <c r="H507" s="16"/>
    </row>
    <row r="508" spans="2:8">
      <c r="B508" s="5"/>
      <c r="H508" s="16"/>
    </row>
    <row r="509" spans="2:8">
      <c r="B509" s="5"/>
      <c r="H509" s="16"/>
    </row>
    <row r="510" spans="2:8">
      <c r="B510" s="5"/>
      <c r="H510" s="16"/>
    </row>
    <row r="511" spans="2:8">
      <c r="B511" s="5"/>
      <c r="H511" s="16"/>
    </row>
    <row r="512" spans="2:8">
      <c r="B512" s="5"/>
      <c r="H512" s="16"/>
    </row>
    <row r="513" spans="2:8">
      <c r="B513" s="5"/>
      <c r="H513" s="16"/>
    </row>
    <row r="514" spans="2:8">
      <c r="B514" s="5"/>
      <c r="H514" s="16"/>
    </row>
    <row r="515" spans="2:8">
      <c r="B515" s="5"/>
      <c r="H515" s="16"/>
    </row>
    <row r="516" spans="2:8">
      <c r="B516" s="5"/>
      <c r="H516" s="16"/>
    </row>
    <row r="517" spans="2:8">
      <c r="B517" s="5"/>
      <c r="H517" s="16"/>
    </row>
    <row r="518" spans="2:8">
      <c r="B518" s="5"/>
      <c r="H518" s="16"/>
    </row>
    <row r="519" spans="2:8">
      <c r="B519" s="5"/>
      <c r="H519" s="16"/>
    </row>
    <row r="520" spans="2:8">
      <c r="B520" s="5"/>
      <c r="H520" s="16"/>
    </row>
    <row r="521" spans="2:8">
      <c r="B521" s="5"/>
      <c r="H521" s="16"/>
    </row>
    <row r="522" spans="2:8">
      <c r="B522" s="5"/>
      <c r="H522" s="16"/>
    </row>
    <row r="523" spans="2:8">
      <c r="B523" s="5"/>
      <c r="H523" s="16"/>
    </row>
    <row r="524" spans="2:8">
      <c r="B524" s="5"/>
      <c r="H524" s="16"/>
    </row>
    <row r="525" spans="2:8">
      <c r="B525" s="5"/>
      <c r="H525" s="16"/>
    </row>
    <row r="526" spans="2:8">
      <c r="B526" s="5"/>
      <c r="H526" s="16"/>
    </row>
    <row r="527" spans="2:8">
      <c r="B527" s="5"/>
      <c r="H527" s="16"/>
    </row>
    <row r="528" spans="2:8">
      <c r="B528" s="5"/>
      <c r="H528" s="16"/>
    </row>
    <row r="529" spans="2:8">
      <c r="B529" s="5"/>
      <c r="H529" s="16"/>
    </row>
    <row r="530" spans="2:8">
      <c r="B530" s="5"/>
      <c r="H530" s="16"/>
    </row>
    <row r="531" spans="2:8">
      <c r="B531" s="5"/>
      <c r="H531" s="16"/>
    </row>
    <row r="532" spans="2:8">
      <c r="B532" s="5"/>
      <c r="H532" s="16"/>
    </row>
    <row r="533" spans="2:8">
      <c r="B533" s="5"/>
      <c r="H533" s="16"/>
    </row>
    <row r="534" spans="2:8">
      <c r="B534" s="5"/>
      <c r="H534" s="16"/>
    </row>
    <row r="535" spans="2:8">
      <c r="B535" s="5"/>
      <c r="H535" s="16"/>
    </row>
    <row r="536" spans="2:8">
      <c r="B536" s="5"/>
      <c r="H536" s="16"/>
    </row>
    <row r="537" spans="2:8">
      <c r="B537" s="5"/>
      <c r="H537" s="16"/>
    </row>
    <row r="538" spans="2:8">
      <c r="B538" s="5"/>
      <c r="H538" s="16"/>
    </row>
    <row r="539" spans="2:8">
      <c r="B539" s="5"/>
      <c r="H539" s="16"/>
    </row>
    <row r="540" spans="2:8">
      <c r="B540" s="5"/>
      <c r="H540" s="16"/>
    </row>
    <row r="541" spans="2:8">
      <c r="B541" s="5"/>
      <c r="H541" s="16"/>
    </row>
    <row r="542" spans="2:8">
      <c r="B542" s="5"/>
      <c r="H542" s="16"/>
    </row>
    <row r="543" spans="2:8">
      <c r="B543" s="5"/>
      <c r="H543" s="16"/>
    </row>
    <row r="544" spans="2:8">
      <c r="B544" s="5"/>
      <c r="H544" s="16"/>
    </row>
    <row r="545" spans="2:8">
      <c r="B545" s="5"/>
      <c r="H545" s="16"/>
    </row>
    <row r="546" spans="2:8">
      <c r="B546" s="5"/>
      <c r="H546" s="16"/>
    </row>
    <row r="547" spans="2:8">
      <c r="B547" s="5"/>
      <c r="H547" s="16"/>
    </row>
    <row r="548" spans="2:8">
      <c r="B548" s="5"/>
      <c r="H548" s="16"/>
    </row>
    <row r="549" spans="2:8">
      <c r="B549" s="5"/>
      <c r="H549" s="16"/>
    </row>
    <row r="550" spans="2:8">
      <c r="B550" s="5"/>
      <c r="H550" s="16"/>
    </row>
    <row r="551" spans="2:8">
      <c r="B551" s="5"/>
      <c r="H551" s="16"/>
    </row>
    <row r="552" spans="2:8">
      <c r="B552" s="5"/>
      <c r="H552" s="16"/>
    </row>
    <row r="553" spans="2:8">
      <c r="B553" s="5"/>
      <c r="H553" s="16"/>
    </row>
    <row r="554" spans="2:8">
      <c r="B554" s="5"/>
      <c r="H554" s="16"/>
    </row>
    <row r="555" spans="2:8">
      <c r="B555" s="5"/>
      <c r="H555" s="16"/>
    </row>
    <row r="556" spans="2:8">
      <c r="B556" s="5"/>
      <c r="H556" s="16"/>
    </row>
    <row r="557" spans="2:8">
      <c r="B557" s="5"/>
      <c r="H557" s="16"/>
    </row>
    <row r="558" spans="2:8">
      <c r="B558" s="5"/>
      <c r="H558" s="16"/>
    </row>
    <row r="559" spans="2:8">
      <c r="B559" s="5"/>
      <c r="H559" s="16"/>
    </row>
    <row r="560" spans="2:8">
      <c r="B560" s="5"/>
      <c r="H560" s="16"/>
    </row>
    <row r="561" spans="2:8">
      <c r="B561" s="5"/>
      <c r="H561" s="16"/>
    </row>
    <row r="562" spans="2:8">
      <c r="B562" s="5"/>
      <c r="H562" s="16"/>
    </row>
    <row r="563" spans="2:8">
      <c r="B563" s="5"/>
      <c r="H563" s="16"/>
    </row>
    <row r="564" spans="2:8">
      <c r="B564" s="5"/>
      <c r="H564" s="16"/>
    </row>
    <row r="565" spans="2:8">
      <c r="B565" s="5"/>
      <c r="H565" s="16"/>
    </row>
    <row r="566" spans="2:8">
      <c r="B566" s="5"/>
      <c r="H566" s="16"/>
    </row>
    <row r="567" spans="2:8">
      <c r="B567" s="5"/>
      <c r="H567" s="16"/>
    </row>
    <row r="568" spans="2:8">
      <c r="B568" s="5"/>
      <c r="H568" s="16"/>
    </row>
    <row r="569" spans="2:8">
      <c r="B569" s="5"/>
      <c r="H569" s="16"/>
    </row>
    <row r="570" spans="2:8">
      <c r="B570" s="5"/>
      <c r="H570" s="16"/>
    </row>
    <row r="571" spans="2:8">
      <c r="B571" s="5"/>
      <c r="H571" s="16"/>
    </row>
    <row r="572" spans="2:8">
      <c r="B572" s="5"/>
      <c r="H572" s="16"/>
    </row>
    <row r="573" spans="2:8">
      <c r="B573" s="5"/>
      <c r="H573" s="16"/>
    </row>
    <row r="574" spans="2:8">
      <c r="B574" s="5"/>
      <c r="H574" s="16"/>
    </row>
    <row r="575" spans="2:8">
      <c r="B575" s="5"/>
      <c r="H575" s="16"/>
    </row>
    <row r="576" spans="2:8">
      <c r="B576" s="5"/>
      <c r="H576" s="16"/>
    </row>
    <row r="577" spans="2:8">
      <c r="B577" s="5"/>
      <c r="H577" s="16"/>
    </row>
    <row r="578" spans="2:8">
      <c r="B578" s="5"/>
      <c r="H578" s="16"/>
    </row>
    <row r="579" spans="2:8">
      <c r="B579" s="5"/>
      <c r="H579" s="16"/>
    </row>
    <row r="580" spans="2:8">
      <c r="B580" s="5"/>
      <c r="H580" s="16"/>
    </row>
    <row r="581" spans="2:8">
      <c r="B581" s="5"/>
      <c r="H581" s="16"/>
    </row>
    <row r="582" spans="2:8">
      <c r="B582" s="5"/>
      <c r="H582" s="16"/>
    </row>
    <row r="583" spans="2:8">
      <c r="B583" s="5"/>
      <c r="H583" s="16"/>
    </row>
    <row r="584" spans="2:8">
      <c r="B584" s="5"/>
      <c r="H584" s="16"/>
    </row>
    <row r="585" spans="2:8">
      <c r="B585" s="5"/>
      <c r="H585" s="16"/>
    </row>
    <row r="586" spans="2:8">
      <c r="B586" s="5"/>
      <c r="H586" s="16"/>
    </row>
    <row r="587" spans="2:8">
      <c r="B587" s="5"/>
      <c r="H587" s="16"/>
    </row>
    <row r="588" spans="2:8">
      <c r="B588" s="5"/>
      <c r="H588" s="16"/>
    </row>
    <row r="589" spans="2:8">
      <c r="B589" s="5"/>
      <c r="H589" s="16"/>
    </row>
    <row r="590" spans="2:8">
      <c r="B590" s="5"/>
      <c r="H590" s="16"/>
    </row>
    <row r="591" spans="2:8">
      <c r="B591" s="5"/>
      <c r="H591" s="16"/>
    </row>
    <row r="592" spans="2:8">
      <c r="B592" s="5"/>
      <c r="H592" s="16"/>
    </row>
    <row r="593" spans="2:8">
      <c r="B593" s="5"/>
      <c r="H593" s="16"/>
    </row>
    <row r="594" spans="2:8">
      <c r="B594" s="5"/>
      <c r="H594" s="16"/>
    </row>
    <row r="595" spans="2:8">
      <c r="B595" s="5"/>
      <c r="H595" s="16"/>
    </row>
    <row r="596" spans="2:8">
      <c r="B596" s="5"/>
      <c r="H596" s="16"/>
    </row>
    <row r="597" spans="2:8">
      <c r="B597" s="5"/>
      <c r="H597" s="16"/>
    </row>
    <row r="598" spans="2:8">
      <c r="B598" s="5"/>
      <c r="H598" s="16"/>
    </row>
    <row r="599" spans="2:8">
      <c r="B599" s="5"/>
      <c r="H599" s="16"/>
    </row>
    <row r="600" spans="2:8">
      <c r="B600" s="5"/>
      <c r="H600" s="16"/>
    </row>
    <row r="601" spans="2:8">
      <c r="B601" s="5"/>
      <c r="H601" s="16"/>
    </row>
    <row r="602" spans="2:8">
      <c r="B602" s="5"/>
      <c r="H602" s="16"/>
    </row>
    <row r="603" spans="2:8">
      <c r="B603" s="5"/>
      <c r="H603" s="16"/>
    </row>
    <row r="604" spans="2:8">
      <c r="B604" s="5"/>
      <c r="H604" s="16"/>
    </row>
    <row r="605" spans="2:8">
      <c r="B605" s="5"/>
      <c r="H605" s="16"/>
    </row>
    <row r="606" spans="2:8">
      <c r="B606" s="5"/>
      <c r="H606" s="16"/>
    </row>
    <row r="607" spans="2:8">
      <c r="B607" s="5"/>
      <c r="H607" s="16"/>
    </row>
    <row r="608" spans="2:8">
      <c r="B608" s="5"/>
      <c r="H608" s="16"/>
    </row>
    <row r="609" spans="2:8">
      <c r="B609" s="5"/>
      <c r="H609" s="16"/>
    </row>
    <row r="610" spans="2:8">
      <c r="B610" s="5"/>
      <c r="H610" s="16"/>
    </row>
    <row r="611" spans="2:8">
      <c r="B611" s="5"/>
      <c r="H611" s="16"/>
    </row>
    <row r="612" spans="2:8">
      <c r="B612" s="5"/>
      <c r="H612" s="16"/>
    </row>
    <row r="613" spans="2:8">
      <c r="B613" s="5"/>
      <c r="H613" s="16"/>
    </row>
    <row r="614" spans="2:8">
      <c r="B614" s="5"/>
      <c r="H614" s="16"/>
    </row>
    <row r="615" spans="2:8">
      <c r="B615" s="5"/>
      <c r="H615" s="16"/>
    </row>
    <row r="616" spans="2:8">
      <c r="B616" s="5"/>
      <c r="H616" s="16"/>
    </row>
    <row r="617" spans="2:8">
      <c r="B617" s="5"/>
      <c r="H617" s="16"/>
    </row>
    <row r="618" spans="2:8">
      <c r="B618" s="5"/>
      <c r="H618" s="16"/>
    </row>
    <row r="619" spans="2:8">
      <c r="B619" s="5"/>
      <c r="H619" s="16"/>
    </row>
    <row r="620" spans="2:8">
      <c r="B620" s="5"/>
      <c r="H620" s="16"/>
    </row>
    <row r="621" spans="2:8">
      <c r="B621" s="5"/>
      <c r="H621" s="16"/>
    </row>
    <row r="622" spans="2:8">
      <c r="B622" s="5"/>
      <c r="H622" s="16"/>
    </row>
    <row r="623" spans="2:8">
      <c r="B623" s="5"/>
      <c r="H623" s="16"/>
    </row>
    <row r="624" spans="2:8">
      <c r="B624" s="5"/>
      <c r="H624" s="16"/>
    </row>
    <row r="625" spans="2:8">
      <c r="B625" s="5"/>
      <c r="H625" s="16"/>
    </row>
    <row r="626" spans="2:8">
      <c r="B626" s="5"/>
      <c r="H626" s="16"/>
    </row>
    <row r="627" spans="2:8">
      <c r="B627" s="5"/>
      <c r="H627" s="16"/>
    </row>
    <row r="628" spans="2:8">
      <c r="B628" s="5"/>
      <c r="H628" s="16"/>
    </row>
    <row r="629" spans="2:8">
      <c r="B629" s="5"/>
      <c r="H629" s="16"/>
    </row>
    <row r="630" spans="2:8">
      <c r="B630" s="5"/>
      <c r="H630" s="16"/>
    </row>
    <row r="631" spans="2:8">
      <c r="B631" s="5"/>
      <c r="H631" s="16"/>
    </row>
    <row r="632" spans="2:8">
      <c r="B632" s="5"/>
      <c r="H632" s="16"/>
    </row>
    <row r="633" spans="2:8">
      <c r="B633" s="5"/>
      <c r="H633" s="16"/>
    </row>
    <row r="634" spans="2:8">
      <c r="B634" s="5"/>
      <c r="H634" s="16"/>
    </row>
    <row r="635" spans="2:8">
      <c r="B635" s="5"/>
      <c r="H635" s="16"/>
    </row>
    <row r="636" spans="2:8">
      <c r="B636" s="5"/>
      <c r="H636" s="16"/>
    </row>
    <row r="637" spans="2:8">
      <c r="B637" s="5"/>
      <c r="H637" s="16"/>
    </row>
    <row r="638" spans="2:8">
      <c r="B638" s="5"/>
      <c r="H638" s="16"/>
    </row>
    <row r="639" spans="2:8">
      <c r="B639" s="5"/>
      <c r="H639" s="16"/>
    </row>
    <row r="640" spans="2:8">
      <c r="B640" s="5"/>
      <c r="H640" s="16"/>
    </row>
    <row r="641" spans="2:8">
      <c r="B641" s="5"/>
      <c r="H641" s="16"/>
    </row>
    <row r="642" spans="2:8">
      <c r="B642" s="5"/>
      <c r="H642" s="16"/>
    </row>
    <row r="643" spans="2:8">
      <c r="B643" s="5"/>
      <c r="H643" s="16"/>
    </row>
    <row r="644" spans="2:8">
      <c r="B644" s="5"/>
      <c r="H644" s="16"/>
    </row>
    <row r="645" spans="2:8">
      <c r="B645" s="5"/>
      <c r="H645" s="16"/>
    </row>
    <row r="646" spans="2:8">
      <c r="B646" s="5"/>
      <c r="H646" s="16"/>
    </row>
    <row r="647" spans="2:8">
      <c r="B647" s="5"/>
      <c r="H647" s="16"/>
    </row>
    <row r="648" spans="2:8">
      <c r="B648" s="5"/>
      <c r="H648" s="16"/>
    </row>
    <row r="649" spans="2:8">
      <c r="B649" s="5"/>
      <c r="H649" s="16"/>
    </row>
    <row r="650" spans="2:8">
      <c r="B650" s="5"/>
      <c r="H650" s="16"/>
    </row>
    <row r="651" spans="2:8">
      <c r="B651" s="5"/>
      <c r="H651" s="16"/>
    </row>
    <row r="652" spans="2:8">
      <c r="B652" s="5"/>
      <c r="H652" s="16"/>
    </row>
    <row r="653" spans="2:8">
      <c r="B653" s="5"/>
      <c r="H653" s="16"/>
    </row>
    <row r="654" spans="2:8">
      <c r="B654" s="5"/>
      <c r="H654" s="16"/>
    </row>
    <row r="655" spans="2:8">
      <c r="B655" s="5"/>
      <c r="H655" s="16"/>
    </row>
    <row r="656" spans="2:8">
      <c r="B656" s="5"/>
      <c r="H656" s="16"/>
    </row>
    <row r="657" spans="2:8">
      <c r="B657" s="5"/>
      <c r="H657" s="16"/>
    </row>
    <row r="658" spans="2:8">
      <c r="B658" s="5"/>
      <c r="H658" s="16"/>
    </row>
    <row r="659" spans="2:8">
      <c r="B659" s="5"/>
      <c r="H659" s="16"/>
    </row>
    <row r="660" spans="2:8">
      <c r="B660" s="5"/>
      <c r="H660" s="16"/>
    </row>
    <row r="661" spans="2:8">
      <c r="B661" s="5"/>
      <c r="H661" s="16"/>
    </row>
    <row r="662" spans="2:8">
      <c r="B662" s="5"/>
      <c r="H662" s="16"/>
    </row>
    <row r="663" spans="2:8">
      <c r="B663" s="5"/>
      <c r="H663" s="16"/>
    </row>
    <row r="664" spans="2:8">
      <c r="B664" s="5"/>
      <c r="H664" s="16"/>
    </row>
    <row r="665" spans="2:8">
      <c r="B665" s="5"/>
      <c r="H665" s="16"/>
    </row>
    <row r="666" spans="2:8">
      <c r="B666" s="5"/>
      <c r="H666" s="16"/>
    </row>
    <row r="667" spans="2:8">
      <c r="B667" s="5"/>
      <c r="H667" s="16"/>
    </row>
    <row r="668" spans="2:8">
      <c r="B668" s="5"/>
      <c r="H668" s="16"/>
    </row>
    <row r="669" spans="2:8">
      <c r="B669" s="5"/>
      <c r="H669" s="16"/>
    </row>
    <row r="670" spans="2:8">
      <c r="B670" s="5"/>
      <c r="H670" s="16"/>
    </row>
    <row r="671" spans="2:8">
      <c r="B671" s="5"/>
      <c r="H671" s="16"/>
    </row>
    <row r="672" spans="2:8">
      <c r="B672" s="5"/>
      <c r="H672" s="16"/>
    </row>
    <row r="673" spans="2:8">
      <c r="B673" s="5"/>
      <c r="H673" s="16"/>
    </row>
    <row r="674" spans="2:8">
      <c r="B674" s="5"/>
      <c r="H674" s="16"/>
    </row>
    <row r="675" spans="2:8">
      <c r="B675" s="5"/>
      <c r="H675" s="16"/>
    </row>
    <row r="676" spans="2:8">
      <c r="B676" s="5"/>
      <c r="H676" s="16"/>
    </row>
    <row r="677" spans="2:8">
      <c r="B677" s="5"/>
      <c r="H677" s="16"/>
    </row>
    <row r="678" spans="2:8">
      <c r="B678" s="5"/>
      <c r="H678" s="16"/>
    </row>
    <row r="679" spans="2:8">
      <c r="B679" s="5"/>
      <c r="H679" s="16"/>
    </row>
    <row r="680" spans="2:8">
      <c r="B680" s="5"/>
      <c r="H680" s="16"/>
    </row>
    <row r="681" spans="2:8">
      <c r="B681" s="5"/>
      <c r="H681" s="16"/>
    </row>
    <row r="682" spans="2:8">
      <c r="B682" s="5"/>
      <c r="H682" s="16"/>
    </row>
    <row r="683" spans="2:8">
      <c r="B683" s="5"/>
      <c r="H683" s="16"/>
    </row>
    <row r="684" spans="2:8">
      <c r="B684" s="5"/>
      <c r="H684" s="16"/>
    </row>
    <row r="685" spans="2:8">
      <c r="B685" s="5"/>
      <c r="H685" s="16"/>
    </row>
    <row r="686" spans="2:8">
      <c r="B686" s="5"/>
      <c r="H686" s="16"/>
    </row>
    <row r="687" spans="2:8">
      <c r="B687" s="5"/>
      <c r="H687" s="16"/>
    </row>
    <row r="688" spans="2:8">
      <c r="B688" s="5"/>
      <c r="H688" s="16"/>
    </row>
    <row r="689" spans="2:8">
      <c r="B689" s="5"/>
      <c r="H689" s="16"/>
    </row>
    <row r="690" spans="2:8">
      <c r="B690" s="5"/>
      <c r="H690" s="16"/>
    </row>
    <row r="691" spans="2:8">
      <c r="B691" s="5"/>
      <c r="H691" s="16"/>
    </row>
    <row r="692" spans="2:8">
      <c r="B692" s="5"/>
      <c r="H692" s="16"/>
    </row>
    <row r="693" spans="2:8">
      <c r="B693" s="5"/>
      <c r="H693" s="16"/>
    </row>
    <row r="694" spans="2:8">
      <c r="B694" s="5"/>
      <c r="H694" s="16"/>
    </row>
    <row r="695" spans="2:8">
      <c r="B695" s="5"/>
      <c r="H695" s="16"/>
    </row>
    <row r="696" spans="2:8">
      <c r="B696" s="5"/>
      <c r="H696" s="16"/>
    </row>
    <row r="697" spans="2:8">
      <c r="B697" s="5"/>
      <c r="H697" s="16"/>
    </row>
    <row r="698" spans="2:8">
      <c r="B698" s="5"/>
      <c r="H698" s="16"/>
    </row>
    <row r="699" spans="2:8">
      <c r="B699" s="5"/>
      <c r="H699" s="16"/>
    </row>
    <row r="700" spans="2:8">
      <c r="B700" s="5"/>
      <c r="H700" s="16"/>
    </row>
    <row r="701" spans="2:8">
      <c r="B701" s="5"/>
      <c r="H701" s="16"/>
    </row>
    <row r="702" spans="2:8">
      <c r="B702" s="5"/>
      <c r="H702" s="16"/>
    </row>
    <row r="703" spans="2:8">
      <c r="B703" s="5"/>
      <c r="H703" s="16"/>
    </row>
    <row r="704" spans="2:8">
      <c r="B704" s="5"/>
      <c r="H704" s="16"/>
    </row>
    <row r="705" spans="2:8">
      <c r="B705" s="5"/>
      <c r="H705" s="16"/>
    </row>
    <row r="706" spans="2:8">
      <c r="B706" s="5"/>
      <c r="H706" s="16"/>
    </row>
    <row r="707" spans="2:8">
      <c r="B707" s="5"/>
      <c r="H707" s="16"/>
    </row>
    <row r="708" spans="2:8">
      <c r="B708" s="5"/>
      <c r="H708" s="16"/>
    </row>
    <row r="709" spans="2:8">
      <c r="B709" s="5"/>
      <c r="H709" s="16"/>
    </row>
    <row r="710" spans="2:8">
      <c r="B710" s="5"/>
      <c r="H710" s="16"/>
    </row>
    <row r="711" spans="2:8">
      <c r="B711" s="5"/>
      <c r="H711" s="16"/>
    </row>
    <row r="712" spans="2:8">
      <c r="B712" s="5"/>
      <c r="H712" s="16"/>
    </row>
    <row r="713" spans="2:8">
      <c r="B713" s="5"/>
      <c r="H713" s="16"/>
    </row>
    <row r="714" spans="2:8">
      <c r="B714" s="5"/>
      <c r="H714" s="16"/>
    </row>
    <row r="715" spans="2:8">
      <c r="B715" s="5"/>
      <c r="H715" s="16"/>
    </row>
    <row r="716" spans="2:8">
      <c r="B716" s="5"/>
      <c r="H716" s="16"/>
    </row>
    <row r="717" spans="2:8">
      <c r="B717" s="5"/>
      <c r="H717" s="16"/>
    </row>
    <row r="718" spans="2:8">
      <c r="B718" s="5"/>
      <c r="H718" s="16"/>
    </row>
    <row r="719" spans="2:8">
      <c r="B719" s="5"/>
      <c r="H719" s="16"/>
    </row>
    <row r="720" spans="2:8">
      <c r="B720" s="5"/>
      <c r="H720" s="16"/>
    </row>
    <row r="721" spans="2:8">
      <c r="B721" s="5"/>
      <c r="H721" s="16"/>
    </row>
    <row r="722" spans="2:8">
      <c r="B722" s="5"/>
      <c r="H722" s="16"/>
    </row>
    <row r="723" spans="2:8">
      <c r="B723" s="5"/>
      <c r="H723" s="16"/>
    </row>
    <row r="724" spans="2:8">
      <c r="B724" s="5"/>
      <c r="H724" s="16"/>
    </row>
    <row r="725" spans="2:8">
      <c r="B725" s="5"/>
      <c r="H725" s="16"/>
    </row>
    <row r="726" spans="2:8">
      <c r="B726" s="5"/>
      <c r="H726" s="16"/>
    </row>
    <row r="727" spans="2:8">
      <c r="B727" s="5"/>
      <c r="H727" s="16"/>
    </row>
    <row r="728" spans="2:8">
      <c r="B728" s="5"/>
      <c r="H728" s="16"/>
    </row>
    <row r="729" spans="2:8">
      <c r="B729" s="5"/>
      <c r="H729" s="16"/>
    </row>
    <row r="730" spans="2:8">
      <c r="B730" s="5"/>
      <c r="H730" s="16"/>
    </row>
    <row r="731" spans="2:8">
      <c r="B731" s="5"/>
      <c r="H731" s="16"/>
    </row>
    <row r="732" spans="2:8">
      <c r="B732" s="5"/>
      <c r="H732" s="16"/>
    </row>
    <row r="733" spans="2:8">
      <c r="B733" s="5"/>
      <c r="H733" s="16"/>
    </row>
    <row r="734" spans="2:8">
      <c r="B734" s="5"/>
      <c r="H734" s="16"/>
    </row>
    <row r="735" spans="2:8">
      <c r="B735" s="5"/>
      <c r="H735" s="16"/>
    </row>
    <row r="736" spans="2:8">
      <c r="B736" s="5"/>
      <c r="H736" s="16"/>
    </row>
    <row r="737" spans="2:8">
      <c r="B737" s="5"/>
      <c r="H737" s="16"/>
    </row>
    <row r="738" spans="2:8">
      <c r="B738" s="5"/>
      <c r="H738" s="16"/>
    </row>
    <row r="739" spans="2:8">
      <c r="B739" s="5"/>
      <c r="H739" s="16"/>
    </row>
    <row r="740" spans="2:8">
      <c r="B740" s="5"/>
      <c r="H740" s="16"/>
    </row>
    <row r="741" spans="2:8">
      <c r="B741" s="5"/>
      <c r="H741" s="16"/>
    </row>
    <row r="742" spans="2:8">
      <c r="B742" s="5"/>
      <c r="H742" s="16"/>
    </row>
    <row r="743" spans="2:8">
      <c r="B743" s="5"/>
      <c r="H743" s="16"/>
    </row>
    <row r="744" spans="2:8">
      <c r="B744" s="5"/>
      <c r="H744" s="16"/>
    </row>
    <row r="745" spans="2:8">
      <c r="B745" s="5"/>
      <c r="H745" s="16"/>
    </row>
    <row r="746" spans="2:8">
      <c r="B746" s="5"/>
      <c r="H746" s="16"/>
    </row>
    <row r="747" spans="2:8">
      <c r="B747" s="5"/>
      <c r="H747" s="16"/>
    </row>
    <row r="748" spans="2:8">
      <c r="B748" s="5"/>
      <c r="H748" s="16"/>
    </row>
    <row r="749" spans="2:8">
      <c r="B749" s="5"/>
      <c r="H749" s="16"/>
    </row>
    <row r="750" spans="2:8">
      <c r="B750" s="5"/>
      <c r="H750" s="16"/>
    </row>
    <row r="751" spans="2:8">
      <c r="B751" s="5"/>
      <c r="H751" s="16"/>
    </row>
    <row r="752" spans="2:8">
      <c r="B752" s="5"/>
      <c r="H752" s="16"/>
    </row>
    <row r="753" spans="2:8">
      <c r="B753" s="5"/>
      <c r="H753" s="16"/>
    </row>
    <row r="754" spans="2:8">
      <c r="B754" s="5"/>
      <c r="H754" s="16"/>
    </row>
    <row r="755" spans="2:8">
      <c r="B755" s="5"/>
      <c r="H755" s="16"/>
    </row>
    <row r="756" spans="2:8">
      <c r="B756" s="5"/>
      <c r="H756" s="16"/>
    </row>
    <row r="757" spans="2:8">
      <c r="B757" s="5"/>
      <c r="H757" s="16"/>
    </row>
    <row r="758" spans="2:8">
      <c r="B758" s="5"/>
      <c r="H758" s="16"/>
    </row>
    <row r="759" spans="2:8">
      <c r="B759" s="5"/>
      <c r="H759" s="16"/>
    </row>
    <row r="760" spans="2:8">
      <c r="B760" s="5"/>
      <c r="H760" s="16"/>
    </row>
    <row r="761" spans="2:8">
      <c r="B761" s="5"/>
      <c r="H761" s="16"/>
    </row>
    <row r="762" spans="2:8">
      <c r="B762" s="5"/>
      <c r="H762" s="16"/>
    </row>
    <row r="763" spans="2:8">
      <c r="B763" s="5"/>
      <c r="H763" s="16"/>
    </row>
    <row r="764" spans="2:8">
      <c r="B764" s="5"/>
      <c r="H764" s="16"/>
    </row>
    <row r="765" spans="2:8">
      <c r="B765" s="5"/>
      <c r="H765" s="16"/>
    </row>
    <row r="766" spans="2:8">
      <c r="B766" s="5"/>
      <c r="H766" s="16"/>
    </row>
    <row r="767" spans="2:8">
      <c r="B767" s="5"/>
      <c r="H767" s="16"/>
    </row>
    <row r="768" spans="2:8">
      <c r="B768" s="5"/>
      <c r="H768" s="16"/>
    </row>
    <row r="769" spans="2:8">
      <c r="B769" s="5"/>
      <c r="H769" s="16"/>
    </row>
    <row r="770" spans="2:8">
      <c r="B770" s="5"/>
      <c r="H770" s="16"/>
    </row>
    <row r="771" spans="2:8">
      <c r="B771" s="5"/>
      <c r="H771" s="16"/>
    </row>
    <row r="772" spans="2:8">
      <c r="B772" s="5"/>
      <c r="H772" s="16"/>
    </row>
    <row r="773" spans="2:8">
      <c r="B773" s="5"/>
      <c r="H773" s="16"/>
    </row>
    <row r="774" spans="2:8">
      <c r="B774" s="5"/>
      <c r="H774" s="16"/>
    </row>
    <row r="775" spans="2:8">
      <c r="B775" s="5"/>
      <c r="H775" s="16"/>
    </row>
    <row r="776" spans="2:8">
      <c r="B776" s="5"/>
      <c r="H776" s="16"/>
    </row>
    <row r="777" spans="2:8">
      <c r="B777" s="5"/>
      <c r="H777" s="16"/>
    </row>
    <row r="778" spans="2:8">
      <c r="B778" s="5"/>
      <c r="H778" s="16"/>
    </row>
    <row r="779" spans="2:8">
      <c r="B779" s="5"/>
      <c r="H779" s="16"/>
    </row>
    <row r="780" spans="2:8">
      <c r="B780" s="5"/>
      <c r="H780" s="16"/>
    </row>
    <row r="781" spans="2:8">
      <c r="B781" s="5"/>
      <c r="H781" s="16"/>
    </row>
    <row r="782" spans="2:8">
      <c r="B782" s="5"/>
      <c r="H782" s="16"/>
    </row>
    <row r="783" spans="2:8">
      <c r="B783" s="5"/>
      <c r="H783" s="16"/>
    </row>
    <row r="784" spans="2:8">
      <c r="B784" s="5"/>
      <c r="H784" s="16"/>
    </row>
    <row r="785" spans="2:8">
      <c r="B785" s="5"/>
      <c r="H785" s="16"/>
    </row>
    <row r="786" spans="2:8">
      <c r="B786" s="5"/>
      <c r="H786" s="16"/>
    </row>
    <row r="787" spans="2:8">
      <c r="B787" s="5"/>
      <c r="H787" s="16"/>
    </row>
    <row r="788" spans="2:8">
      <c r="B788" s="5"/>
      <c r="H788" s="16"/>
    </row>
    <row r="789" spans="2:8">
      <c r="B789" s="5"/>
      <c r="H789" s="16"/>
    </row>
    <row r="790" spans="2:8">
      <c r="B790" s="5"/>
      <c r="H790" s="16"/>
    </row>
    <row r="791" spans="2:8">
      <c r="B791" s="5"/>
      <c r="H791" s="16"/>
    </row>
    <row r="792" spans="2:8">
      <c r="B792" s="5"/>
      <c r="H792" s="16"/>
    </row>
    <row r="793" spans="2:8">
      <c r="B793" s="5"/>
      <c r="H793" s="16"/>
    </row>
    <row r="794" spans="2:8">
      <c r="B794" s="5"/>
      <c r="H794" s="16"/>
    </row>
    <row r="795" spans="2:8">
      <c r="B795" s="5"/>
      <c r="H795" s="16"/>
    </row>
    <row r="796" spans="2:8">
      <c r="B796" s="5"/>
      <c r="H796" s="16"/>
    </row>
    <row r="797" spans="2:8">
      <c r="B797" s="5"/>
      <c r="H797" s="16"/>
    </row>
    <row r="798" spans="2:8">
      <c r="B798" s="5"/>
      <c r="H798" s="16"/>
    </row>
    <row r="799" spans="2:8">
      <c r="B799" s="5"/>
      <c r="H799" s="16"/>
    </row>
    <row r="800" spans="2:8">
      <c r="B800" s="5"/>
      <c r="H800" s="16"/>
    </row>
    <row r="801" spans="2:8">
      <c r="B801" s="5"/>
      <c r="H801" s="16"/>
    </row>
    <row r="802" spans="2:8">
      <c r="B802" s="5"/>
      <c r="H802" s="16"/>
    </row>
    <row r="803" spans="2:8">
      <c r="B803" s="5"/>
      <c r="H803" s="16"/>
    </row>
    <row r="804" spans="2:8">
      <c r="B804" s="5"/>
      <c r="H804" s="16"/>
    </row>
    <row r="805" spans="2:8">
      <c r="B805" s="5"/>
      <c r="H805" s="16"/>
    </row>
    <row r="806" spans="2:8">
      <c r="B806" s="5"/>
      <c r="H806" s="16"/>
    </row>
    <row r="807" spans="2:8">
      <c r="B807" s="5"/>
      <c r="H807" s="16"/>
    </row>
    <row r="808" spans="2:8">
      <c r="B808" s="5"/>
      <c r="H808" s="16"/>
    </row>
    <row r="809" spans="2:8">
      <c r="B809" s="5"/>
      <c r="H809" s="16"/>
    </row>
    <row r="810" spans="2:8">
      <c r="B810" s="5"/>
      <c r="H810" s="16"/>
    </row>
    <row r="811" spans="2:8">
      <c r="B811" s="5"/>
      <c r="H811" s="16"/>
    </row>
    <row r="812" spans="2:8">
      <c r="B812" s="5"/>
      <c r="H812" s="16"/>
    </row>
    <row r="813" spans="2:8">
      <c r="B813" s="5"/>
      <c r="H813" s="16"/>
    </row>
    <row r="814" spans="2:8">
      <c r="B814" s="5"/>
      <c r="H814" s="16"/>
    </row>
    <row r="815" spans="2:8">
      <c r="B815" s="5"/>
      <c r="H815" s="16"/>
    </row>
    <row r="816" spans="2:8">
      <c r="B816" s="5"/>
      <c r="H816" s="16"/>
    </row>
    <row r="817" spans="2:8">
      <c r="B817" s="5"/>
      <c r="H817" s="16"/>
    </row>
    <row r="818" spans="2:8">
      <c r="B818" s="5"/>
      <c r="H818" s="16"/>
    </row>
    <row r="819" spans="2:8">
      <c r="B819" s="5"/>
      <c r="H819" s="16"/>
    </row>
    <row r="820" spans="2:8">
      <c r="B820" s="5"/>
      <c r="H820" s="16"/>
    </row>
    <row r="821" spans="2:8">
      <c r="B821" s="5"/>
      <c r="H821" s="16"/>
    </row>
    <row r="822" spans="2:8">
      <c r="B822" s="5"/>
      <c r="H822" s="16"/>
    </row>
    <row r="823" spans="2:8">
      <c r="B823" s="5"/>
      <c r="H823" s="16"/>
    </row>
    <row r="824" spans="2:8">
      <c r="B824" s="5"/>
      <c r="H824" s="16"/>
    </row>
    <row r="825" spans="2:8">
      <c r="B825" s="5"/>
      <c r="H825" s="16"/>
    </row>
    <row r="826" spans="2:8">
      <c r="B826" s="5"/>
      <c r="H826" s="16"/>
    </row>
    <row r="827" spans="2:8">
      <c r="B827" s="5"/>
      <c r="H827" s="16"/>
    </row>
    <row r="828" spans="2:8">
      <c r="B828" s="5"/>
      <c r="H828" s="16"/>
    </row>
    <row r="829" spans="2:8">
      <c r="B829" s="5"/>
      <c r="H829" s="16"/>
    </row>
    <row r="830" spans="2:8">
      <c r="B830" s="5"/>
      <c r="H830" s="16"/>
    </row>
    <row r="831" spans="2:8">
      <c r="B831" s="5"/>
      <c r="H831" s="16"/>
    </row>
    <row r="832" spans="2:8">
      <c r="B832" s="5"/>
      <c r="H832" s="16"/>
    </row>
    <row r="833" spans="2:8">
      <c r="B833" s="5"/>
      <c r="H833" s="16"/>
    </row>
    <row r="834" spans="2:8">
      <c r="B834" s="5"/>
      <c r="H834" s="16"/>
    </row>
    <row r="835" spans="2:8">
      <c r="B835" s="5"/>
      <c r="H835" s="16"/>
    </row>
    <row r="836" spans="2:8">
      <c r="B836" s="5"/>
      <c r="H836" s="16"/>
    </row>
    <row r="837" spans="2:8">
      <c r="B837" s="5"/>
      <c r="H837" s="16"/>
    </row>
    <row r="838" spans="2:8">
      <c r="B838" s="5"/>
      <c r="H838" s="16"/>
    </row>
    <row r="839" spans="2:8">
      <c r="B839" s="5"/>
      <c r="H839" s="16"/>
    </row>
    <row r="840" spans="2:8">
      <c r="B840" s="5"/>
      <c r="H840" s="16"/>
    </row>
    <row r="841" spans="2:8">
      <c r="B841" s="5"/>
      <c r="H841" s="16"/>
    </row>
    <row r="842" spans="2:8">
      <c r="B842" s="5"/>
      <c r="H842" s="16"/>
    </row>
    <row r="843" spans="2:8">
      <c r="B843" s="5"/>
      <c r="H843" s="16"/>
    </row>
    <row r="844" spans="2:8">
      <c r="B844" s="5"/>
      <c r="H844" s="16"/>
    </row>
    <row r="845" spans="2:8">
      <c r="B845" s="5"/>
      <c r="H845" s="16"/>
    </row>
    <row r="846" spans="2:8">
      <c r="B846" s="5"/>
      <c r="H846" s="16"/>
    </row>
    <row r="847" spans="2:8">
      <c r="B847" s="5"/>
      <c r="H847" s="16"/>
    </row>
    <row r="848" spans="2:8">
      <c r="B848" s="5"/>
      <c r="H848" s="16"/>
    </row>
    <row r="849" spans="2:8">
      <c r="B849" s="5"/>
      <c r="H849" s="16"/>
    </row>
    <row r="850" spans="2:8">
      <c r="B850" s="5"/>
      <c r="H850" s="16"/>
    </row>
    <row r="851" spans="2:8">
      <c r="B851" s="5"/>
      <c r="H851" s="16"/>
    </row>
    <row r="852" spans="2:8">
      <c r="B852" s="5"/>
      <c r="H852" s="16"/>
    </row>
    <row r="853" spans="2:8">
      <c r="B853" s="5"/>
      <c r="H853" s="16"/>
    </row>
    <row r="854" spans="2:8">
      <c r="B854" s="5"/>
      <c r="H854" s="16"/>
    </row>
    <row r="855" spans="2:8">
      <c r="B855" s="5"/>
      <c r="H855" s="16"/>
    </row>
    <row r="856" spans="2:8">
      <c r="B856" s="5"/>
      <c r="H856" s="16"/>
    </row>
    <row r="857" spans="2:8">
      <c r="B857" s="5"/>
      <c r="H857" s="16"/>
    </row>
    <row r="858" spans="2:8">
      <c r="B858" s="5"/>
      <c r="H858" s="16"/>
    </row>
    <row r="859" spans="2:8">
      <c r="B859" s="5"/>
      <c r="H859" s="16"/>
    </row>
    <row r="860" spans="2:8">
      <c r="B860" s="5"/>
      <c r="H860" s="16"/>
    </row>
    <row r="861" spans="2:8">
      <c r="B861" s="5"/>
      <c r="H861" s="16"/>
    </row>
    <row r="862" spans="2:8">
      <c r="B862" s="5"/>
      <c r="H862" s="16"/>
    </row>
    <row r="863" spans="2:8">
      <c r="B863" s="5"/>
      <c r="H863" s="16"/>
    </row>
    <row r="864" spans="2:8">
      <c r="B864" s="5"/>
      <c r="H864" s="16"/>
    </row>
    <row r="865" spans="2:8">
      <c r="B865" s="5"/>
      <c r="H865" s="16"/>
    </row>
    <row r="866" spans="2:8">
      <c r="B866" s="5"/>
      <c r="H866" s="16"/>
    </row>
    <row r="867" spans="2:8">
      <c r="B867" s="5"/>
      <c r="H867" s="16"/>
    </row>
    <row r="868" spans="2:8">
      <c r="B868" s="5"/>
      <c r="H868" s="16"/>
    </row>
    <row r="869" spans="2:8">
      <c r="B869" s="5"/>
      <c r="H869" s="16"/>
    </row>
    <row r="870" spans="2:8">
      <c r="B870" s="5"/>
      <c r="H870" s="16"/>
    </row>
    <row r="871" spans="2:8">
      <c r="B871" s="5"/>
      <c r="H871" s="16"/>
    </row>
    <row r="872" spans="2:8">
      <c r="B872" s="5"/>
      <c r="H872" s="16"/>
    </row>
    <row r="873" spans="2:8">
      <c r="B873" s="5"/>
      <c r="H873" s="16"/>
    </row>
    <row r="874" spans="2:8">
      <c r="B874" s="5"/>
      <c r="H874" s="16"/>
    </row>
    <row r="875" spans="2:8">
      <c r="B875" s="5"/>
      <c r="H875" s="16"/>
    </row>
    <row r="876" spans="2:8">
      <c r="B876" s="5"/>
      <c r="H876" s="16"/>
    </row>
    <row r="877" spans="2:8">
      <c r="B877" s="5"/>
      <c r="H877" s="16"/>
    </row>
    <row r="878" spans="2:8">
      <c r="B878" s="5"/>
      <c r="H878" s="16"/>
    </row>
    <row r="879" spans="2:8">
      <c r="B879" s="5"/>
      <c r="H879" s="16"/>
    </row>
    <row r="880" spans="2:8">
      <c r="B880" s="5"/>
      <c r="H880" s="16"/>
    </row>
    <row r="881" spans="2:8">
      <c r="B881" s="5"/>
      <c r="H881" s="16"/>
    </row>
    <row r="882" spans="2:8">
      <c r="B882" s="5"/>
      <c r="H882" s="16"/>
    </row>
    <row r="883" spans="2:8">
      <c r="B883" s="5"/>
      <c r="H883" s="16"/>
    </row>
    <row r="884" spans="2:8">
      <c r="B884" s="5"/>
      <c r="H884" s="16"/>
    </row>
    <row r="885" spans="2:8">
      <c r="B885" s="5"/>
      <c r="H885" s="16"/>
    </row>
    <row r="886" spans="2:8">
      <c r="B886" s="5"/>
      <c r="H886" s="16"/>
    </row>
    <row r="887" spans="2:8">
      <c r="B887" s="5"/>
      <c r="H887" s="16"/>
    </row>
    <row r="888" spans="2:8">
      <c r="B888" s="5"/>
      <c r="H888" s="16"/>
    </row>
    <row r="889" spans="2:8">
      <c r="B889" s="5"/>
      <c r="H889" s="16"/>
    </row>
    <row r="890" spans="2:8">
      <c r="B890" s="5"/>
      <c r="H890" s="16"/>
    </row>
    <row r="891" spans="2:8">
      <c r="B891" s="5"/>
      <c r="H891" s="16"/>
    </row>
    <row r="892" spans="2:8">
      <c r="B892" s="5"/>
      <c r="H892" s="16"/>
    </row>
  </sheetData>
  <mergeCells count="27">
    <mergeCell ref="C50:F50"/>
    <mergeCell ref="G50:H50"/>
    <mergeCell ref="C47:F47"/>
    <mergeCell ref="G47:H47"/>
    <mergeCell ref="C48:F48"/>
    <mergeCell ref="G48:H48"/>
    <mergeCell ref="C49:F49"/>
    <mergeCell ref="G49:H49"/>
    <mergeCell ref="C44:F44"/>
    <mergeCell ref="G44:H44"/>
    <mergeCell ref="C45:F45"/>
    <mergeCell ref="G45:H45"/>
    <mergeCell ref="C46:F46"/>
    <mergeCell ref="G46:H46"/>
    <mergeCell ref="C43:F43"/>
    <mergeCell ref="G43:H43"/>
    <mergeCell ref="A4:H4"/>
    <mergeCell ref="A10:F10"/>
    <mergeCell ref="A17:F17"/>
    <mergeCell ref="A23:F23"/>
    <mergeCell ref="A29:F29"/>
    <mergeCell ref="A35:F35"/>
    <mergeCell ref="A38:F38"/>
    <mergeCell ref="C41:F41"/>
    <mergeCell ref="G41:H41"/>
    <mergeCell ref="C42:F42"/>
    <mergeCell ref="G42:H42"/>
  </mergeCells>
  <phoneticPr fontId="24" type="noConversion"/>
  <dataValidations count="1">
    <dataValidation type="list" allowBlank="1" showInputMessage="1" showErrorMessage="1" sqref="B42:B48" xr:uid="{DE7A0F11-3183-411F-991A-4AC7EE8F441E}">
      <formula1>$L$41:$L$45</formula1>
    </dataValidation>
  </dataValidations>
  <pageMargins left="0.7" right="0.7" top="0.75" bottom="0.75" header="0.3" footer="0.3"/>
  <pageSetup scale="52"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36FFB-F6B1-4815-B754-E16BCC97AA76}">
  <sheetPr>
    <pageSetUpPr fitToPage="1"/>
  </sheetPr>
  <dimension ref="A1:L892"/>
  <sheetViews>
    <sheetView showZeros="0" view="pageBreakPreview" zoomScale="60" zoomScaleNormal="70" workbookViewId="0">
      <selection activeCell="A11" sqref="A11"/>
    </sheetView>
  </sheetViews>
  <sheetFormatPr defaultColWidth="10.875" defaultRowHeight="18.75"/>
  <cols>
    <col min="1" max="1" width="35.625" customWidth="1"/>
    <col min="2" max="2" width="14.625" style="16" customWidth="1"/>
    <col min="3" max="7" width="15.875" style="5" customWidth="1"/>
    <col min="8" max="8" width="15.875" style="17" customWidth="1"/>
    <col min="9" max="9" width="9" style="5"/>
    <col min="10" max="12" width="0" style="5" hidden="1" customWidth="1"/>
    <col min="13" max="16384" width="10.875" style="5"/>
  </cols>
  <sheetData>
    <row r="1" spans="1:10" customFormat="1" ht="15.75">
      <c r="A1" s="41"/>
      <c r="B1" s="42"/>
      <c r="C1" s="43"/>
      <c r="D1" s="43"/>
      <c r="E1" s="45" t="s">
        <v>25</v>
      </c>
      <c r="F1" s="43"/>
      <c r="G1" s="45" t="s">
        <v>26</v>
      </c>
      <c r="H1" s="44">
        <v>6</v>
      </c>
    </row>
    <row r="2" spans="1:10">
      <c r="A2" s="30"/>
      <c r="B2" s="18" t="s">
        <v>27</v>
      </c>
      <c r="C2" s="19" t="s">
        <v>28</v>
      </c>
      <c r="D2" s="19" t="s">
        <v>29</v>
      </c>
      <c r="E2" s="18" t="s">
        <v>30</v>
      </c>
      <c r="F2" s="18" t="s">
        <v>31</v>
      </c>
      <c r="G2" s="18" t="s">
        <v>32</v>
      </c>
      <c r="H2" s="18" t="s">
        <v>33</v>
      </c>
    </row>
    <row r="3" spans="1:10" ht="21" customHeight="1">
      <c r="A3" s="31" t="s">
        <v>7</v>
      </c>
      <c r="B3" s="6">
        <f>'Week. 14'!H3+1</f>
        <v>46124</v>
      </c>
      <c r="C3" s="6">
        <f>B3+1</f>
        <v>46125</v>
      </c>
      <c r="D3" s="6">
        <f t="shared" ref="D3:H3" si="0">C3+1</f>
        <v>46126</v>
      </c>
      <c r="E3" s="6">
        <f t="shared" si="0"/>
        <v>46127</v>
      </c>
      <c r="F3" s="6">
        <f t="shared" si="0"/>
        <v>46128</v>
      </c>
      <c r="G3" s="6">
        <f t="shared" si="0"/>
        <v>46129</v>
      </c>
      <c r="H3" s="6">
        <f t="shared" si="0"/>
        <v>46130</v>
      </c>
    </row>
    <row r="4" spans="1:10" s="7" customFormat="1">
      <c r="A4" s="181" t="s">
        <v>135</v>
      </c>
      <c r="B4" s="181"/>
      <c r="C4" s="181"/>
      <c r="D4" s="181"/>
      <c r="E4" s="181"/>
      <c r="F4" s="181"/>
      <c r="G4" s="181"/>
      <c r="H4" s="181"/>
    </row>
    <row r="5" spans="1:10" s="7" customFormat="1" ht="26.1" customHeight="1">
      <c r="A5" s="32" t="s">
        <v>8</v>
      </c>
      <c r="B5" s="27"/>
      <c r="C5" s="27"/>
      <c r="D5" s="27"/>
      <c r="E5" s="27"/>
      <c r="F5" s="27"/>
      <c r="G5" s="27"/>
      <c r="H5" s="27"/>
    </row>
    <row r="6" spans="1:10" s="7" customFormat="1" ht="26.1" customHeight="1">
      <c r="A6" s="4" t="s">
        <v>23</v>
      </c>
      <c r="B6" s="62"/>
      <c r="C6" s="62"/>
      <c r="D6" s="62"/>
      <c r="E6" s="62"/>
      <c r="F6" s="62"/>
      <c r="G6" s="62"/>
      <c r="H6" s="62"/>
    </row>
    <row r="7" spans="1:10" s="7" customFormat="1" ht="21.95" customHeight="1">
      <c r="A7" s="32" t="s">
        <v>35</v>
      </c>
      <c r="B7" s="27"/>
      <c r="C7" s="28"/>
      <c r="D7" s="28"/>
      <c r="E7" s="28"/>
      <c r="F7" s="28"/>
      <c r="G7" s="28"/>
      <c r="H7" s="27"/>
    </row>
    <row r="8" spans="1:10" s="7" customFormat="1" ht="24.95" customHeight="1">
      <c r="A8" s="83" t="s">
        <v>36</v>
      </c>
      <c r="B8" s="84">
        <f t="shared" ref="B8:H8" si="1">B5+B6+B7</f>
        <v>0</v>
      </c>
      <c r="C8" s="84">
        <f t="shared" si="1"/>
        <v>0</v>
      </c>
      <c r="D8" s="84">
        <f t="shared" si="1"/>
        <v>0</v>
      </c>
      <c r="E8" s="84">
        <f t="shared" si="1"/>
        <v>0</v>
      </c>
      <c r="F8" s="84">
        <f t="shared" si="1"/>
        <v>0</v>
      </c>
      <c r="G8" s="84">
        <f t="shared" si="1"/>
        <v>0</v>
      </c>
      <c r="H8" s="84">
        <f t="shared" si="1"/>
        <v>0</v>
      </c>
    </row>
    <row r="9" spans="1:10" s="7" customFormat="1" ht="24.95" customHeight="1">
      <c r="A9" s="33"/>
      <c r="B9" s="29"/>
      <c r="C9" s="29"/>
      <c r="D9" s="29"/>
      <c r="E9" s="29"/>
      <c r="F9" s="29"/>
      <c r="G9" s="63" t="s">
        <v>37</v>
      </c>
      <c r="H9" s="64">
        <f>SUM(B8:H8)</f>
        <v>0</v>
      </c>
    </row>
    <row r="10" spans="1:10" s="7" customFormat="1">
      <c r="A10" s="182" t="s">
        <v>136</v>
      </c>
      <c r="B10" s="183"/>
      <c r="C10" s="183"/>
      <c r="D10" s="183"/>
      <c r="E10" s="183"/>
      <c r="F10" s="183"/>
      <c r="G10" s="65" t="s">
        <v>39</v>
      </c>
      <c r="H10" s="66">
        <v>-0.15</v>
      </c>
      <c r="I10" s="5"/>
      <c r="J10" s="26"/>
    </row>
    <row r="11" spans="1:10" s="7" customFormat="1" ht="30" customHeight="1">
      <c r="A11" s="39" t="s">
        <v>8</v>
      </c>
      <c r="B11" s="9"/>
      <c r="C11" s="9"/>
      <c r="D11" s="67"/>
      <c r="E11" s="67"/>
      <c r="F11" s="9"/>
      <c r="G11" s="68"/>
      <c r="H11" s="69"/>
    </row>
    <row r="12" spans="1:10" s="7" customFormat="1" ht="30" customHeight="1">
      <c r="A12" s="70" t="s">
        <v>23</v>
      </c>
      <c r="B12" s="59"/>
      <c r="C12" s="58"/>
      <c r="D12" s="58"/>
      <c r="E12" s="58"/>
      <c r="F12" s="58"/>
      <c r="G12" s="58"/>
      <c r="H12" s="58"/>
    </row>
    <row r="13" spans="1:10" s="7" customFormat="1" ht="30" customHeight="1">
      <c r="A13" s="3" t="s">
        <v>35</v>
      </c>
      <c r="B13" s="8"/>
      <c r="C13" s="8"/>
      <c r="D13" s="8"/>
      <c r="E13" s="8"/>
      <c r="F13" s="8"/>
      <c r="G13" s="8"/>
      <c r="H13" s="8"/>
    </row>
    <row r="14" spans="1:10" s="7" customFormat="1" ht="27" customHeight="1">
      <c r="A14" s="85" t="s">
        <v>36</v>
      </c>
      <c r="B14" s="87">
        <f t="shared" ref="B14:H14" si="2">B11+B12+B13</f>
        <v>0</v>
      </c>
      <c r="C14" s="87">
        <f t="shared" si="2"/>
        <v>0</v>
      </c>
      <c r="D14" s="87">
        <f t="shared" si="2"/>
        <v>0</v>
      </c>
      <c r="E14" s="87">
        <f t="shared" si="2"/>
        <v>0</v>
      </c>
      <c r="F14" s="87">
        <f t="shared" si="2"/>
        <v>0</v>
      </c>
      <c r="G14" s="87">
        <f t="shared" si="2"/>
        <v>0</v>
      </c>
      <c r="H14" s="87">
        <f t="shared" si="2"/>
        <v>0</v>
      </c>
    </row>
    <row r="15" spans="1:10" s="7" customFormat="1" ht="24.95" customHeight="1">
      <c r="A15" s="86" t="s">
        <v>40</v>
      </c>
      <c r="B15" s="92" t="e">
        <f t="shared" ref="B15:H15" si="3">(B14-B8)/B8</f>
        <v>#DIV/0!</v>
      </c>
      <c r="C15" s="93" t="e">
        <f t="shared" si="3"/>
        <v>#DIV/0!</v>
      </c>
      <c r="D15" s="93" t="e">
        <f t="shared" si="3"/>
        <v>#DIV/0!</v>
      </c>
      <c r="E15" s="93" t="e">
        <f t="shared" si="3"/>
        <v>#DIV/0!</v>
      </c>
      <c r="F15" s="93" t="e">
        <f t="shared" si="3"/>
        <v>#DIV/0!</v>
      </c>
      <c r="G15" s="93" t="e">
        <f t="shared" si="3"/>
        <v>#DIV/0!</v>
      </c>
      <c r="H15" s="94" t="e">
        <f t="shared" si="3"/>
        <v>#DIV/0!</v>
      </c>
      <c r="I15" s="71"/>
    </row>
    <row r="16" spans="1:10" ht="30" customHeight="1">
      <c r="B16" s="88"/>
      <c r="C16" s="88"/>
      <c r="D16" s="88"/>
      <c r="E16" s="88"/>
      <c r="F16" s="89"/>
      <c r="G16" s="90" t="s">
        <v>37</v>
      </c>
      <c r="H16" s="91">
        <f>SUM(B14:H14)</f>
        <v>0</v>
      </c>
    </row>
    <row r="17" spans="1:8" s="7" customFormat="1">
      <c r="A17" s="184" t="s">
        <v>41</v>
      </c>
      <c r="B17" s="185"/>
      <c r="C17" s="185"/>
      <c r="D17" s="185"/>
      <c r="E17" s="185"/>
      <c r="F17" s="185"/>
      <c r="G17" s="72" t="s">
        <v>42</v>
      </c>
      <c r="H17" s="66" t="e">
        <f>(H16-H9)/H9</f>
        <v>#DIV/0!</v>
      </c>
    </row>
    <row r="18" spans="1:8" s="7" customFormat="1" ht="30" customHeight="1">
      <c r="A18" s="35" t="s">
        <v>43</v>
      </c>
      <c r="B18" s="12"/>
      <c r="C18" s="12"/>
      <c r="D18" s="73"/>
      <c r="E18" s="73"/>
      <c r="F18" s="12"/>
      <c r="G18" s="24"/>
      <c r="H18" s="74"/>
    </row>
    <row r="19" spans="1:8" s="7" customFormat="1" ht="30" customHeight="1">
      <c r="A19" s="35" t="str">
        <f>'Week. 14'!A31</f>
        <v>Non Meal Plan Meals</v>
      </c>
      <c r="B19" s="12"/>
      <c r="C19" s="12"/>
      <c r="D19" s="73"/>
      <c r="E19" s="73"/>
      <c r="F19" s="12"/>
      <c r="G19" s="24"/>
      <c r="H19" s="74"/>
    </row>
    <row r="20" spans="1:8" s="7" customFormat="1" ht="30" customHeight="1">
      <c r="A20" s="35" t="str">
        <f>'Week. 14'!A32</f>
        <v xml:space="preserve">Meal numbers </v>
      </c>
      <c r="B20" s="95"/>
      <c r="C20" s="95"/>
      <c r="D20" s="67"/>
      <c r="E20" s="67"/>
      <c r="F20" s="95"/>
      <c r="G20" s="95"/>
      <c r="H20" s="75"/>
    </row>
    <row r="21" spans="1:8" s="7" customFormat="1" ht="24.95" customHeight="1">
      <c r="A21" s="36" t="s">
        <v>45</v>
      </c>
      <c r="B21" s="77">
        <f t="shared" ref="B21:G21" si="4">B18+B20</f>
        <v>0</v>
      </c>
      <c r="C21" s="77">
        <f t="shared" si="4"/>
        <v>0</v>
      </c>
      <c r="D21" s="96"/>
      <c r="E21" s="96"/>
      <c r="F21" s="77">
        <f t="shared" si="4"/>
        <v>0</v>
      </c>
      <c r="G21" s="77">
        <f t="shared" si="4"/>
        <v>0</v>
      </c>
      <c r="H21" s="77">
        <f>H18+H20</f>
        <v>0</v>
      </c>
    </row>
    <row r="22" spans="1:8" s="7" customFormat="1" ht="24.95" customHeight="1">
      <c r="A22" s="34" t="s">
        <v>40</v>
      </c>
      <c r="B22" s="92" t="e">
        <f>(B21-B5)/B5</f>
        <v>#DIV/0!</v>
      </c>
      <c r="C22" s="93" t="e">
        <f>(C21-C5)/C5</f>
        <v>#DIV/0!</v>
      </c>
      <c r="D22" s="99"/>
      <c r="E22" s="99"/>
      <c r="F22" s="93" t="e">
        <f>(F21-F5)/F5</f>
        <v>#DIV/0!</v>
      </c>
      <c r="G22" s="93" t="e">
        <f>(G21-G5)/G5</f>
        <v>#DIV/0!</v>
      </c>
      <c r="H22" s="94" t="e">
        <f>(H21-H5)/H5</f>
        <v>#DIV/0!</v>
      </c>
    </row>
    <row r="23" spans="1:8" s="7" customFormat="1">
      <c r="A23" s="186" t="s">
        <v>46</v>
      </c>
      <c r="B23" s="187"/>
      <c r="C23" s="187"/>
      <c r="D23" s="187"/>
      <c r="E23" s="187"/>
      <c r="F23" s="188" t="s">
        <v>47</v>
      </c>
      <c r="G23" s="97"/>
      <c r="H23" s="98"/>
    </row>
    <row r="24" spans="1:8" s="7" customFormat="1" ht="30" customHeight="1">
      <c r="A24" s="35" t="s">
        <v>43</v>
      </c>
      <c r="B24" s="11"/>
      <c r="C24" s="12"/>
      <c r="D24" s="12"/>
      <c r="E24" s="12"/>
      <c r="F24" s="12"/>
      <c r="G24" s="12"/>
      <c r="H24" s="11"/>
    </row>
    <row r="25" spans="1:8" s="7" customFormat="1" ht="30" customHeight="1">
      <c r="A25" s="35" t="str">
        <f>A19</f>
        <v>Non Meal Plan Meals</v>
      </c>
      <c r="B25" s="117"/>
      <c r="C25" s="117"/>
      <c r="D25" s="117"/>
      <c r="E25" s="117"/>
      <c r="F25" s="117"/>
      <c r="G25" s="117"/>
      <c r="H25" s="117"/>
    </row>
    <row r="26" spans="1:8" s="7" customFormat="1" ht="30" customHeight="1">
      <c r="A26" s="35" t="str">
        <f>A20</f>
        <v xml:space="preserve">Meal numbers </v>
      </c>
      <c r="B26" s="11"/>
      <c r="C26" s="11"/>
      <c r="D26" s="11"/>
      <c r="E26" s="11"/>
      <c r="F26" s="11"/>
      <c r="G26" s="11"/>
      <c r="H26" s="11"/>
    </row>
    <row r="27" spans="1:8" s="7" customFormat="1" ht="27.95" customHeight="1">
      <c r="A27" s="36" t="s">
        <v>50</v>
      </c>
      <c r="B27" s="100">
        <f>B24+B25+B26</f>
        <v>0</v>
      </c>
      <c r="C27" s="100">
        <f t="shared" ref="C27:G27" si="5">C24+C25+C26</f>
        <v>0</v>
      </c>
      <c r="D27" s="100">
        <f t="shared" si="5"/>
        <v>0</v>
      </c>
      <c r="E27" s="100">
        <f t="shared" si="5"/>
        <v>0</v>
      </c>
      <c r="F27" s="100">
        <f t="shared" si="5"/>
        <v>0</v>
      </c>
      <c r="G27" s="100">
        <f t="shared" si="5"/>
        <v>0</v>
      </c>
      <c r="H27" s="100">
        <f>H24+H25+H26</f>
        <v>0</v>
      </c>
    </row>
    <row r="28" spans="1:8" s="7" customFormat="1" ht="24.95" customHeight="1">
      <c r="A28" s="34" t="s">
        <v>40</v>
      </c>
      <c r="B28" s="92" t="e">
        <f t="shared" ref="B28:H28" si="6">(B27-B6)/B6</f>
        <v>#DIV/0!</v>
      </c>
      <c r="C28" s="93" t="e">
        <f t="shared" si="6"/>
        <v>#DIV/0!</v>
      </c>
      <c r="D28" s="93" t="e">
        <f t="shared" si="6"/>
        <v>#DIV/0!</v>
      </c>
      <c r="E28" s="93" t="e">
        <f t="shared" si="6"/>
        <v>#DIV/0!</v>
      </c>
      <c r="F28" s="93" t="e">
        <f t="shared" si="6"/>
        <v>#DIV/0!</v>
      </c>
      <c r="G28" s="93" t="e">
        <f t="shared" si="6"/>
        <v>#DIV/0!</v>
      </c>
      <c r="H28" s="94" t="e">
        <f t="shared" si="6"/>
        <v>#DIV/0!</v>
      </c>
    </row>
    <row r="29" spans="1:8" s="7" customFormat="1">
      <c r="A29" s="189" t="s">
        <v>51</v>
      </c>
      <c r="B29" s="190"/>
      <c r="C29" s="190"/>
      <c r="D29" s="190"/>
      <c r="E29" s="190"/>
      <c r="F29" s="191" t="s">
        <v>35</v>
      </c>
      <c r="G29" s="101"/>
      <c r="H29" s="102"/>
    </row>
    <row r="30" spans="1:8" s="7" customFormat="1" ht="30" customHeight="1">
      <c r="A30" s="35" t="s">
        <v>43</v>
      </c>
      <c r="B30" s="10"/>
      <c r="C30" s="9"/>
      <c r="D30" s="9"/>
      <c r="E30" s="9"/>
      <c r="F30" s="9"/>
      <c r="G30" s="9"/>
      <c r="H30" s="10"/>
    </row>
    <row r="31" spans="1:8" s="7" customFormat="1" ht="30" customHeight="1">
      <c r="A31" s="35" t="str">
        <f>A25</f>
        <v>Non Meal Plan Meals</v>
      </c>
      <c r="B31" s="60"/>
      <c r="C31" s="60"/>
      <c r="D31" s="60"/>
      <c r="E31" s="60"/>
      <c r="F31" s="60"/>
      <c r="G31" s="60"/>
      <c r="H31" s="60"/>
    </row>
    <row r="32" spans="1:8" s="7" customFormat="1" ht="30" customHeight="1">
      <c r="A32" s="35" t="str">
        <f>A26</f>
        <v xml:space="preserve">Meal numbers </v>
      </c>
      <c r="B32" s="10"/>
      <c r="C32" s="10"/>
      <c r="D32" s="10"/>
      <c r="E32" s="10"/>
      <c r="F32" s="10"/>
      <c r="G32" s="10"/>
      <c r="H32" s="10"/>
    </row>
    <row r="33" spans="1:12" s="7" customFormat="1" ht="30.95" customHeight="1">
      <c r="A33" s="36" t="s">
        <v>53</v>
      </c>
      <c r="B33" s="103">
        <f>B30+B31+B32</f>
        <v>0</v>
      </c>
      <c r="C33" s="103">
        <f t="shared" ref="C33:G33" si="7">C30+C31+C32</f>
        <v>0</v>
      </c>
      <c r="D33" s="103">
        <f t="shared" si="7"/>
        <v>0</v>
      </c>
      <c r="E33" s="103">
        <f t="shared" si="7"/>
        <v>0</v>
      </c>
      <c r="F33" s="103">
        <f t="shared" si="7"/>
        <v>0</v>
      </c>
      <c r="G33" s="103">
        <f t="shared" si="7"/>
        <v>0</v>
      </c>
      <c r="H33" s="103">
        <f>H30+H31+H32</f>
        <v>0</v>
      </c>
    </row>
    <row r="34" spans="1:12" s="7" customFormat="1" ht="24.95" customHeight="1">
      <c r="A34" s="34" t="s">
        <v>40</v>
      </c>
      <c r="B34" s="92" t="e">
        <f t="shared" ref="B34:H34" si="8">(B33-B7)/B7</f>
        <v>#DIV/0!</v>
      </c>
      <c r="C34" s="93" t="e">
        <f t="shared" si="8"/>
        <v>#DIV/0!</v>
      </c>
      <c r="D34" s="93" t="e">
        <f t="shared" si="8"/>
        <v>#DIV/0!</v>
      </c>
      <c r="E34" s="93" t="e">
        <f t="shared" si="8"/>
        <v>#DIV/0!</v>
      </c>
      <c r="F34" s="93" t="e">
        <f t="shared" si="8"/>
        <v>#DIV/0!</v>
      </c>
      <c r="G34" s="93" t="e">
        <f t="shared" si="8"/>
        <v>#DIV/0!</v>
      </c>
      <c r="H34" s="94" t="e">
        <f t="shared" si="8"/>
        <v>#DIV/0!</v>
      </c>
    </row>
    <row r="35" spans="1:12" s="7" customFormat="1">
      <c r="A35" s="192" t="s">
        <v>54</v>
      </c>
      <c r="B35" s="193"/>
      <c r="C35" s="193"/>
      <c r="D35" s="193"/>
      <c r="E35" s="193"/>
      <c r="F35" s="194" t="s">
        <v>35</v>
      </c>
      <c r="G35" s="104"/>
      <c r="H35" s="105"/>
    </row>
    <row r="36" spans="1:12" s="7" customFormat="1" ht="30.95" customHeight="1">
      <c r="A36" s="78" t="s">
        <v>55</v>
      </c>
      <c r="B36" s="77">
        <f>B33+B27+B21</f>
        <v>0</v>
      </c>
      <c r="C36" s="77">
        <f t="shared" ref="C36:H36" si="9">C33+C27+C21</f>
        <v>0</v>
      </c>
      <c r="D36" s="77">
        <f t="shared" si="9"/>
        <v>0</v>
      </c>
      <c r="E36" s="77">
        <f t="shared" si="9"/>
        <v>0</v>
      </c>
      <c r="F36" s="77">
        <f t="shared" si="9"/>
        <v>0</v>
      </c>
      <c r="G36" s="77">
        <f t="shared" si="9"/>
        <v>0</v>
      </c>
      <c r="H36" s="77">
        <f t="shared" si="9"/>
        <v>0</v>
      </c>
    </row>
    <row r="37" spans="1:12" s="7" customFormat="1" ht="24.95" customHeight="1">
      <c r="A37" s="34" t="s">
        <v>40</v>
      </c>
      <c r="B37" s="92" t="e">
        <f t="shared" ref="B37:H37" si="10">(B36-B8)/B8</f>
        <v>#DIV/0!</v>
      </c>
      <c r="C37" s="93" t="e">
        <f t="shared" si="10"/>
        <v>#DIV/0!</v>
      </c>
      <c r="D37" s="93" t="e">
        <f t="shared" si="10"/>
        <v>#DIV/0!</v>
      </c>
      <c r="E37" s="93" t="e">
        <f t="shared" si="10"/>
        <v>#DIV/0!</v>
      </c>
      <c r="F37" s="93" t="e">
        <f t="shared" si="10"/>
        <v>#DIV/0!</v>
      </c>
      <c r="G37" s="93" t="e">
        <f t="shared" si="10"/>
        <v>#DIV/0!</v>
      </c>
      <c r="H37" s="94" t="e">
        <f t="shared" si="10"/>
        <v>#DIV/0!</v>
      </c>
    </row>
    <row r="38" spans="1:12" ht="30" customHeight="1">
      <c r="A38" s="195"/>
      <c r="B38" s="196"/>
      <c r="C38" s="196"/>
      <c r="D38" s="196"/>
      <c r="E38" s="196"/>
      <c r="F38" s="196"/>
      <c r="G38" s="106" t="s">
        <v>37</v>
      </c>
      <c r="H38" s="107">
        <f>SUM(B36:H36)</f>
        <v>0</v>
      </c>
    </row>
    <row r="39" spans="1:12" s="7" customFormat="1" ht="24.95" customHeight="1">
      <c r="A39" s="37"/>
      <c r="B39" s="25"/>
      <c r="C39" s="25"/>
      <c r="D39" s="25"/>
      <c r="E39" s="25"/>
      <c r="F39" s="25"/>
      <c r="G39" s="79" t="s">
        <v>40</v>
      </c>
      <c r="H39" s="80" t="e">
        <f>(H38-H9)/H9</f>
        <v>#DIV/0!</v>
      </c>
    </row>
    <row r="40" spans="1:12" s="7" customFormat="1" ht="24.95" customHeight="1">
      <c r="A40" s="37"/>
      <c r="B40" s="25"/>
      <c r="C40" s="25"/>
      <c r="D40" s="25"/>
      <c r="E40" s="25"/>
      <c r="F40" s="25"/>
      <c r="G40" s="81" t="s">
        <v>56</v>
      </c>
      <c r="H40" s="82" t="e">
        <f>(H38-H16)/H16</f>
        <v>#DIV/0!</v>
      </c>
    </row>
    <row r="41" spans="1:12" s="46" customFormat="1" ht="23.1" customHeight="1">
      <c r="A41" s="40"/>
      <c r="B41" s="47" t="s">
        <v>57</v>
      </c>
      <c r="C41" s="197" t="s">
        <v>58</v>
      </c>
      <c r="D41" s="197"/>
      <c r="E41" s="197"/>
      <c r="F41" s="197"/>
      <c r="G41" s="198">
        <v>2022</v>
      </c>
      <c r="H41" s="199"/>
    </row>
    <row r="42" spans="1:12" ht="30" customHeight="1">
      <c r="A42" s="1" t="s">
        <v>60</v>
      </c>
      <c r="B42" s="57" t="s">
        <v>59</v>
      </c>
      <c r="C42" s="180"/>
      <c r="D42" s="180"/>
      <c r="E42" s="180"/>
      <c r="F42" s="180"/>
      <c r="G42" s="178"/>
      <c r="H42" s="179"/>
      <c r="L42" s="7" t="s">
        <v>61</v>
      </c>
    </row>
    <row r="43" spans="1:12" ht="30" customHeight="1">
      <c r="A43" s="1" t="s">
        <v>1</v>
      </c>
      <c r="B43" s="57" t="s">
        <v>59</v>
      </c>
      <c r="C43" s="180"/>
      <c r="D43" s="180"/>
      <c r="E43" s="180"/>
      <c r="F43" s="180"/>
      <c r="G43" s="178"/>
      <c r="H43" s="179"/>
      <c r="L43" s="5" t="s">
        <v>62</v>
      </c>
    </row>
    <row r="44" spans="1:12" ht="30" customHeight="1">
      <c r="A44" s="1" t="s">
        <v>2</v>
      </c>
      <c r="B44" s="57" t="s">
        <v>59</v>
      </c>
      <c r="C44" s="175"/>
      <c r="D44" s="175"/>
      <c r="E44" s="175"/>
      <c r="F44" s="175"/>
      <c r="G44" s="176"/>
      <c r="H44" s="177"/>
      <c r="L44" s="5" t="s">
        <v>63</v>
      </c>
    </row>
    <row r="45" spans="1:12" ht="30" customHeight="1">
      <c r="A45" s="1" t="s">
        <v>3</v>
      </c>
      <c r="B45" s="57" t="s">
        <v>59</v>
      </c>
      <c r="C45" s="175"/>
      <c r="D45" s="175"/>
      <c r="E45" s="175"/>
      <c r="F45" s="175"/>
      <c r="G45" s="176"/>
      <c r="H45" s="177"/>
      <c r="L45" s="5" t="s">
        <v>64</v>
      </c>
    </row>
    <row r="46" spans="1:12" ht="30.95" customHeight="1">
      <c r="A46" s="1" t="s">
        <v>4</v>
      </c>
      <c r="B46" s="57" t="s">
        <v>59</v>
      </c>
      <c r="C46" s="175"/>
      <c r="D46" s="175"/>
      <c r="E46" s="175"/>
      <c r="F46" s="175"/>
      <c r="G46" s="176"/>
      <c r="H46" s="177"/>
    </row>
    <row r="47" spans="1:12" ht="30" customHeight="1">
      <c r="A47" s="1" t="s">
        <v>5</v>
      </c>
      <c r="B47" s="57" t="s">
        <v>59</v>
      </c>
      <c r="C47" s="175"/>
      <c r="D47" s="175"/>
      <c r="E47" s="175"/>
      <c r="F47" s="175"/>
      <c r="G47" s="176"/>
      <c r="H47" s="177"/>
    </row>
    <row r="48" spans="1:12" ht="30" customHeight="1">
      <c r="A48" s="1" t="s">
        <v>6</v>
      </c>
      <c r="B48" s="57" t="s">
        <v>59</v>
      </c>
      <c r="C48" s="175"/>
      <c r="D48" s="175"/>
      <c r="E48" s="175"/>
      <c r="F48" s="175"/>
      <c r="G48" s="176"/>
      <c r="H48" s="177"/>
    </row>
    <row r="49" spans="1:8" ht="30" customHeight="1">
      <c r="A49" s="1"/>
      <c r="B49" s="14"/>
      <c r="C49" s="175"/>
      <c r="D49" s="175"/>
      <c r="E49" s="175"/>
      <c r="F49" s="175"/>
      <c r="G49" s="176"/>
      <c r="H49" s="177"/>
    </row>
    <row r="50" spans="1:8" ht="30" customHeight="1">
      <c r="A50" s="2"/>
      <c r="B50" s="14"/>
      <c r="C50" s="175"/>
      <c r="D50" s="175"/>
      <c r="E50" s="175"/>
      <c r="F50" s="175"/>
      <c r="G50" s="176"/>
      <c r="H50" s="177"/>
    </row>
    <row r="51" spans="1:8">
      <c r="A51" s="30"/>
      <c r="B51" s="18" t="s">
        <v>27</v>
      </c>
      <c r="C51" s="18" t="s">
        <v>28</v>
      </c>
      <c r="D51" s="18" t="s">
        <v>65</v>
      </c>
      <c r="E51" s="18" t="s">
        <v>30</v>
      </c>
      <c r="F51" s="18" t="s">
        <v>66</v>
      </c>
      <c r="G51" s="18" t="s">
        <v>32</v>
      </c>
      <c r="H51" s="18" t="s">
        <v>33</v>
      </c>
    </row>
    <row r="52" spans="1:8">
      <c r="A52" s="38" t="s">
        <v>67</v>
      </c>
      <c r="B52" s="15"/>
      <c r="C52" s="20"/>
      <c r="D52" s="20"/>
      <c r="E52" s="20"/>
      <c r="F52" s="20"/>
      <c r="G52" s="20"/>
      <c r="H52" s="15"/>
    </row>
    <row r="53" spans="1:8" customFormat="1" ht="15.75">
      <c r="A53" s="48" t="s">
        <v>68</v>
      </c>
      <c r="B53" s="22"/>
      <c r="C53" s="21"/>
      <c r="D53" s="21"/>
      <c r="E53" s="21"/>
      <c r="F53" s="21"/>
      <c r="G53" s="23" t="s">
        <v>37</v>
      </c>
      <c r="H53" s="23">
        <f>SUM(B52:H52)</f>
        <v>0</v>
      </c>
    </row>
    <row r="54" spans="1:8">
      <c r="A54" s="30"/>
      <c r="B54" s="18" t="s">
        <v>27</v>
      </c>
      <c r="C54" s="18" t="s">
        <v>28</v>
      </c>
      <c r="D54" s="18" t="s">
        <v>65</v>
      </c>
      <c r="E54" s="18" t="s">
        <v>30</v>
      </c>
      <c r="F54" s="18" t="s">
        <v>66</v>
      </c>
      <c r="G54" s="18" t="s">
        <v>32</v>
      </c>
      <c r="H54" s="18" t="s">
        <v>33</v>
      </c>
    </row>
    <row r="55" spans="1:8">
      <c r="A55" s="38" t="s">
        <v>69</v>
      </c>
      <c r="B55" s="51"/>
      <c r="C55" s="52"/>
      <c r="D55" s="52"/>
      <c r="E55" s="52"/>
      <c r="F55" s="52"/>
      <c r="G55" s="20"/>
      <c r="H55" s="15"/>
    </row>
    <row r="56" spans="1:8" customFormat="1" ht="15.75">
      <c r="A56" s="49" t="s">
        <v>70</v>
      </c>
      <c r="B56" s="53"/>
      <c r="C56" s="53" t="s">
        <v>71</v>
      </c>
      <c r="D56" s="54"/>
      <c r="E56" s="54"/>
      <c r="F56" s="55"/>
      <c r="G56" s="50" t="s">
        <v>37</v>
      </c>
      <c r="H56" s="23"/>
    </row>
    <row r="57" spans="1:8">
      <c r="H57" s="16"/>
    </row>
    <row r="58" spans="1:8">
      <c r="H58" s="16"/>
    </row>
    <row r="59" spans="1:8">
      <c r="H59" s="16"/>
    </row>
    <row r="60" spans="1:8">
      <c r="H60" s="16"/>
    </row>
    <row r="61" spans="1:8">
      <c r="H61" s="16"/>
    </row>
    <row r="62" spans="1:8">
      <c r="H62" s="16"/>
    </row>
    <row r="63" spans="1:8">
      <c r="H63" s="16"/>
    </row>
    <row r="64" spans="1:8">
      <c r="B64" s="5"/>
      <c r="H64" s="16"/>
    </row>
    <row r="65" spans="2:8">
      <c r="B65" s="5"/>
      <c r="H65" s="16"/>
    </row>
    <row r="66" spans="2:8">
      <c r="B66" s="5"/>
      <c r="H66" s="16"/>
    </row>
    <row r="67" spans="2:8">
      <c r="B67" s="5"/>
      <c r="H67" s="16"/>
    </row>
    <row r="68" spans="2:8">
      <c r="B68" s="5"/>
      <c r="H68" s="16"/>
    </row>
    <row r="69" spans="2:8">
      <c r="B69" s="5"/>
      <c r="H69" s="16"/>
    </row>
    <row r="70" spans="2:8">
      <c r="B70" s="5"/>
      <c r="H70" s="16"/>
    </row>
    <row r="71" spans="2:8">
      <c r="B71" s="5"/>
      <c r="H71" s="16"/>
    </row>
    <row r="72" spans="2:8">
      <c r="B72" s="5"/>
      <c r="H72" s="16"/>
    </row>
    <row r="73" spans="2:8">
      <c r="B73" s="5"/>
      <c r="H73" s="16"/>
    </row>
    <row r="74" spans="2:8">
      <c r="B74" s="5"/>
      <c r="H74" s="16"/>
    </row>
    <row r="75" spans="2:8">
      <c r="B75" s="5"/>
      <c r="H75" s="16"/>
    </row>
    <row r="76" spans="2:8">
      <c r="B76" s="5"/>
      <c r="H76" s="16"/>
    </row>
    <row r="77" spans="2:8">
      <c r="B77" s="5"/>
      <c r="H77" s="16"/>
    </row>
    <row r="78" spans="2:8">
      <c r="B78" s="5"/>
      <c r="H78" s="16"/>
    </row>
    <row r="79" spans="2:8">
      <c r="B79" s="5"/>
      <c r="H79" s="16"/>
    </row>
    <row r="80" spans="2:8">
      <c r="B80" s="5"/>
      <c r="H80" s="16"/>
    </row>
    <row r="81" spans="2:8">
      <c r="B81" s="5"/>
      <c r="H81" s="16"/>
    </row>
    <row r="82" spans="2:8">
      <c r="B82" s="5"/>
      <c r="H82" s="16"/>
    </row>
    <row r="83" spans="2:8">
      <c r="B83" s="5"/>
      <c r="H83" s="16"/>
    </row>
    <row r="84" spans="2:8">
      <c r="B84" s="5"/>
      <c r="H84" s="16"/>
    </row>
    <row r="85" spans="2:8">
      <c r="B85" s="5"/>
      <c r="H85" s="16"/>
    </row>
    <row r="86" spans="2:8">
      <c r="B86" s="5"/>
      <c r="H86" s="16"/>
    </row>
    <row r="87" spans="2:8">
      <c r="B87" s="5"/>
      <c r="H87" s="16"/>
    </row>
    <row r="88" spans="2:8">
      <c r="B88" s="5"/>
      <c r="H88" s="16"/>
    </row>
    <row r="89" spans="2:8">
      <c r="B89" s="5"/>
      <c r="H89" s="16"/>
    </row>
    <row r="90" spans="2:8">
      <c r="B90" s="5"/>
      <c r="H90" s="16"/>
    </row>
    <row r="91" spans="2:8">
      <c r="B91" s="5"/>
      <c r="H91" s="16"/>
    </row>
    <row r="92" spans="2:8">
      <c r="B92" s="5"/>
      <c r="H92" s="16"/>
    </row>
    <row r="93" spans="2:8">
      <c r="B93" s="5"/>
      <c r="H93" s="16"/>
    </row>
    <row r="94" spans="2:8">
      <c r="B94" s="5"/>
      <c r="H94" s="16"/>
    </row>
    <row r="95" spans="2:8">
      <c r="B95" s="5"/>
      <c r="H95" s="16"/>
    </row>
    <row r="96" spans="2:8">
      <c r="B96" s="5"/>
      <c r="H96" s="16"/>
    </row>
    <row r="97" spans="2:8">
      <c r="B97" s="5"/>
      <c r="H97" s="16"/>
    </row>
    <row r="98" spans="2:8">
      <c r="B98" s="5"/>
      <c r="H98" s="16"/>
    </row>
    <row r="99" spans="2:8">
      <c r="B99" s="5"/>
      <c r="H99" s="16"/>
    </row>
    <row r="100" spans="2:8">
      <c r="B100" s="5"/>
      <c r="H100" s="16"/>
    </row>
    <row r="101" spans="2:8">
      <c r="B101" s="5"/>
      <c r="H101" s="16"/>
    </row>
    <row r="102" spans="2:8">
      <c r="B102" s="5"/>
      <c r="H102" s="16"/>
    </row>
    <row r="103" spans="2:8">
      <c r="B103" s="5"/>
      <c r="H103" s="16"/>
    </row>
    <row r="104" spans="2:8">
      <c r="B104" s="5"/>
      <c r="H104" s="16"/>
    </row>
    <row r="105" spans="2:8">
      <c r="B105" s="5"/>
      <c r="H105" s="16"/>
    </row>
    <row r="106" spans="2:8">
      <c r="B106" s="5"/>
      <c r="H106" s="16"/>
    </row>
    <row r="107" spans="2:8">
      <c r="B107" s="5"/>
      <c r="H107" s="16"/>
    </row>
    <row r="108" spans="2:8">
      <c r="B108" s="5"/>
      <c r="H108" s="16"/>
    </row>
    <row r="109" spans="2:8">
      <c r="B109" s="5"/>
      <c r="H109" s="16"/>
    </row>
    <row r="110" spans="2:8">
      <c r="B110" s="5"/>
      <c r="H110" s="16"/>
    </row>
    <row r="111" spans="2:8">
      <c r="B111" s="5"/>
      <c r="H111" s="16"/>
    </row>
    <row r="112" spans="2:8">
      <c r="B112" s="5"/>
      <c r="H112" s="16"/>
    </row>
    <row r="113" spans="2:8">
      <c r="B113" s="5"/>
      <c r="H113" s="16"/>
    </row>
    <row r="114" spans="2:8">
      <c r="B114" s="5"/>
      <c r="H114" s="16"/>
    </row>
    <row r="115" spans="2:8">
      <c r="B115" s="5"/>
      <c r="H115" s="16"/>
    </row>
    <row r="116" spans="2:8">
      <c r="B116" s="5"/>
      <c r="H116" s="16"/>
    </row>
    <row r="117" spans="2:8">
      <c r="B117" s="5"/>
      <c r="H117" s="16"/>
    </row>
    <row r="118" spans="2:8">
      <c r="B118" s="5"/>
      <c r="H118" s="16"/>
    </row>
    <row r="119" spans="2:8">
      <c r="B119" s="5"/>
      <c r="H119" s="16"/>
    </row>
    <row r="120" spans="2:8">
      <c r="B120" s="5"/>
      <c r="H120" s="16"/>
    </row>
    <row r="121" spans="2:8">
      <c r="B121" s="5"/>
      <c r="H121" s="16"/>
    </row>
    <row r="122" spans="2:8">
      <c r="B122" s="5"/>
      <c r="H122" s="16"/>
    </row>
    <row r="123" spans="2:8">
      <c r="B123" s="5"/>
      <c r="H123" s="16"/>
    </row>
    <row r="124" spans="2:8">
      <c r="B124" s="5"/>
      <c r="H124" s="16"/>
    </row>
    <row r="125" spans="2:8">
      <c r="B125" s="5"/>
      <c r="H125" s="16"/>
    </row>
    <row r="126" spans="2:8">
      <c r="B126" s="5"/>
      <c r="H126" s="16"/>
    </row>
    <row r="127" spans="2:8">
      <c r="B127" s="5"/>
      <c r="H127" s="16"/>
    </row>
    <row r="128" spans="2:8">
      <c r="B128" s="5"/>
      <c r="H128" s="16"/>
    </row>
    <row r="129" spans="2:8">
      <c r="B129" s="5"/>
      <c r="H129" s="16"/>
    </row>
    <row r="130" spans="2:8">
      <c r="B130" s="5"/>
      <c r="H130" s="16"/>
    </row>
    <row r="131" spans="2:8">
      <c r="B131" s="5"/>
      <c r="H131" s="16"/>
    </row>
    <row r="132" spans="2:8">
      <c r="B132" s="5"/>
      <c r="H132" s="16"/>
    </row>
    <row r="133" spans="2:8">
      <c r="B133" s="5"/>
      <c r="H133" s="16"/>
    </row>
    <row r="134" spans="2:8">
      <c r="B134" s="5"/>
      <c r="H134" s="16"/>
    </row>
    <row r="135" spans="2:8">
      <c r="B135" s="5"/>
      <c r="H135" s="16"/>
    </row>
    <row r="136" spans="2:8">
      <c r="B136" s="5"/>
      <c r="H136" s="16"/>
    </row>
    <row r="137" spans="2:8">
      <c r="B137" s="5"/>
      <c r="H137" s="16"/>
    </row>
    <row r="138" spans="2:8">
      <c r="B138" s="5"/>
      <c r="H138" s="16"/>
    </row>
    <row r="139" spans="2:8">
      <c r="B139" s="5"/>
      <c r="H139" s="16"/>
    </row>
    <row r="140" spans="2:8">
      <c r="B140" s="5"/>
      <c r="H140" s="16"/>
    </row>
    <row r="141" spans="2:8">
      <c r="B141" s="5"/>
      <c r="H141" s="16"/>
    </row>
    <row r="142" spans="2:8">
      <c r="B142" s="5"/>
      <c r="H142" s="16"/>
    </row>
    <row r="143" spans="2:8">
      <c r="B143" s="5"/>
      <c r="H143" s="16"/>
    </row>
    <row r="144" spans="2:8">
      <c r="B144" s="5"/>
      <c r="H144" s="16"/>
    </row>
    <row r="145" spans="2:8">
      <c r="B145" s="5"/>
      <c r="H145" s="16"/>
    </row>
    <row r="146" spans="2:8">
      <c r="B146" s="5"/>
      <c r="H146" s="16"/>
    </row>
    <row r="147" spans="2:8">
      <c r="B147" s="5"/>
      <c r="H147" s="16"/>
    </row>
    <row r="148" spans="2:8">
      <c r="B148" s="5"/>
      <c r="H148" s="16"/>
    </row>
    <row r="149" spans="2:8">
      <c r="B149" s="5"/>
      <c r="H149" s="16"/>
    </row>
    <row r="150" spans="2:8">
      <c r="B150" s="5"/>
      <c r="H150" s="16"/>
    </row>
    <row r="151" spans="2:8">
      <c r="B151" s="5"/>
      <c r="H151" s="16"/>
    </row>
    <row r="152" spans="2:8">
      <c r="B152" s="5"/>
      <c r="H152" s="16"/>
    </row>
    <row r="153" spans="2:8">
      <c r="B153" s="5"/>
      <c r="H153" s="16"/>
    </row>
    <row r="154" spans="2:8">
      <c r="B154" s="5"/>
      <c r="H154" s="16"/>
    </row>
    <row r="155" spans="2:8">
      <c r="B155" s="5"/>
      <c r="H155" s="16"/>
    </row>
    <row r="156" spans="2:8">
      <c r="B156" s="5"/>
      <c r="H156" s="16"/>
    </row>
    <row r="157" spans="2:8">
      <c r="B157" s="5"/>
      <c r="H157" s="16"/>
    </row>
    <row r="158" spans="2:8">
      <c r="B158" s="5"/>
      <c r="H158" s="16"/>
    </row>
    <row r="159" spans="2:8">
      <c r="B159" s="5"/>
      <c r="H159" s="16"/>
    </row>
    <row r="160" spans="2:8">
      <c r="B160" s="5"/>
      <c r="H160" s="16"/>
    </row>
    <row r="161" spans="2:8">
      <c r="B161" s="5"/>
      <c r="H161" s="16"/>
    </row>
    <row r="162" spans="2:8">
      <c r="B162" s="5"/>
      <c r="H162" s="16"/>
    </row>
    <row r="163" spans="2:8">
      <c r="B163" s="5"/>
      <c r="H163" s="16"/>
    </row>
    <row r="164" spans="2:8">
      <c r="B164" s="5"/>
      <c r="H164" s="16"/>
    </row>
    <row r="165" spans="2:8">
      <c r="B165" s="5"/>
      <c r="H165" s="16"/>
    </row>
    <row r="166" spans="2:8">
      <c r="B166" s="5"/>
      <c r="H166" s="16"/>
    </row>
    <row r="167" spans="2:8">
      <c r="B167" s="5"/>
      <c r="H167" s="16"/>
    </row>
    <row r="168" spans="2:8">
      <c r="B168" s="5"/>
      <c r="H168" s="16"/>
    </row>
    <row r="169" spans="2:8">
      <c r="B169" s="5"/>
      <c r="H169" s="16"/>
    </row>
    <row r="170" spans="2:8">
      <c r="B170" s="5"/>
      <c r="H170" s="16"/>
    </row>
    <row r="171" spans="2:8">
      <c r="B171" s="5"/>
      <c r="H171" s="16"/>
    </row>
    <row r="172" spans="2:8">
      <c r="B172" s="5"/>
      <c r="H172" s="16"/>
    </row>
    <row r="173" spans="2:8">
      <c r="B173" s="5"/>
      <c r="H173" s="16"/>
    </row>
    <row r="174" spans="2:8">
      <c r="B174" s="5"/>
      <c r="H174" s="16"/>
    </row>
    <row r="175" spans="2:8">
      <c r="B175" s="5"/>
      <c r="H175" s="16"/>
    </row>
    <row r="176" spans="2:8">
      <c r="B176" s="5"/>
      <c r="H176" s="16"/>
    </row>
    <row r="177" spans="2:8">
      <c r="B177" s="5"/>
      <c r="H177" s="16"/>
    </row>
    <row r="178" spans="2:8">
      <c r="B178" s="5"/>
      <c r="H178" s="16"/>
    </row>
    <row r="179" spans="2:8">
      <c r="B179" s="5"/>
      <c r="H179" s="16"/>
    </row>
    <row r="180" spans="2:8">
      <c r="B180" s="5"/>
      <c r="H180" s="16"/>
    </row>
    <row r="181" spans="2:8">
      <c r="B181" s="5"/>
      <c r="H181" s="16"/>
    </row>
    <row r="182" spans="2:8">
      <c r="B182" s="5"/>
      <c r="H182" s="16"/>
    </row>
    <row r="183" spans="2:8">
      <c r="B183" s="5"/>
      <c r="H183" s="16"/>
    </row>
    <row r="184" spans="2:8">
      <c r="B184" s="5"/>
      <c r="H184" s="16"/>
    </row>
    <row r="185" spans="2:8">
      <c r="B185" s="5"/>
      <c r="H185" s="16"/>
    </row>
    <row r="186" spans="2:8">
      <c r="B186" s="5"/>
      <c r="H186" s="16"/>
    </row>
    <row r="187" spans="2:8">
      <c r="B187" s="5"/>
      <c r="H187" s="16"/>
    </row>
    <row r="188" spans="2:8">
      <c r="B188" s="5"/>
      <c r="H188" s="16"/>
    </row>
    <row r="189" spans="2:8">
      <c r="B189" s="5"/>
      <c r="H189" s="16"/>
    </row>
    <row r="190" spans="2:8">
      <c r="B190" s="5"/>
      <c r="H190" s="16"/>
    </row>
    <row r="191" spans="2:8">
      <c r="B191" s="5"/>
      <c r="H191" s="16"/>
    </row>
    <row r="192" spans="2:8">
      <c r="B192" s="5"/>
      <c r="H192" s="16"/>
    </row>
    <row r="193" spans="2:8">
      <c r="B193" s="5"/>
      <c r="H193" s="16"/>
    </row>
    <row r="194" spans="2:8">
      <c r="B194" s="5"/>
      <c r="H194" s="16"/>
    </row>
    <row r="195" spans="2:8">
      <c r="B195" s="5"/>
      <c r="H195" s="16"/>
    </row>
    <row r="196" spans="2:8">
      <c r="B196" s="5"/>
      <c r="H196" s="16"/>
    </row>
    <row r="197" spans="2:8">
      <c r="B197" s="5"/>
      <c r="H197" s="16"/>
    </row>
    <row r="198" spans="2:8">
      <c r="B198" s="5"/>
      <c r="H198" s="16"/>
    </row>
    <row r="199" spans="2:8">
      <c r="B199" s="5"/>
      <c r="H199" s="16"/>
    </row>
    <row r="200" spans="2:8">
      <c r="B200" s="5"/>
      <c r="H200" s="16"/>
    </row>
    <row r="201" spans="2:8">
      <c r="B201" s="5"/>
      <c r="H201" s="16"/>
    </row>
    <row r="202" spans="2:8">
      <c r="B202" s="5"/>
      <c r="H202" s="16"/>
    </row>
    <row r="203" spans="2:8">
      <c r="B203" s="5"/>
      <c r="H203" s="16"/>
    </row>
    <row r="204" spans="2:8">
      <c r="B204" s="5"/>
      <c r="H204" s="16"/>
    </row>
    <row r="205" spans="2:8">
      <c r="B205" s="5"/>
      <c r="H205" s="16"/>
    </row>
    <row r="206" spans="2:8">
      <c r="B206" s="5"/>
      <c r="H206" s="16"/>
    </row>
    <row r="207" spans="2:8">
      <c r="B207" s="5"/>
      <c r="H207" s="16"/>
    </row>
    <row r="208" spans="2:8">
      <c r="B208" s="5"/>
      <c r="H208" s="16"/>
    </row>
    <row r="209" spans="2:8">
      <c r="B209" s="5"/>
      <c r="H209" s="16"/>
    </row>
    <row r="210" spans="2:8">
      <c r="B210" s="5"/>
      <c r="H210" s="16"/>
    </row>
    <row r="211" spans="2:8">
      <c r="B211" s="5"/>
      <c r="H211" s="16"/>
    </row>
    <row r="212" spans="2:8">
      <c r="B212" s="5"/>
      <c r="H212" s="16"/>
    </row>
    <row r="213" spans="2:8">
      <c r="B213" s="5"/>
      <c r="H213" s="16"/>
    </row>
    <row r="214" spans="2:8">
      <c r="B214" s="5"/>
      <c r="H214" s="16"/>
    </row>
    <row r="215" spans="2:8">
      <c r="B215" s="5"/>
      <c r="H215" s="16"/>
    </row>
    <row r="216" spans="2:8">
      <c r="B216" s="5"/>
      <c r="H216" s="16"/>
    </row>
    <row r="217" spans="2:8">
      <c r="B217" s="5"/>
      <c r="H217" s="16"/>
    </row>
    <row r="218" spans="2:8">
      <c r="B218" s="5"/>
      <c r="H218" s="16"/>
    </row>
    <row r="219" spans="2:8">
      <c r="B219" s="5"/>
      <c r="H219" s="16"/>
    </row>
    <row r="220" spans="2:8">
      <c r="B220" s="5"/>
      <c r="H220" s="16"/>
    </row>
    <row r="221" spans="2:8">
      <c r="B221" s="5"/>
      <c r="H221" s="16"/>
    </row>
    <row r="222" spans="2:8">
      <c r="B222" s="5"/>
      <c r="H222" s="16"/>
    </row>
    <row r="223" spans="2:8">
      <c r="B223" s="5"/>
      <c r="H223" s="16"/>
    </row>
    <row r="224" spans="2:8">
      <c r="B224" s="5"/>
      <c r="H224" s="16"/>
    </row>
    <row r="225" spans="2:8">
      <c r="B225" s="5"/>
      <c r="H225" s="16"/>
    </row>
    <row r="226" spans="2:8">
      <c r="B226" s="5"/>
      <c r="H226" s="16"/>
    </row>
    <row r="227" spans="2:8">
      <c r="B227" s="5"/>
      <c r="H227" s="16"/>
    </row>
    <row r="228" spans="2:8">
      <c r="B228" s="5"/>
      <c r="H228" s="16"/>
    </row>
    <row r="229" spans="2:8">
      <c r="B229" s="5"/>
      <c r="H229" s="16"/>
    </row>
    <row r="230" spans="2:8">
      <c r="B230" s="5"/>
      <c r="H230" s="16"/>
    </row>
    <row r="231" spans="2:8">
      <c r="B231" s="5"/>
      <c r="H231" s="16"/>
    </row>
    <row r="232" spans="2:8">
      <c r="B232" s="5"/>
      <c r="H232" s="16"/>
    </row>
    <row r="233" spans="2:8">
      <c r="B233" s="5"/>
      <c r="H233" s="16"/>
    </row>
    <row r="234" spans="2:8">
      <c r="B234" s="5"/>
      <c r="H234" s="16"/>
    </row>
    <row r="235" spans="2:8">
      <c r="B235" s="5"/>
      <c r="H235" s="16"/>
    </row>
    <row r="236" spans="2:8">
      <c r="B236" s="5"/>
      <c r="H236" s="16"/>
    </row>
    <row r="237" spans="2:8">
      <c r="B237" s="5"/>
      <c r="H237" s="16"/>
    </row>
    <row r="238" spans="2:8">
      <c r="B238" s="5"/>
      <c r="H238" s="16"/>
    </row>
    <row r="239" spans="2:8">
      <c r="B239" s="5"/>
      <c r="H239" s="16"/>
    </row>
    <row r="240" spans="2:8">
      <c r="B240" s="5"/>
      <c r="H240" s="16"/>
    </row>
    <row r="241" spans="2:8">
      <c r="B241" s="5"/>
      <c r="H241" s="16"/>
    </row>
    <row r="242" spans="2:8">
      <c r="B242" s="5"/>
      <c r="H242" s="16"/>
    </row>
    <row r="243" spans="2:8">
      <c r="B243" s="5"/>
      <c r="H243" s="16"/>
    </row>
    <row r="244" spans="2:8">
      <c r="B244" s="5"/>
      <c r="H244" s="16"/>
    </row>
    <row r="245" spans="2:8">
      <c r="B245" s="5"/>
      <c r="H245" s="16"/>
    </row>
    <row r="246" spans="2:8">
      <c r="B246" s="5"/>
      <c r="H246" s="16"/>
    </row>
    <row r="247" spans="2:8">
      <c r="B247" s="5"/>
      <c r="H247" s="16"/>
    </row>
    <row r="248" spans="2:8">
      <c r="B248" s="5"/>
      <c r="H248" s="16"/>
    </row>
    <row r="249" spans="2:8">
      <c r="B249" s="5"/>
      <c r="H249" s="16"/>
    </row>
    <row r="250" spans="2:8">
      <c r="B250" s="5"/>
      <c r="H250" s="16"/>
    </row>
    <row r="251" spans="2:8">
      <c r="B251" s="5"/>
      <c r="H251" s="16"/>
    </row>
    <row r="252" spans="2:8">
      <c r="B252" s="5"/>
      <c r="H252" s="16"/>
    </row>
    <row r="253" spans="2:8">
      <c r="B253" s="5"/>
      <c r="H253" s="16"/>
    </row>
    <row r="254" spans="2:8">
      <c r="B254" s="5"/>
      <c r="H254" s="16"/>
    </row>
    <row r="255" spans="2:8">
      <c r="B255" s="5"/>
      <c r="H255" s="16"/>
    </row>
    <row r="256" spans="2:8">
      <c r="B256" s="5"/>
      <c r="H256" s="16"/>
    </row>
    <row r="257" spans="2:8">
      <c r="B257" s="5"/>
      <c r="H257" s="16"/>
    </row>
    <row r="258" spans="2:8">
      <c r="B258" s="5"/>
      <c r="H258" s="16"/>
    </row>
    <row r="259" spans="2:8">
      <c r="B259" s="5"/>
      <c r="H259" s="16"/>
    </row>
    <row r="260" spans="2:8">
      <c r="B260" s="5"/>
      <c r="H260" s="16"/>
    </row>
    <row r="261" spans="2:8">
      <c r="B261" s="5"/>
      <c r="H261" s="16"/>
    </row>
    <row r="262" spans="2:8">
      <c r="B262" s="5"/>
      <c r="H262" s="16"/>
    </row>
    <row r="263" spans="2:8">
      <c r="B263" s="5"/>
      <c r="H263" s="16"/>
    </row>
    <row r="264" spans="2:8">
      <c r="B264" s="5"/>
      <c r="H264" s="16"/>
    </row>
    <row r="265" spans="2:8">
      <c r="B265" s="5"/>
      <c r="H265" s="16"/>
    </row>
    <row r="266" spans="2:8">
      <c r="B266" s="5"/>
      <c r="H266" s="16"/>
    </row>
    <row r="267" spans="2:8">
      <c r="B267" s="5"/>
      <c r="H267" s="16"/>
    </row>
    <row r="268" spans="2:8">
      <c r="B268" s="5"/>
      <c r="H268" s="16"/>
    </row>
    <row r="269" spans="2:8">
      <c r="B269" s="5"/>
      <c r="H269" s="16"/>
    </row>
    <row r="270" spans="2:8">
      <c r="B270" s="5"/>
      <c r="H270" s="16"/>
    </row>
    <row r="271" spans="2:8">
      <c r="B271" s="5"/>
      <c r="H271" s="16"/>
    </row>
    <row r="272" spans="2:8">
      <c r="B272" s="5"/>
      <c r="H272" s="16"/>
    </row>
    <row r="273" spans="2:8">
      <c r="B273" s="5"/>
      <c r="H273" s="16"/>
    </row>
    <row r="274" spans="2:8">
      <c r="B274" s="5"/>
      <c r="H274" s="16"/>
    </row>
    <row r="275" spans="2:8">
      <c r="B275" s="5"/>
      <c r="H275" s="16"/>
    </row>
    <row r="276" spans="2:8">
      <c r="B276" s="5"/>
      <c r="H276" s="16"/>
    </row>
    <row r="277" spans="2:8">
      <c r="B277" s="5"/>
      <c r="H277" s="16"/>
    </row>
    <row r="278" spans="2:8">
      <c r="B278" s="5"/>
      <c r="H278" s="16"/>
    </row>
    <row r="279" spans="2:8">
      <c r="B279" s="5"/>
      <c r="H279" s="16"/>
    </row>
    <row r="280" spans="2:8">
      <c r="B280" s="5"/>
      <c r="H280" s="16"/>
    </row>
    <row r="281" spans="2:8">
      <c r="B281" s="5"/>
      <c r="H281" s="16"/>
    </row>
    <row r="282" spans="2:8">
      <c r="B282" s="5"/>
      <c r="H282" s="16"/>
    </row>
    <row r="283" spans="2:8">
      <c r="B283" s="5"/>
      <c r="H283" s="16"/>
    </row>
    <row r="284" spans="2:8">
      <c r="B284" s="5"/>
      <c r="H284" s="16"/>
    </row>
    <row r="285" spans="2:8">
      <c r="B285" s="5"/>
      <c r="H285" s="16"/>
    </row>
    <row r="286" spans="2:8">
      <c r="B286" s="5"/>
      <c r="H286" s="16"/>
    </row>
    <row r="287" spans="2:8">
      <c r="B287" s="5"/>
      <c r="H287" s="16"/>
    </row>
    <row r="288" spans="2:8">
      <c r="B288" s="5"/>
      <c r="H288" s="16"/>
    </row>
    <row r="289" spans="2:8">
      <c r="B289" s="5"/>
      <c r="H289" s="16"/>
    </row>
    <row r="290" spans="2:8">
      <c r="B290" s="5"/>
      <c r="H290" s="16"/>
    </row>
    <row r="291" spans="2:8">
      <c r="B291" s="5"/>
      <c r="H291" s="16"/>
    </row>
    <row r="292" spans="2:8">
      <c r="B292" s="5"/>
      <c r="H292" s="16"/>
    </row>
    <row r="293" spans="2:8">
      <c r="B293" s="5"/>
      <c r="H293" s="16"/>
    </row>
    <row r="294" spans="2:8">
      <c r="B294" s="5"/>
      <c r="H294" s="16"/>
    </row>
    <row r="295" spans="2:8">
      <c r="B295" s="5"/>
      <c r="H295" s="16"/>
    </row>
    <row r="296" spans="2:8">
      <c r="B296" s="5"/>
      <c r="H296" s="16"/>
    </row>
    <row r="297" spans="2:8">
      <c r="B297" s="5"/>
      <c r="H297" s="16"/>
    </row>
    <row r="298" spans="2:8">
      <c r="B298" s="5"/>
      <c r="H298" s="16"/>
    </row>
    <row r="299" spans="2:8">
      <c r="B299" s="5"/>
      <c r="H299" s="16"/>
    </row>
    <row r="300" spans="2:8">
      <c r="B300" s="5"/>
      <c r="H300" s="16"/>
    </row>
    <row r="301" spans="2:8">
      <c r="B301" s="5"/>
      <c r="H301" s="16"/>
    </row>
    <row r="302" spans="2:8">
      <c r="B302" s="5"/>
      <c r="H302" s="16"/>
    </row>
    <row r="303" spans="2:8">
      <c r="B303" s="5"/>
      <c r="H303" s="16"/>
    </row>
    <row r="304" spans="2:8">
      <c r="B304" s="5"/>
      <c r="H304" s="16"/>
    </row>
    <row r="305" spans="2:8">
      <c r="B305" s="5"/>
      <c r="H305" s="16"/>
    </row>
    <row r="306" spans="2:8">
      <c r="B306" s="5"/>
      <c r="H306" s="16"/>
    </row>
    <row r="307" spans="2:8">
      <c r="B307" s="5"/>
      <c r="H307" s="16"/>
    </row>
    <row r="308" spans="2:8">
      <c r="B308" s="5"/>
      <c r="H308" s="16"/>
    </row>
    <row r="309" spans="2:8">
      <c r="B309" s="5"/>
      <c r="H309" s="16"/>
    </row>
    <row r="310" spans="2:8">
      <c r="B310" s="5"/>
      <c r="H310" s="16"/>
    </row>
    <row r="311" spans="2:8">
      <c r="B311" s="5"/>
      <c r="H311" s="16"/>
    </row>
    <row r="312" spans="2:8">
      <c r="B312" s="5"/>
      <c r="H312" s="16"/>
    </row>
    <row r="313" spans="2:8">
      <c r="B313" s="5"/>
      <c r="H313" s="16"/>
    </row>
    <row r="314" spans="2:8">
      <c r="B314" s="5"/>
      <c r="H314" s="16"/>
    </row>
    <row r="315" spans="2:8">
      <c r="B315" s="5"/>
      <c r="H315" s="16"/>
    </row>
    <row r="316" spans="2:8">
      <c r="B316" s="5"/>
      <c r="H316" s="16"/>
    </row>
    <row r="317" spans="2:8">
      <c r="B317" s="5"/>
      <c r="H317" s="16"/>
    </row>
    <row r="318" spans="2:8">
      <c r="B318" s="5"/>
      <c r="H318" s="16"/>
    </row>
    <row r="319" spans="2:8">
      <c r="B319" s="5"/>
      <c r="H319" s="16"/>
    </row>
    <row r="320" spans="2:8">
      <c r="B320" s="5"/>
      <c r="H320" s="16"/>
    </row>
    <row r="321" spans="2:8">
      <c r="B321" s="5"/>
      <c r="H321" s="16"/>
    </row>
    <row r="322" spans="2:8">
      <c r="B322" s="5"/>
      <c r="H322" s="16"/>
    </row>
    <row r="323" spans="2:8">
      <c r="B323" s="5"/>
      <c r="H323" s="16"/>
    </row>
    <row r="324" spans="2:8">
      <c r="B324" s="5"/>
      <c r="H324" s="16"/>
    </row>
    <row r="325" spans="2:8">
      <c r="B325" s="5"/>
      <c r="H325" s="16"/>
    </row>
    <row r="326" spans="2:8">
      <c r="B326" s="5"/>
      <c r="H326" s="16"/>
    </row>
    <row r="327" spans="2:8">
      <c r="B327" s="5"/>
      <c r="H327" s="16"/>
    </row>
    <row r="328" spans="2:8">
      <c r="B328" s="5"/>
      <c r="H328" s="16"/>
    </row>
    <row r="329" spans="2:8">
      <c r="B329" s="5"/>
      <c r="H329" s="16"/>
    </row>
    <row r="330" spans="2:8">
      <c r="B330" s="5"/>
      <c r="H330" s="16"/>
    </row>
    <row r="331" spans="2:8">
      <c r="B331" s="5"/>
      <c r="H331" s="16"/>
    </row>
    <row r="332" spans="2:8">
      <c r="B332" s="5"/>
      <c r="H332" s="16"/>
    </row>
    <row r="333" spans="2:8">
      <c r="B333" s="5"/>
      <c r="H333" s="16"/>
    </row>
    <row r="334" spans="2:8">
      <c r="B334" s="5"/>
      <c r="H334" s="16"/>
    </row>
    <row r="335" spans="2:8">
      <c r="B335" s="5"/>
      <c r="H335" s="16"/>
    </row>
    <row r="336" spans="2:8">
      <c r="B336" s="5"/>
      <c r="H336" s="16"/>
    </row>
    <row r="337" spans="2:8">
      <c r="B337" s="5"/>
      <c r="H337" s="16"/>
    </row>
    <row r="338" spans="2:8">
      <c r="B338" s="5"/>
      <c r="H338" s="16"/>
    </row>
    <row r="339" spans="2:8">
      <c r="B339" s="5"/>
      <c r="H339" s="16"/>
    </row>
    <row r="340" spans="2:8">
      <c r="B340" s="5"/>
      <c r="H340" s="16"/>
    </row>
    <row r="341" spans="2:8">
      <c r="B341" s="5"/>
      <c r="H341" s="16"/>
    </row>
    <row r="342" spans="2:8">
      <c r="B342" s="5"/>
      <c r="H342" s="16"/>
    </row>
    <row r="343" spans="2:8">
      <c r="B343" s="5"/>
      <c r="H343" s="16"/>
    </row>
    <row r="344" spans="2:8">
      <c r="B344" s="5"/>
      <c r="H344" s="16"/>
    </row>
    <row r="345" spans="2:8">
      <c r="B345" s="5"/>
      <c r="H345" s="16"/>
    </row>
    <row r="346" spans="2:8">
      <c r="B346" s="5"/>
      <c r="H346" s="16"/>
    </row>
    <row r="347" spans="2:8">
      <c r="B347" s="5"/>
      <c r="H347" s="16"/>
    </row>
    <row r="348" spans="2:8">
      <c r="B348" s="5"/>
      <c r="H348" s="16"/>
    </row>
    <row r="349" spans="2:8">
      <c r="B349" s="5"/>
      <c r="H349" s="16"/>
    </row>
    <row r="350" spans="2:8">
      <c r="B350" s="5"/>
      <c r="H350" s="16"/>
    </row>
    <row r="351" spans="2:8">
      <c r="B351" s="5"/>
      <c r="H351" s="16"/>
    </row>
    <row r="352" spans="2:8">
      <c r="B352" s="5"/>
      <c r="H352" s="16"/>
    </row>
    <row r="353" spans="2:8">
      <c r="B353" s="5"/>
      <c r="H353" s="16"/>
    </row>
    <row r="354" spans="2:8">
      <c r="B354" s="5"/>
      <c r="H354" s="16"/>
    </row>
    <row r="355" spans="2:8">
      <c r="B355" s="5"/>
      <c r="H355" s="16"/>
    </row>
    <row r="356" spans="2:8">
      <c r="B356" s="5"/>
      <c r="H356" s="16"/>
    </row>
    <row r="357" spans="2:8">
      <c r="B357" s="5"/>
      <c r="H357" s="16"/>
    </row>
    <row r="358" spans="2:8">
      <c r="B358" s="5"/>
      <c r="H358" s="16"/>
    </row>
    <row r="359" spans="2:8">
      <c r="B359" s="5"/>
      <c r="H359" s="16"/>
    </row>
    <row r="360" spans="2:8">
      <c r="B360" s="5"/>
      <c r="H360" s="16"/>
    </row>
    <row r="361" spans="2:8">
      <c r="B361" s="5"/>
      <c r="H361" s="16"/>
    </row>
    <row r="362" spans="2:8">
      <c r="B362" s="5"/>
      <c r="H362" s="16"/>
    </row>
    <row r="363" spans="2:8">
      <c r="B363" s="5"/>
      <c r="H363" s="16"/>
    </row>
    <row r="364" spans="2:8">
      <c r="B364" s="5"/>
      <c r="H364" s="16"/>
    </row>
    <row r="365" spans="2:8">
      <c r="B365" s="5"/>
      <c r="H365" s="16"/>
    </row>
    <row r="366" spans="2:8">
      <c r="B366" s="5"/>
      <c r="H366" s="16"/>
    </row>
    <row r="367" spans="2:8">
      <c r="B367" s="5"/>
      <c r="H367" s="16"/>
    </row>
    <row r="368" spans="2:8">
      <c r="B368" s="5"/>
      <c r="H368" s="16"/>
    </row>
    <row r="369" spans="2:8">
      <c r="B369" s="5"/>
      <c r="H369" s="16"/>
    </row>
    <row r="370" spans="2:8">
      <c r="B370" s="5"/>
      <c r="H370" s="16"/>
    </row>
    <row r="371" spans="2:8">
      <c r="B371" s="5"/>
      <c r="H371" s="16"/>
    </row>
    <row r="372" spans="2:8">
      <c r="B372" s="5"/>
      <c r="H372" s="16"/>
    </row>
    <row r="373" spans="2:8">
      <c r="B373" s="5"/>
      <c r="H373" s="16"/>
    </row>
    <row r="374" spans="2:8">
      <c r="B374" s="5"/>
      <c r="H374" s="16"/>
    </row>
    <row r="375" spans="2:8">
      <c r="B375" s="5"/>
      <c r="H375" s="16"/>
    </row>
    <row r="376" spans="2:8">
      <c r="B376" s="5"/>
      <c r="H376" s="16"/>
    </row>
    <row r="377" spans="2:8">
      <c r="B377" s="5"/>
      <c r="H377" s="16"/>
    </row>
    <row r="378" spans="2:8">
      <c r="B378" s="5"/>
      <c r="H378" s="16"/>
    </row>
    <row r="379" spans="2:8">
      <c r="B379" s="5"/>
      <c r="H379" s="16"/>
    </row>
    <row r="380" spans="2:8">
      <c r="B380" s="5"/>
      <c r="H380" s="16"/>
    </row>
    <row r="381" spans="2:8">
      <c r="B381" s="5"/>
      <c r="H381" s="16"/>
    </row>
    <row r="382" spans="2:8">
      <c r="B382" s="5"/>
      <c r="H382" s="16"/>
    </row>
    <row r="383" spans="2:8">
      <c r="B383" s="5"/>
      <c r="H383" s="16"/>
    </row>
    <row r="384" spans="2:8">
      <c r="B384" s="5"/>
      <c r="H384" s="16"/>
    </row>
    <row r="385" spans="2:8">
      <c r="B385" s="5"/>
      <c r="H385" s="16"/>
    </row>
    <row r="386" spans="2:8">
      <c r="B386" s="5"/>
      <c r="H386" s="16"/>
    </row>
    <row r="387" spans="2:8">
      <c r="B387" s="5"/>
      <c r="H387" s="16"/>
    </row>
    <row r="388" spans="2:8">
      <c r="B388" s="5"/>
      <c r="H388" s="16"/>
    </row>
    <row r="389" spans="2:8">
      <c r="B389" s="5"/>
      <c r="H389" s="16"/>
    </row>
    <row r="390" spans="2:8">
      <c r="B390" s="5"/>
      <c r="H390" s="16"/>
    </row>
    <row r="391" spans="2:8">
      <c r="B391" s="5"/>
      <c r="H391" s="16"/>
    </row>
    <row r="392" spans="2:8">
      <c r="B392" s="5"/>
      <c r="H392" s="16"/>
    </row>
    <row r="393" spans="2:8">
      <c r="B393" s="5"/>
      <c r="H393" s="16"/>
    </row>
    <row r="394" spans="2:8">
      <c r="B394" s="5"/>
      <c r="H394" s="16"/>
    </row>
    <row r="395" spans="2:8">
      <c r="B395" s="5"/>
      <c r="H395" s="16"/>
    </row>
    <row r="396" spans="2:8">
      <c r="B396" s="5"/>
      <c r="H396" s="16"/>
    </row>
    <row r="397" spans="2:8">
      <c r="B397" s="5"/>
      <c r="H397" s="16"/>
    </row>
    <row r="398" spans="2:8">
      <c r="B398" s="5"/>
      <c r="H398" s="16"/>
    </row>
    <row r="399" spans="2:8">
      <c r="B399" s="5"/>
      <c r="H399" s="16"/>
    </row>
    <row r="400" spans="2:8">
      <c r="B400" s="5"/>
      <c r="H400" s="16"/>
    </row>
    <row r="401" spans="2:8">
      <c r="B401" s="5"/>
      <c r="H401" s="16"/>
    </row>
    <row r="402" spans="2:8">
      <c r="B402" s="5"/>
      <c r="H402" s="16"/>
    </row>
    <row r="403" spans="2:8">
      <c r="B403" s="5"/>
      <c r="H403" s="16"/>
    </row>
    <row r="404" spans="2:8">
      <c r="B404" s="5"/>
      <c r="H404" s="16"/>
    </row>
    <row r="405" spans="2:8">
      <c r="B405" s="5"/>
      <c r="H405" s="16"/>
    </row>
    <row r="406" spans="2:8">
      <c r="B406" s="5"/>
      <c r="H406" s="16"/>
    </row>
    <row r="407" spans="2:8">
      <c r="B407" s="5"/>
      <c r="H407" s="16"/>
    </row>
    <row r="408" spans="2:8">
      <c r="B408" s="5"/>
      <c r="H408" s="16"/>
    </row>
    <row r="409" spans="2:8">
      <c r="B409" s="5"/>
      <c r="H409" s="16"/>
    </row>
    <row r="410" spans="2:8">
      <c r="B410" s="5"/>
      <c r="H410" s="16"/>
    </row>
    <row r="411" spans="2:8">
      <c r="B411" s="5"/>
      <c r="H411" s="16"/>
    </row>
    <row r="412" spans="2:8">
      <c r="B412" s="5"/>
      <c r="H412" s="16"/>
    </row>
    <row r="413" spans="2:8">
      <c r="B413" s="5"/>
      <c r="H413" s="16"/>
    </row>
    <row r="414" spans="2:8">
      <c r="B414" s="5"/>
      <c r="H414" s="16"/>
    </row>
    <row r="415" spans="2:8">
      <c r="B415" s="5"/>
      <c r="H415" s="16"/>
    </row>
    <row r="416" spans="2:8">
      <c r="B416" s="5"/>
      <c r="H416" s="16"/>
    </row>
    <row r="417" spans="2:8">
      <c r="B417" s="5"/>
      <c r="H417" s="16"/>
    </row>
    <row r="418" spans="2:8">
      <c r="B418" s="5"/>
      <c r="H418" s="16"/>
    </row>
    <row r="419" spans="2:8">
      <c r="B419" s="5"/>
      <c r="H419" s="16"/>
    </row>
    <row r="420" spans="2:8">
      <c r="B420" s="5"/>
      <c r="H420" s="16"/>
    </row>
    <row r="421" spans="2:8">
      <c r="B421" s="5"/>
      <c r="H421" s="16"/>
    </row>
    <row r="422" spans="2:8">
      <c r="B422" s="5"/>
      <c r="H422" s="16"/>
    </row>
    <row r="423" spans="2:8">
      <c r="B423" s="5"/>
      <c r="H423" s="16"/>
    </row>
    <row r="424" spans="2:8">
      <c r="B424" s="5"/>
      <c r="H424" s="16"/>
    </row>
    <row r="425" spans="2:8">
      <c r="B425" s="5"/>
      <c r="H425" s="16"/>
    </row>
    <row r="426" spans="2:8">
      <c r="B426" s="5"/>
      <c r="H426" s="16"/>
    </row>
    <row r="427" spans="2:8">
      <c r="B427" s="5"/>
      <c r="H427" s="16"/>
    </row>
    <row r="428" spans="2:8">
      <c r="B428" s="5"/>
      <c r="H428" s="16"/>
    </row>
    <row r="429" spans="2:8">
      <c r="B429" s="5"/>
      <c r="H429" s="16"/>
    </row>
    <row r="430" spans="2:8">
      <c r="B430" s="5"/>
      <c r="H430" s="16"/>
    </row>
    <row r="431" spans="2:8">
      <c r="B431" s="5"/>
      <c r="H431" s="16"/>
    </row>
    <row r="432" spans="2:8">
      <c r="B432" s="5"/>
      <c r="H432" s="16"/>
    </row>
    <row r="433" spans="2:8">
      <c r="B433" s="5"/>
      <c r="H433" s="16"/>
    </row>
    <row r="434" spans="2:8">
      <c r="B434" s="5"/>
      <c r="H434" s="16"/>
    </row>
    <row r="435" spans="2:8">
      <c r="B435" s="5"/>
      <c r="H435" s="16"/>
    </row>
    <row r="436" spans="2:8">
      <c r="B436" s="5"/>
      <c r="H436" s="16"/>
    </row>
    <row r="437" spans="2:8">
      <c r="B437" s="5"/>
      <c r="H437" s="16"/>
    </row>
    <row r="438" spans="2:8">
      <c r="B438" s="5"/>
      <c r="H438" s="16"/>
    </row>
    <row r="439" spans="2:8">
      <c r="B439" s="5"/>
      <c r="H439" s="16"/>
    </row>
    <row r="440" spans="2:8">
      <c r="B440" s="5"/>
      <c r="H440" s="16"/>
    </row>
    <row r="441" spans="2:8">
      <c r="B441" s="5"/>
      <c r="H441" s="16"/>
    </row>
    <row r="442" spans="2:8">
      <c r="B442" s="5"/>
      <c r="H442" s="16"/>
    </row>
    <row r="443" spans="2:8">
      <c r="B443" s="5"/>
      <c r="H443" s="16"/>
    </row>
    <row r="444" spans="2:8">
      <c r="B444" s="5"/>
      <c r="H444" s="16"/>
    </row>
    <row r="445" spans="2:8">
      <c r="B445" s="5"/>
      <c r="H445" s="16"/>
    </row>
    <row r="446" spans="2:8">
      <c r="B446" s="5"/>
      <c r="H446" s="16"/>
    </row>
    <row r="447" spans="2:8">
      <c r="B447" s="5"/>
      <c r="H447" s="16"/>
    </row>
    <row r="448" spans="2:8">
      <c r="B448" s="5"/>
      <c r="H448" s="16"/>
    </row>
    <row r="449" spans="2:8">
      <c r="B449" s="5"/>
      <c r="H449" s="16"/>
    </row>
    <row r="450" spans="2:8">
      <c r="B450" s="5"/>
      <c r="H450" s="16"/>
    </row>
    <row r="451" spans="2:8">
      <c r="B451" s="5"/>
      <c r="H451" s="16"/>
    </row>
    <row r="452" spans="2:8">
      <c r="B452" s="5"/>
      <c r="H452" s="16"/>
    </row>
    <row r="453" spans="2:8">
      <c r="B453" s="5"/>
      <c r="H453" s="16"/>
    </row>
    <row r="454" spans="2:8">
      <c r="B454" s="5"/>
      <c r="H454" s="16"/>
    </row>
    <row r="455" spans="2:8">
      <c r="B455" s="5"/>
      <c r="H455" s="16"/>
    </row>
    <row r="456" spans="2:8">
      <c r="B456" s="5"/>
      <c r="H456" s="16"/>
    </row>
    <row r="457" spans="2:8">
      <c r="B457" s="5"/>
      <c r="H457" s="16"/>
    </row>
    <row r="458" spans="2:8">
      <c r="B458" s="5"/>
      <c r="H458" s="16"/>
    </row>
    <row r="459" spans="2:8">
      <c r="B459" s="5"/>
      <c r="H459" s="16"/>
    </row>
    <row r="460" spans="2:8">
      <c r="B460" s="5"/>
      <c r="H460" s="16"/>
    </row>
    <row r="461" spans="2:8">
      <c r="B461" s="5"/>
      <c r="H461" s="16"/>
    </row>
    <row r="462" spans="2:8">
      <c r="B462" s="5"/>
      <c r="H462" s="16"/>
    </row>
    <row r="463" spans="2:8">
      <c r="B463" s="5"/>
      <c r="H463" s="16"/>
    </row>
    <row r="464" spans="2:8">
      <c r="B464" s="5"/>
      <c r="H464" s="16"/>
    </row>
    <row r="465" spans="2:8">
      <c r="B465" s="5"/>
      <c r="H465" s="16"/>
    </row>
    <row r="466" spans="2:8">
      <c r="B466" s="5"/>
      <c r="H466" s="16"/>
    </row>
    <row r="467" spans="2:8">
      <c r="B467" s="5"/>
      <c r="H467" s="16"/>
    </row>
    <row r="468" spans="2:8">
      <c r="B468" s="5"/>
      <c r="H468" s="16"/>
    </row>
    <row r="469" spans="2:8">
      <c r="B469" s="5"/>
      <c r="H469" s="16"/>
    </row>
    <row r="470" spans="2:8">
      <c r="B470" s="5"/>
      <c r="H470" s="16"/>
    </row>
    <row r="471" spans="2:8">
      <c r="B471" s="5"/>
      <c r="H471" s="16"/>
    </row>
    <row r="472" spans="2:8">
      <c r="B472" s="5"/>
      <c r="H472" s="16"/>
    </row>
    <row r="473" spans="2:8">
      <c r="B473" s="5"/>
      <c r="H473" s="16"/>
    </row>
    <row r="474" spans="2:8">
      <c r="B474" s="5"/>
      <c r="H474" s="16"/>
    </row>
    <row r="475" spans="2:8">
      <c r="B475" s="5"/>
      <c r="H475" s="16"/>
    </row>
    <row r="476" spans="2:8">
      <c r="B476" s="5"/>
      <c r="H476" s="16"/>
    </row>
    <row r="477" spans="2:8">
      <c r="B477" s="5"/>
      <c r="H477" s="16"/>
    </row>
    <row r="478" spans="2:8">
      <c r="B478" s="5"/>
      <c r="H478" s="16"/>
    </row>
    <row r="479" spans="2:8">
      <c r="B479" s="5"/>
      <c r="H479" s="16"/>
    </row>
    <row r="480" spans="2:8">
      <c r="B480" s="5"/>
      <c r="H480" s="16"/>
    </row>
    <row r="481" spans="2:8">
      <c r="B481" s="5"/>
      <c r="H481" s="16"/>
    </row>
    <row r="482" spans="2:8">
      <c r="B482" s="5"/>
      <c r="H482" s="16"/>
    </row>
    <row r="483" spans="2:8">
      <c r="B483" s="5"/>
      <c r="H483" s="16"/>
    </row>
    <row r="484" spans="2:8">
      <c r="B484" s="5"/>
      <c r="H484" s="16"/>
    </row>
    <row r="485" spans="2:8">
      <c r="B485" s="5"/>
      <c r="H485" s="16"/>
    </row>
    <row r="486" spans="2:8">
      <c r="B486" s="5"/>
      <c r="H486" s="16"/>
    </row>
    <row r="487" spans="2:8">
      <c r="B487" s="5"/>
      <c r="H487" s="16"/>
    </row>
    <row r="488" spans="2:8">
      <c r="B488" s="5"/>
      <c r="H488" s="16"/>
    </row>
    <row r="489" spans="2:8">
      <c r="B489" s="5"/>
      <c r="H489" s="16"/>
    </row>
    <row r="490" spans="2:8">
      <c r="B490" s="5"/>
      <c r="H490" s="16"/>
    </row>
    <row r="491" spans="2:8">
      <c r="B491" s="5"/>
      <c r="H491" s="16"/>
    </row>
    <row r="492" spans="2:8">
      <c r="B492" s="5"/>
      <c r="H492" s="16"/>
    </row>
    <row r="493" spans="2:8">
      <c r="B493" s="5"/>
      <c r="H493" s="16"/>
    </row>
    <row r="494" spans="2:8">
      <c r="B494" s="5"/>
      <c r="H494" s="16"/>
    </row>
    <row r="495" spans="2:8">
      <c r="B495" s="5"/>
      <c r="H495" s="16"/>
    </row>
    <row r="496" spans="2:8">
      <c r="B496" s="5"/>
      <c r="H496" s="16"/>
    </row>
    <row r="497" spans="2:8">
      <c r="B497" s="5"/>
      <c r="H497" s="16"/>
    </row>
    <row r="498" spans="2:8">
      <c r="B498" s="5"/>
      <c r="H498" s="16"/>
    </row>
    <row r="499" spans="2:8">
      <c r="B499" s="5"/>
      <c r="H499" s="16"/>
    </row>
    <row r="500" spans="2:8">
      <c r="B500" s="5"/>
      <c r="H500" s="16"/>
    </row>
    <row r="501" spans="2:8">
      <c r="B501" s="5"/>
      <c r="H501" s="16"/>
    </row>
    <row r="502" spans="2:8">
      <c r="B502" s="5"/>
      <c r="H502" s="16"/>
    </row>
    <row r="503" spans="2:8">
      <c r="B503" s="5"/>
      <c r="H503" s="16"/>
    </row>
    <row r="504" spans="2:8">
      <c r="B504" s="5"/>
      <c r="H504" s="16"/>
    </row>
    <row r="505" spans="2:8">
      <c r="B505" s="5"/>
      <c r="H505" s="16"/>
    </row>
    <row r="506" spans="2:8">
      <c r="B506" s="5"/>
      <c r="H506" s="16"/>
    </row>
    <row r="507" spans="2:8">
      <c r="B507" s="5"/>
      <c r="H507" s="16"/>
    </row>
    <row r="508" spans="2:8">
      <c r="B508" s="5"/>
      <c r="H508" s="16"/>
    </row>
    <row r="509" spans="2:8">
      <c r="B509" s="5"/>
      <c r="H509" s="16"/>
    </row>
    <row r="510" spans="2:8">
      <c r="B510" s="5"/>
      <c r="H510" s="16"/>
    </row>
    <row r="511" spans="2:8">
      <c r="B511" s="5"/>
      <c r="H511" s="16"/>
    </row>
    <row r="512" spans="2:8">
      <c r="B512" s="5"/>
      <c r="H512" s="16"/>
    </row>
    <row r="513" spans="2:8">
      <c r="B513" s="5"/>
      <c r="H513" s="16"/>
    </row>
    <row r="514" spans="2:8">
      <c r="B514" s="5"/>
      <c r="H514" s="16"/>
    </row>
    <row r="515" spans="2:8">
      <c r="B515" s="5"/>
      <c r="H515" s="16"/>
    </row>
    <row r="516" spans="2:8">
      <c r="B516" s="5"/>
      <c r="H516" s="16"/>
    </row>
    <row r="517" spans="2:8">
      <c r="B517" s="5"/>
      <c r="H517" s="16"/>
    </row>
    <row r="518" spans="2:8">
      <c r="B518" s="5"/>
      <c r="H518" s="16"/>
    </row>
    <row r="519" spans="2:8">
      <c r="B519" s="5"/>
      <c r="H519" s="16"/>
    </row>
    <row r="520" spans="2:8">
      <c r="B520" s="5"/>
      <c r="H520" s="16"/>
    </row>
    <row r="521" spans="2:8">
      <c r="B521" s="5"/>
      <c r="H521" s="16"/>
    </row>
    <row r="522" spans="2:8">
      <c r="B522" s="5"/>
      <c r="H522" s="16"/>
    </row>
    <row r="523" spans="2:8">
      <c r="B523" s="5"/>
      <c r="H523" s="16"/>
    </row>
    <row r="524" spans="2:8">
      <c r="B524" s="5"/>
      <c r="H524" s="16"/>
    </row>
    <row r="525" spans="2:8">
      <c r="B525" s="5"/>
      <c r="H525" s="16"/>
    </row>
    <row r="526" spans="2:8">
      <c r="B526" s="5"/>
      <c r="H526" s="16"/>
    </row>
    <row r="527" spans="2:8">
      <c r="B527" s="5"/>
      <c r="H527" s="16"/>
    </row>
    <row r="528" spans="2:8">
      <c r="B528" s="5"/>
      <c r="H528" s="16"/>
    </row>
    <row r="529" spans="2:8">
      <c r="B529" s="5"/>
      <c r="H529" s="16"/>
    </row>
    <row r="530" spans="2:8">
      <c r="B530" s="5"/>
      <c r="H530" s="16"/>
    </row>
    <row r="531" spans="2:8">
      <c r="B531" s="5"/>
      <c r="H531" s="16"/>
    </row>
    <row r="532" spans="2:8">
      <c r="B532" s="5"/>
      <c r="H532" s="16"/>
    </row>
    <row r="533" spans="2:8">
      <c r="B533" s="5"/>
      <c r="H533" s="16"/>
    </row>
    <row r="534" spans="2:8">
      <c r="B534" s="5"/>
      <c r="H534" s="16"/>
    </row>
    <row r="535" spans="2:8">
      <c r="B535" s="5"/>
      <c r="H535" s="16"/>
    </row>
    <row r="536" spans="2:8">
      <c r="B536" s="5"/>
      <c r="H536" s="16"/>
    </row>
    <row r="537" spans="2:8">
      <c r="B537" s="5"/>
      <c r="H537" s="16"/>
    </row>
    <row r="538" spans="2:8">
      <c r="B538" s="5"/>
      <c r="H538" s="16"/>
    </row>
    <row r="539" spans="2:8">
      <c r="B539" s="5"/>
      <c r="H539" s="16"/>
    </row>
    <row r="540" spans="2:8">
      <c r="B540" s="5"/>
      <c r="H540" s="16"/>
    </row>
    <row r="541" spans="2:8">
      <c r="B541" s="5"/>
      <c r="H541" s="16"/>
    </row>
    <row r="542" spans="2:8">
      <c r="B542" s="5"/>
      <c r="H542" s="16"/>
    </row>
    <row r="543" spans="2:8">
      <c r="B543" s="5"/>
      <c r="H543" s="16"/>
    </row>
    <row r="544" spans="2:8">
      <c r="B544" s="5"/>
      <c r="H544" s="16"/>
    </row>
    <row r="545" spans="2:8">
      <c r="B545" s="5"/>
      <c r="H545" s="16"/>
    </row>
    <row r="546" spans="2:8">
      <c r="B546" s="5"/>
      <c r="H546" s="16"/>
    </row>
    <row r="547" spans="2:8">
      <c r="B547" s="5"/>
      <c r="H547" s="16"/>
    </row>
    <row r="548" spans="2:8">
      <c r="B548" s="5"/>
      <c r="H548" s="16"/>
    </row>
    <row r="549" spans="2:8">
      <c r="B549" s="5"/>
      <c r="H549" s="16"/>
    </row>
    <row r="550" spans="2:8">
      <c r="B550" s="5"/>
      <c r="H550" s="16"/>
    </row>
    <row r="551" spans="2:8">
      <c r="B551" s="5"/>
      <c r="H551" s="16"/>
    </row>
    <row r="552" spans="2:8">
      <c r="B552" s="5"/>
      <c r="H552" s="16"/>
    </row>
    <row r="553" spans="2:8">
      <c r="B553" s="5"/>
      <c r="H553" s="16"/>
    </row>
    <row r="554" spans="2:8">
      <c r="B554" s="5"/>
      <c r="H554" s="16"/>
    </row>
    <row r="555" spans="2:8">
      <c r="B555" s="5"/>
      <c r="H555" s="16"/>
    </row>
    <row r="556" spans="2:8">
      <c r="B556" s="5"/>
      <c r="H556" s="16"/>
    </row>
    <row r="557" spans="2:8">
      <c r="B557" s="5"/>
      <c r="H557" s="16"/>
    </row>
    <row r="558" spans="2:8">
      <c r="B558" s="5"/>
      <c r="H558" s="16"/>
    </row>
    <row r="559" spans="2:8">
      <c r="B559" s="5"/>
      <c r="H559" s="16"/>
    </row>
    <row r="560" spans="2:8">
      <c r="B560" s="5"/>
      <c r="H560" s="16"/>
    </row>
    <row r="561" spans="2:8">
      <c r="B561" s="5"/>
      <c r="H561" s="16"/>
    </row>
    <row r="562" spans="2:8">
      <c r="B562" s="5"/>
      <c r="H562" s="16"/>
    </row>
    <row r="563" spans="2:8">
      <c r="B563" s="5"/>
      <c r="H563" s="16"/>
    </row>
    <row r="564" spans="2:8">
      <c r="B564" s="5"/>
      <c r="H564" s="16"/>
    </row>
    <row r="565" spans="2:8">
      <c r="B565" s="5"/>
      <c r="H565" s="16"/>
    </row>
    <row r="566" spans="2:8">
      <c r="B566" s="5"/>
      <c r="H566" s="16"/>
    </row>
    <row r="567" spans="2:8">
      <c r="B567" s="5"/>
      <c r="H567" s="16"/>
    </row>
    <row r="568" spans="2:8">
      <c r="B568" s="5"/>
      <c r="H568" s="16"/>
    </row>
    <row r="569" spans="2:8">
      <c r="B569" s="5"/>
      <c r="H569" s="16"/>
    </row>
    <row r="570" spans="2:8">
      <c r="B570" s="5"/>
      <c r="H570" s="16"/>
    </row>
    <row r="571" spans="2:8">
      <c r="B571" s="5"/>
      <c r="H571" s="16"/>
    </row>
    <row r="572" spans="2:8">
      <c r="B572" s="5"/>
      <c r="H572" s="16"/>
    </row>
    <row r="573" spans="2:8">
      <c r="B573" s="5"/>
      <c r="H573" s="16"/>
    </row>
    <row r="574" spans="2:8">
      <c r="B574" s="5"/>
      <c r="H574" s="16"/>
    </row>
    <row r="575" spans="2:8">
      <c r="B575" s="5"/>
      <c r="H575" s="16"/>
    </row>
    <row r="576" spans="2:8">
      <c r="B576" s="5"/>
      <c r="H576" s="16"/>
    </row>
    <row r="577" spans="2:8">
      <c r="B577" s="5"/>
      <c r="H577" s="16"/>
    </row>
    <row r="578" spans="2:8">
      <c r="B578" s="5"/>
      <c r="H578" s="16"/>
    </row>
    <row r="579" spans="2:8">
      <c r="B579" s="5"/>
      <c r="H579" s="16"/>
    </row>
    <row r="580" spans="2:8">
      <c r="B580" s="5"/>
      <c r="H580" s="16"/>
    </row>
    <row r="581" spans="2:8">
      <c r="B581" s="5"/>
      <c r="H581" s="16"/>
    </row>
    <row r="582" spans="2:8">
      <c r="B582" s="5"/>
      <c r="H582" s="16"/>
    </row>
    <row r="583" spans="2:8">
      <c r="B583" s="5"/>
      <c r="H583" s="16"/>
    </row>
    <row r="584" spans="2:8">
      <c r="B584" s="5"/>
      <c r="H584" s="16"/>
    </row>
    <row r="585" spans="2:8">
      <c r="B585" s="5"/>
      <c r="H585" s="16"/>
    </row>
    <row r="586" spans="2:8">
      <c r="B586" s="5"/>
      <c r="H586" s="16"/>
    </row>
    <row r="587" spans="2:8">
      <c r="B587" s="5"/>
      <c r="H587" s="16"/>
    </row>
    <row r="588" spans="2:8">
      <c r="B588" s="5"/>
      <c r="H588" s="16"/>
    </row>
    <row r="589" spans="2:8">
      <c r="B589" s="5"/>
      <c r="H589" s="16"/>
    </row>
    <row r="590" spans="2:8">
      <c r="B590" s="5"/>
      <c r="H590" s="16"/>
    </row>
    <row r="591" spans="2:8">
      <c r="B591" s="5"/>
      <c r="H591" s="16"/>
    </row>
    <row r="592" spans="2:8">
      <c r="B592" s="5"/>
      <c r="H592" s="16"/>
    </row>
    <row r="593" spans="2:8">
      <c r="B593" s="5"/>
      <c r="H593" s="16"/>
    </row>
    <row r="594" spans="2:8">
      <c r="B594" s="5"/>
      <c r="H594" s="16"/>
    </row>
    <row r="595" spans="2:8">
      <c r="B595" s="5"/>
      <c r="H595" s="16"/>
    </row>
    <row r="596" spans="2:8">
      <c r="B596" s="5"/>
      <c r="H596" s="16"/>
    </row>
    <row r="597" spans="2:8">
      <c r="B597" s="5"/>
      <c r="H597" s="16"/>
    </row>
    <row r="598" spans="2:8">
      <c r="B598" s="5"/>
      <c r="H598" s="16"/>
    </row>
    <row r="599" spans="2:8">
      <c r="B599" s="5"/>
      <c r="H599" s="16"/>
    </row>
    <row r="600" spans="2:8">
      <c r="B600" s="5"/>
      <c r="H600" s="16"/>
    </row>
    <row r="601" spans="2:8">
      <c r="B601" s="5"/>
      <c r="H601" s="16"/>
    </row>
    <row r="602" spans="2:8">
      <c r="B602" s="5"/>
      <c r="H602" s="16"/>
    </row>
    <row r="603" spans="2:8">
      <c r="B603" s="5"/>
      <c r="H603" s="16"/>
    </row>
    <row r="604" spans="2:8">
      <c r="B604" s="5"/>
      <c r="H604" s="16"/>
    </row>
    <row r="605" spans="2:8">
      <c r="B605" s="5"/>
      <c r="H605" s="16"/>
    </row>
    <row r="606" spans="2:8">
      <c r="B606" s="5"/>
      <c r="H606" s="16"/>
    </row>
    <row r="607" spans="2:8">
      <c r="B607" s="5"/>
      <c r="H607" s="16"/>
    </row>
    <row r="608" spans="2:8">
      <c r="B608" s="5"/>
      <c r="H608" s="16"/>
    </row>
    <row r="609" spans="2:8">
      <c r="B609" s="5"/>
      <c r="H609" s="16"/>
    </row>
    <row r="610" spans="2:8">
      <c r="B610" s="5"/>
      <c r="H610" s="16"/>
    </row>
    <row r="611" spans="2:8">
      <c r="B611" s="5"/>
      <c r="H611" s="16"/>
    </row>
    <row r="612" spans="2:8">
      <c r="B612" s="5"/>
      <c r="H612" s="16"/>
    </row>
    <row r="613" spans="2:8">
      <c r="B613" s="5"/>
      <c r="H613" s="16"/>
    </row>
    <row r="614" spans="2:8">
      <c r="B614" s="5"/>
      <c r="H614" s="16"/>
    </row>
    <row r="615" spans="2:8">
      <c r="B615" s="5"/>
      <c r="H615" s="16"/>
    </row>
    <row r="616" spans="2:8">
      <c r="B616" s="5"/>
      <c r="H616" s="16"/>
    </row>
    <row r="617" spans="2:8">
      <c r="B617" s="5"/>
      <c r="H617" s="16"/>
    </row>
    <row r="618" spans="2:8">
      <c r="B618" s="5"/>
      <c r="H618" s="16"/>
    </row>
    <row r="619" spans="2:8">
      <c r="B619" s="5"/>
      <c r="H619" s="16"/>
    </row>
    <row r="620" spans="2:8">
      <c r="B620" s="5"/>
      <c r="H620" s="16"/>
    </row>
    <row r="621" spans="2:8">
      <c r="B621" s="5"/>
      <c r="H621" s="16"/>
    </row>
    <row r="622" spans="2:8">
      <c r="B622" s="5"/>
      <c r="H622" s="16"/>
    </row>
    <row r="623" spans="2:8">
      <c r="B623" s="5"/>
      <c r="H623" s="16"/>
    </row>
    <row r="624" spans="2:8">
      <c r="B624" s="5"/>
      <c r="H624" s="16"/>
    </row>
    <row r="625" spans="2:8">
      <c r="B625" s="5"/>
      <c r="H625" s="16"/>
    </row>
    <row r="626" spans="2:8">
      <c r="B626" s="5"/>
      <c r="H626" s="16"/>
    </row>
    <row r="627" spans="2:8">
      <c r="B627" s="5"/>
      <c r="H627" s="16"/>
    </row>
    <row r="628" spans="2:8">
      <c r="B628" s="5"/>
      <c r="H628" s="16"/>
    </row>
    <row r="629" spans="2:8">
      <c r="B629" s="5"/>
      <c r="H629" s="16"/>
    </row>
    <row r="630" spans="2:8">
      <c r="B630" s="5"/>
      <c r="H630" s="16"/>
    </row>
    <row r="631" spans="2:8">
      <c r="B631" s="5"/>
      <c r="H631" s="16"/>
    </row>
    <row r="632" spans="2:8">
      <c r="B632" s="5"/>
      <c r="H632" s="16"/>
    </row>
    <row r="633" spans="2:8">
      <c r="B633" s="5"/>
      <c r="H633" s="16"/>
    </row>
    <row r="634" spans="2:8">
      <c r="B634" s="5"/>
      <c r="H634" s="16"/>
    </row>
    <row r="635" spans="2:8">
      <c r="B635" s="5"/>
      <c r="H635" s="16"/>
    </row>
    <row r="636" spans="2:8">
      <c r="B636" s="5"/>
      <c r="H636" s="16"/>
    </row>
    <row r="637" spans="2:8">
      <c r="B637" s="5"/>
      <c r="H637" s="16"/>
    </row>
    <row r="638" spans="2:8">
      <c r="B638" s="5"/>
      <c r="H638" s="16"/>
    </row>
    <row r="639" spans="2:8">
      <c r="B639" s="5"/>
      <c r="H639" s="16"/>
    </row>
    <row r="640" spans="2:8">
      <c r="B640" s="5"/>
      <c r="H640" s="16"/>
    </row>
    <row r="641" spans="2:8">
      <c r="B641" s="5"/>
      <c r="H641" s="16"/>
    </row>
    <row r="642" spans="2:8">
      <c r="B642" s="5"/>
      <c r="H642" s="16"/>
    </row>
    <row r="643" spans="2:8">
      <c r="B643" s="5"/>
      <c r="H643" s="16"/>
    </row>
    <row r="644" spans="2:8">
      <c r="B644" s="5"/>
      <c r="H644" s="16"/>
    </row>
    <row r="645" spans="2:8">
      <c r="B645" s="5"/>
      <c r="H645" s="16"/>
    </row>
    <row r="646" spans="2:8">
      <c r="B646" s="5"/>
      <c r="H646" s="16"/>
    </row>
    <row r="647" spans="2:8">
      <c r="B647" s="5"/>
      <c r="H647" s="16"/>
    </row>
    <row r="648" spans="2:8">
      <c r="B648" s="5"/>
      <c r="H648" s="16"/>
    </row>
    <row r="649" spans="2:8">
      <c r="B649" s="5"/>
      <c r="H649" s="16"/>
    </row>
    <row r="650" spans="2:8">
      <c r="B650" s="5"/>
      <c r="H650" s="16"/>
    </row>
    <row r="651" spans="2:8">
      <c r="B651" s="5"/>
      <c r="H651" s="16"/>
    </row>
    <row r="652" spans="2:8">
      <c r="B652" s="5"/>
      <c r="H652" s="16"/>
    </row>
    <row r="653" spans="2:8">
      <c r="B653" s="5"/>
      <c r="H653" s="16"/>
    </row>
    <row r="654" spans="2:8">
      <c r="B654" s="5"/>
      <c r="H654" s="16"/>
    </row>
    <row r="655" spans="2:8">
      <c r="B655" s="5"/>
      <c r="H655" s="16"/>
    </row>
    <row r="656" spans="2:8">
      <c r="B656" s="5"/>
      <c r="H656" s="16"/>
    </row>
    <row r="657" spans="2:8">
      <c r="B657" s="5"/>
      <c r="H657" s="16"/>
    </row>
    <row r="658" spans="2:8">
      <c r="B658" s="5"/>
      <c r="H658" s="16"/>
    </row>
    <row r="659" spans="2:8">
      <c r="B659" s="5"/>
      <c r="H659" s="16"/>
    </row>
    <row r="660" spans="2:8">
      <c r="B660" s="5"/>
      <c r="H660" s="16"/>
    </row>
    <row r="661" spans="2:8">
      <c r="B661" s="5"/>
      <c r="H661" s="16"/>
    </row>
    <row r="662" spans="2:8">
      <c r="B662" s="5"/>
      <c r="H662" s="16"/>
    </row>
    <row r="663" spans="2:8">
      <c r="B663" s="5"/>
      <c r="H663" s="16"/>
    </row>
    <row r="664" spans="2:8">
      <c r="B664" s="5"/>
      <c r="H664" s="16"/>
    </row>
    <row r="665" spans="2:8">
      <c r="B665" s="5"/>
      <c r="H665" s="16"/>
    </row>
    <row r="666" spans="2:8">
      <c r="B666" s="5"/>
      <c r="H666" s="16"/>
    </row>
    <row r="667" spans="2:8">
      <c r="B667" s="5"/>
      <c r="H667" s="16"/>
    </row>
    <row r="668" spans="2:8">
      <c r="B668" s="5"/>
      <c r="H668" s="16"/>
    </row>
    <row r="669" spans="2:8">
      <c r="B669" s="5"/>
      <c r="H669" s="16"/>
    </row>
    <row r="670" spans="2:8">
      <c r="B670" s="5"/>
      <c r="H670" s="16"/>
    </row>
    <row r="671" spans="2:8">
      <c r="B671" s="5"/>
      <c r="H671" s="16"/>
    </row>
    <row r="672" spans="2:8">
      <c r="B672" s="5"/>
      <c r="H672" s="16"/>
    </row>
    <row r="673" spans="2:8">
      <c r="B673" s="5"/>
      <c r="H673" s="16"/>
    </row>
    <row r="674" spans="2:8">
      <c r="B674" s="5"/>
      <c r="H674" s="16"/>
    </row>
    <row r="675" spans="2:8">
      <c r="B675" s="5"/>
      <c r="H675" s="16"/>
    </row>
    <row r="676" spans="2:8">
      <c r="B676" s="5"/>
      <c r="H676" s="16"/>
    </row>
    <row r="677" spans="2:8">
      <c r="B677" s="5"/>
      <c r="H677" s="16"/>
    </row>
    <row r="678" spans="2:8">
      <c r="B678" s="5"/>
      <c r="H678" s="16"/>
    </row>
    <row r="679" spans="2:8">
      <c r="B679" s="5"/>
      <c r="H679" s="16"/>
    </row>
    <row r="680" spans="2:8">
      <c r="B680" s="5"/>
      <c r="H680" s="16"/>
    </row>
    <row r="681" spans="2:8">
      <c r="B681" s="5"/>
      <c r="H681" s="16"/>
    </row>
    <row r="682" spans="2:8">
      <c r="B682" s="5"/>
      <c r="H682" s="16"/>
    </row>
    <row r="683" spans="2:8">
      <c r="B683" s="5"/>
      <c r="H683" s="16"/>
    </row>
    <row r="684" spans="2:8">
      <c r="B684" s="5"/>
      <c r="H684" s="16"/>
    </row>
    <row r="685" spans="2:8">
      <c r="B685" s="5"/>
      <c r="H685" s="16"/>
    </row>
    <row r="686" spans="2:8">
      <c r="B686" s="5"/>
      <c r="H686" s="16"/>
    </row>
    <row r="687" spans="2:8">
      <c r="B687" s="5"/>
      <c r="H687" s="16"/>
    </row>
    <row r="688" spans="2:8">
      <c r="B688" s="5"/>
      <c r="H688" s="16"/>
    </row>
    <row r="689" spans="2:8">
      <c r="B689" s="5"/>
      <c r="H689" s="16"/>
    </row>
    <row r="690" spans="2:8">
      <c r="B690" s="5"/>
      <c r="H690" s="16"/>
    </row>
    <row r="691" spans="2:8">
      <c r="B691" s="5"/>
      <c r="H691" s="16"/>
    </row>
    <row r="692" spans="2:8">
      <c r="B692" s="5"/>
      <c r="H692" s="16"/>
    </row>
    <row r="693" spans="2:8">
      <c r="B693" s="5"/>
      <c r="H693" s="16"/>
    </row>
    <row r="694" spans="2:8">
      <c r="B694" s="5"/>
      <c r="H694" s="16"/>
    </row>
    <row r="695" spans="2:8">
      <c r="B695" s="5"/>
      <c r="H695" s="16"/>
    </row>
    <row r="696" spans="2:8">
      <c r="B696" s="5"/>
      <c r="H696" s="16"/>
    </row>
    <row r="697" spans="2:8">
      <c r="B697" s="5"/>
      <c r="H697" s="16"/>
    </row>
    <row r="698" spans="2:8">
      <c r="B698" s="5"/>
      <c r="H698" s="16"/>
    </row>
    <row r="699" spans="2:8">
      <c r="B699" s="5"/>
      <c r="H699" s="16"/>
    </row>
    <row r="700" spans="2:8">
      <c r="B700" s="5"/>
      <c r="H700" s="16"/>
    </row>
    <row r="701" spans="2:8">
      <c r="B701" s="5"/>
      <c r="H701" s="16"/>
    </row>
    <row r="702" spans="2:8">
      <c r="B702" s="5"/>
      <c r="H702" s="16"/>
    </row>
    <row r="703" spans="2:8">
      <c r="B703" s="5"/>
      <c r="H703" s="16"/>
    </row>
    <row r="704" spans="2:8">
      <c r="B704" s="5"/>
      <c r="H704" s="16"/>
    </row>
    <row r="705" spans="2:8">
      <c r="B705" s="5"/>
      <c r="H705" s="16"/>
    </row>
    <row r="706" spans="2:8">
      <c r="B706" s="5"/>
      <c r="H706" s="16"/>
    </row>
    <row r="707" spans="2:8">
      <c r="B707" s="5"/>
      <c r="H707" s="16"/>
    </row>
    <row r="708" spans="2:8">
      <c r="B708" s="5"/>
      <c r="H708" s="16"/>
    </row>
    <row r="709" spans="2:8">
      <c r="B709" s="5"/>
      <c r="H709" s="16"/>
    </row>
    <row r="710" spans="2:8">
      <c r="B710" s="5"/>
      <c r="H710" s="16"/>
    </row>
    <row r="711" spans="2:8">
      <c r="B711" s="5"/>
      <c r="H711" s="16"/>
    </row>
    <row r="712" spans="2:8">
      <c r="B712" s="5"/>
      <c r="H712" s="16"/>
    </row>
    <row r="713" spans="2:8">
      <c r="B713" s="5"/>
      <c r="H713" s="16"/>
    </row>
    <row r="714" spans="2:8">
      <c r="B714" s="5"/>
      <c r="H714" s="16"/>
    </row>
    <row r="715" spans="2:8">
      <c r="B715" s="5"/>
      <c r="H715" s="16"/>
    </row>
    <row r="716" spans="2:8">
      <c r="B716" s="5"/>
      <c r="H716" s="16"/>
    </row>
    <row r="717" spans="2:8">
      <c r="B717" s="5"/>
      <c r="H717" s="16"/>
    </row>
    <row r="718" spans="2:8">
      <c r="B718" s="5"/>
      <c r="H718" s="16"/>
    </row>
    <row r="719" spans="2:8">
      <c r="B719" s="5"/>
      <c r="H719" s="16"/>
    </row>
    <row r="720" spans="2:8">
      <c r="B720" s="5"/>
      <c r="H720" s="16"/>
    </row>
    <row r="721" spans="2:8">
      <c r="B721" s="5"/>
      <c r="H721" s="16"/>
    </row>
    <row r="722" spans="2:8">
      <c r="B722" s="5"/>
      <c r="H722" s="16"/>
    </row>
    <row r="723" spans="2:8">
      <c r="B723" s="5"/>
      <c r="H723" s="16"/>
    </row>
    <row r="724" spans="2:8">
      <c r="B724" s="5"/>
      <c r="H724" s="16"/>
    </row>
    <row r="725" spans="2:8">
      <c r="B725" s="5"/>
      <c r="H725" s="16"/>
    </row>
    <row r="726" spans="2:8">
      <c r="B726" s="5"/>
      <c r="H726" s="16"/>
    </row>
    <row r="727" spans="2:8">
      <c r="B727" s="5"/>
      <c r="H727" s="16"/>
    </row>
    <row r="728" spans="2:8">
      <c r="B728" s="5"/>
      <c r="H728" s="16"/>
    </row>
    <row r="729" spans="2:8">
      <c r="B729" s="5"/>
      <c r="H729" s="16"/>
    </row>
    <row r="730" spans="2:8">
      <c r="B730" s="5"/>
      <c r="H730" s="16"/>
    </row>
    <row r="731" spans="2:8">
      <c r="B731" s="5"/>
      <c r="H731" s="16"/>
    </row>
    <row r="732" spans="2:8">
      <c r="B732" s="5"/>
      <c r="H732" s="16"/>
    </row>
    <row r="733" spans="2:8">
      <c r="B733" s="5"/>
      <c r="H733" s="16"/>
    </row>
    <row r="734" spans="2:8">
      <c r="B734" s="5"/>
      <c r="H734" s="16"/>
    </row>
    <row r="735" spans="2:8">
      <c r="B735" s="5"/>
      <c r="H735" s="16"/>
    </row>
    <row r="736" spans="2:8">
      <c r="B736" s="5"/>
      <c r="H736" s="16"/>
    </row>
    <row r="737" spans="2:8">
      <c r="B737" s="5"/>
      <c r="H737" s="16"/>
    </row>
    <row r="738" spans="2:8">
      <c r="B738" s="5"/>
      <c r="H738" s="16"/>
    </row>
    <row r="739" spans="2:8">
      <c r="B739" s="5"/>
      <c r="H739" s="16"/>
    </row>
    <row r="740" spans="2:8">
      <c r="B740" s="5"/>
      <c r="H740" s="16"/>
    </row>
    <row r="741" spans="2:8">
      <c r="B741" s="5"/>
      <c r="H741" s="16"/>
    </row>
    <row r="742" spans="2:8">
      <c r="B742" s="5"/>
      <c r="H742" s="16"/>
    </row>
    <row r="743" spans="2:8">
      <c r="B743" s="5"/>
      <c r="H743" s="16"/>
    </row>
    <row r="744" spans="2:8">
      <c r="B744" s="5"/>
      <c r="H744" s="16"/>
    </row>
    <row r="745" spans="2:8">
      <c r="B745" s="5"/>
      <c r="H745" s="16"/>
    </row>
    <row r="746" spans="2:8">
      <c r="B746" s="5"/>
      <c r="H746" s="16"/>
    </row>
    <row r="747" spans="2:8">
      <c r="B747" s="5"/>
      <c r="H747" s="16"/>
    </row>
    <row r="748" spans="2:8">
      <c r="B748" s="5"/>
      <c r="H748" s="16"/>
    </row>
    <row r="749" spans="2:8">
      <c r="B749" s="5"/>
      <c r="H749" s="16"/>
    </row>
    <row r="750" spans="2:8">
      <c r="B750" s="5"/>
      <c r="H750" s="16"/>
    </row>
    <row r="751" spans="2:8">
      <c r="B751" s="5"/>
      <c r="H751" s="16"/>
    </row>
    <row r="752" spans="2:8">
      <c r="B752" s="5"/>
      <c r="H752" s="16"/>
    </row>
    <row r="753" spans="2:8">
      <c r="B753" s="5"/>
      <c r="H753" s="16"/>
    </row>
    <row r="754" spans="2:8">
      <c r="B754" s="5"/>
      <c r="H754" s="16"/>
    </row>
    <row r="755" spans="2:8">
      <c r="B755" s="5"/>
      <c r="H755" s="16"/>
    </row>
    <row r="756" spans="2:8">
      <c r="B756" s="5"/>
      <c r="H756" s="16"/>
    </row>
    <row r="757" spans="2:8">
      <c r="B757" s="5"/>
      <c r="H757" s="16"/>
    </row>
    <row r="758" spans="2:8">
      <c r="B758" s="5"/>
      <c r="H758" s="16"/>
    </row>
    <row r="759" spans="2:8">
      <c r="B759" s="5"/>
      <c r="H759" s="16"/>
    </row>
    <row r="760" spans="2:8">
      <c r="B760" s="5"/>
      <c r="H760" s="16"/>
    </row>
    <row r="761" spans="2:8">
      <c r="B761" s="5"/>
      <c r="H761" s="16"/>
    </row>
    <row r="762" spans="2:8">
      <c r="B762" s="5"/>
      <c r="H762" s="16"/>
    </row>
    <row r="763" spans="2:8">
      <c r="B763" s="5"/>
      <c r="H763" s="16"/>
    </row>
    <row r="764" spans="2:8">
      <c r="B764" s="5"/>
      <c r="H764" s="16"/>
    </row>
    <row r="765" spans="2:8">
      <c r="B765" s="5"/>
      <c r="H765" s="16"/>
    </row>
    <row r="766" spans="2:8">
      <c r="B766" s="5"/>
      <c r="H766" s="16"/>
    </row>
    <row r="767" spans="2:8">
      <c r="B767" s="5"/>
      <c r="H767" s="16"/>
    </row>
    <row r="768" spans="2:8">
      <c r="B768" s="5"/>
      <c r="H768" s="16"/>
    </row>
    <row r="769" spans="2:8">
      <c r="B769" s="5"/>
      <c r="H769" s="16"/>
    </row>
    <row r="770" spans="2:8">
      <c r="B770" s="5"/>
      <c r="H770" s="16"/>
    </row>
    <row r="771" spans="2:8">
      <c r="B771" s="5"/>
      <c r="H771" s="16"/>
    </row>
    <row r="772" spans="2:8">
      <c r="B772" s="5"/>
      <c r="H772" s="16"/>
    </row>
    <row r="773" spans="2:8">
      <c r="B773" s="5"/>
      <c r="H773" s="16"/>
    </row>
    <row r="774" spans="2:8">
      <c r="B774" s="5"/>
      <c r="H774" s="16"/>
    </row>
    <row r="775" spans="2:8">
      <c r="B775" s="5"/>
      <c r="H775" s="16"/>
    </row>
    <row r="776" spans="2:8">
      <c r="B776" s="5"/>
      <c r="H776" s="16"/>
    </row>
    <row r="777" spans="2:8">
      <c r="B777" s="5"/>
      <c r="H777" s="16"/>
    </row>
    <row r="778" spans="2:8">
      <c r="B778" s="5"/>
      <c r="H778" s="16"/>
    </row>
    <row r="779" spans="2:8">
      <c r="B779" s="5"/>
      <c r="H779" s="16"/>
    </row>
    <row r="780" spans="2:8">
      <c r="B780" s="5"/>
      <c r="H780" s="16"/>
    </row>
    <row r="781" spans="2:8">
      <c r="B781" s="5"/>
      <c r="H781" s="16"/>
    </row>
    <row r="782" spans="2:8">
      <c r="B782" s="5"/>
      <c r="H782" s="16"/>
    </row>
    <row r="783" spans="2:8">
      <c r="B783" s="5"/>
      <c r="H783" s="16"/>
    </row>
    <row r="784" spans="2:8">
      <c r="B784" s="5"/>
      <c r="H784" s="16"/>
    </row>
    <row r="785" spans="2:8">
      <c r="B785" s="5"/>
      <c r="H785" s="16"/>
    </row>
    <row r="786" spans="2:8">
      <c r="B786" s="5"/>
      <c r="H786" s="16"/>
    </row>
    <row r="787" spans="2:8">
      <c r="B787" s="5"/>
      <c r="H787" s="16"/>
    </row>
    <row r="788" spans="2:8">
      <c r="B788" s="5"/>
      <c r="H788" s="16"/>
    </row>
    <row r="789" spans="2:8">
      <c r="B789" s="5"/>
      <c r="H789" s="16"/>
    </row>
    <row r="790" spans="2:8">
      <c r="B790" s="5"/>
      <c r="H790" s="16"/>
    </row>
    <row r="791" spans="2:8">
      <c r="B791" s="5"/>
      <c r="H791" s="16"/>
    </row>
    <row r="792" spans="2:8">
      <c r="B792" s="5"/>
      <c r="H792" s="16"/>
    </row>
    <row r="793" spans="2:8">
      <c r="B793" s="5"/>
      <c r="H793" s="16"/>
    </row>
    <row r="794" spans="2:8">
      <c r="B794" s="5"/>
      <c r="H794" s="16"/>
    </row>
    <row r="795" spans="2:8">
      <c r="B795" s="5"/>
      <c r="H795" s="16"/>
    </row>
    <row r="796" spans="2:8">
      <c r="B796" s="5"/>
      <c r="H796" s="16"/>
    </row>
    <row r="797" spans="2:8">
      <c r="B797" s="5"/>
      <c r="H797" s="16"/>
    </row>
    <row r="798" spans="2:8">
      <c r="B798" s="5"/>
      <c r="H798" s="16"/>
    </row>
    <row r="799" spans="2:8">
      <c r="B799" s="5"/>
      <c r="H799" s="16"/>
    </row>
    <row r="800" spans="2:8">
      <c r="B800" s="5"/>
      <c r="H800" s="16"/>
    </row>
    <row r="801" spans="2:8">
      <c r="B801" s="5"/>
      <c r="H801" s="16"/>
    </row>
    <row r="802" spans="2:8">
      <c r="B802" s="5"/>
      <c r="H802" s="16"/>
    </row>
    <row r="803" spans="2:8">
      <c r="B803" s="5"/>
      <c r="H803" s="16"/>
    </row>
    <row r="804" spans="2:8">
      <c r="B804" s="5"/>
      <c r="H804" s="16"/>
    </row>
    <row r="805" spans="2:8">
      <c r="B805" s="5"/>
      <c r="H805" s="16"/>
    </row>
    <row r="806" spans="2:8">
      <c r="B806" s="5"/>
      <c r="H806" s="16"/>
    </row>
    <row r="807" spans="2:8">
      <c r="B807" s="5"/>
      <c r="H807" s="16"/>
    </row>
    <row r="808" spans="2:8">
      <c r="B808" s="5"/>
      <c r="H808" s="16"/>
    </row>
    <row r="809" spans="2:8">
      <c r="B809" s="5"/>
      <c r="H809" s="16"/>
    </row>
    <row r="810" spans="2:8">
      <c r="B810" s="5"/>
      <c r="H810" s="16"/>
    </row>
    <row r="811" spans="2:8">
      <c r="B811" s="5"/>
      <c r="H811" s="16"/>
    </row>
    <row r="812" spans="2:8">
      <c r="B812" s="5"/>
      <c r="H812" s="16"/>
    </row>
    <row r="813" spans="2:8">
      <c r="B813" s="5"/>
      <c r="H813" s="16"/>
    </row>
    <row r="814" spans="2:8">
      <c r="B814" s="5"/>
      <c r="H814" s="16"/>
    </row>
    <row r="815" spans="2:8">
      <c r="B815" s="5"/>
      <c r="H815" s="16"/>
    </row>
    <row r="816" spans="2:8">
      <c r="B816" s="5"/>
      <c r="H816" s="16"/>
    </row>
    <row r="817" spans="2:8">
      <c r="B817" s="5"/>
      <c r="H817" s="16"/>
    </row>
    <row r="818" spans="2:8">
      <c r="B818" s="5"/>
      <c r="H818" s="16"/>
    </row>
    <row r="819" spans="2:8">
      <c r="B819" s="5"/>
      <c r="H819" s="16"/>
    </row>
    <row r="820" spans="2:8">
      <c r="B820" s="5"/>
      <c r="H820" s="16"/>
    </row>
    <row r="821" spans="2:8">
      <c r="B821" s="5"/>
      <c r="H821" s="16"/>
    </row>
    <row r="822" spans="2:8">
      <c r="B822" s="5"/>
      <c r="H822" s="16"/>
    </row>
    <row r="823" spans="2:8">
      <c r="B823" s="5"/>
      <c r="H823" s="16"/>
    </row>
    <row r="824" spans="2:8">
      <c r="B824" s="5"/>
      <c r="H824" s="16"/>
    </row>
    <row r="825" spans="2:8">
      <c r="B825" s="5"/>
      <c r="H825" s="16"/>
    </row>
    <row r="826" spans="2:8">
      <c r="B826" s="5"/>
      <c r="H826" s="16"/>
    </row>
    <row r="827" spans="2:8">
      <c r="B827" s="5"/>
      <c r="H827" s="16"/>
    </row>
    <row r="828" spans="2:8">
      <c r="B828" s="5"/>
      <c r="H828" s="16"/>
    </row>
    <row r="829" spans="2:8">
      <c r="B829" s="5"/>
      <c r="H829" s="16"/>
    </row>
    <row r="830" spans="2:8">
      <c r="B830" s="5"/>
      <c r="H830" s="16"/>
    </row>
    <row r="831" spans="2:8">
      <c r="B831" s="5"/>
      <c r="H831" s="16"/>
    </row>
    <row r="832" spans="2:8">
      <c r="B832" s="5"/>
      <c r="H832" s="16"/>
    </row>
    <row r="833" spans="2:8">
      <c r="B833" s="5"/>
      <c r="H833" s="16"/>
    </row>
    <row r="834" spans="2:8">
      <c r="B834" s="5"/>
      <c r="H834" s="16"/>
    </row>
    <row r="835" spans="2:8">
      <c r="B835" s="5"/>
      <c r="H835" s="16"/>
    </row>
    <row r="836" spans="2:8">
      <c r="B836" s="5"/>
      <c r="H836" s="16"/>
    </row>
    <row r="837" spans="2:8">
      <c r="B837" s="5"/>
      <c r="H837" s="16"/>
    </row>
    <row r="838" spans="2:8">
      <c r="B838" s="5"/>
      <c r="H838" s="16"/>
    </row>
    <row r="839" spans="2:8">
      <c r="B839" s="5"/>
      <c r="H839" s="16"/>
    </row>
    <row r="840" spans="2:8">
      <c r="B840" s="5"/>
      <c r="H840" s="16"/>
    </row>
    <row r="841" spans="2:8">
      <c r="B841" s="5"/>
      <c r="H841" s="16"/>
    </row>
    <row r="842" spans="2:8">
      <c r="B842" s="5"/>
      <c r="H842" s="16"/>
    </row>
    <row r="843" spans="2:8">
      <c r="B843" s="5"/>
      <c r="H843" s="16"/>
    </row>
    <row r="844" spans="2:8">
      <c r="B844" s="5"/>
      <c r="H844" s="16"/>
    </row>
    <row r="845" spans="2:8">
      <c r="B845" s="5"/>
      <c r="H845" s="16"/>
    </row>
    <row r="846" spans="2:8">
      <c r="B846" s="5"/>
      <c r="H846" s="16"/>
    </row>
    <row r="847" spans="2:8">
      <c r="B847" s="5"/>
      <c r="H847" s="16"/>
    </row>
    <row r="848" spans="2:8">
      <c r="B848" s="5"/>
      <c r="H848" s="16"/>
    </row>
    <row r="849" spans="2:8">
      <c r="B849" s="5"/>
      <c r="H849" s="16"/>
    </row>
    <row r="850" spans="2:8">
      <c r="B850" s="5"/>
      <c r="H850" s="16"/>
    </row>
    <row r="851" spans="2:8">
      <c r="B851" s="5"/>
      <c r="H851" s="16"/>
    </row>
    <row r="852" spans="2:8">
      <c r="B852" s="5"/>
      <c r="H852" s="16"/>
    </row>
    <row r="853" spans="2:8">
      <c r="B853" s="5"/>
      <c r="H853" s="16"/>
    </row>
    <row r="854" spans="2:8">
      <c r="B854" s="5"/>
      <c r="H854" s="16"/>
    </row>
    <row r="855" spans="2:8">
      <c r="B855" s="5"/>
      <c r="H855" s="16"/>
    </row>
    <row r="856" spans="2:8">
      <c r="B856" s="5"/>
      <c r="H856" s="16"/>
    </row>
    <row r="857" spans="2:8">
      <c r="B857" s="5"/>
      <c r="H857" s="16"/>
    </row>
    <row r="858" spans="2:8">
      <c r="B858" s="5"/>
      <c r="H858" s="16"/>
    </row>
    <row r="859" spans="2:8">
      <c r="B859" s="5"/>
      <c r="H859" s="16"/>
    </row>
    <row r="860" spans="2:8">
      <c r="B860" s="5"/>
      <c r="H860" s="16"/>
    </row>
    <row r="861" spans="2:8">
      <c r="B861" s="5"/>
      <c r="H861" s="16"/>
    </row>
    <row r="862" spans="2:8">
      <c r="B862" s="5"/>
      <c r="H862" s="16"/>
    </row>
    <row r="863" spans="2:8">
      <c r="B863" s="5"/>
      <c r="H863" s="16"/>
    </row>
    <row r="864" spans="2:8">
      <c r="B864" s="5"/>
      <c r="H864" s="16"/>
    </row>
    <row r="865" spans="2:8">
      <c r="B865" s="5"/>
      <c r="H865" s="16"/>
    </row>
    <row r="866" spans="2:8">
      <c r="B866" s="5"/>
      <c r="H866" s="16"/>
    </row>
    <row r="867" spans="2:8">
      <c r="B867" s="5"/>
      <c r="H867" s="16"/>
    </row>
    <row r="868" spans="2:8">
      <c r="B868" s="5"/>
      <c r="H868" s="16"/>
    </row>
    <row r="869" spans="2:8">
      <c r="B869" s="5"/>
      <c r="H869" s="16"/>
    </row>
    <row r="870" spans="2:8">
      <c r="B870" s="5"/>
      <c r="H870" s="16"/>
    </row>
    <row r="871" spans="2:8">
      <c r="B871" s="5"/>
      <c r="H871" s="16"/>
    </row>
    <row r="872" spans="2:8">
      <c r="B872" s="5"/>
      <c r="H872" s="16"/>
    </row>
    <row r="873" spans="2:8">
      <c r="B873" s="5"/>
      <c r="H873" s="16"/>
    </row>
    <row r="874" spans="2:8">
      <c r="B874" s="5"/>
      <c r="H874" s="16"/>
    </row>
    <row r="875" spans="2:8">
      <c r="B875" s="5"/>
      <c r="H875" s="16"/>
    </row>
    <row r="876" spans="2:8">
      <c r="B876" s="5"/>
      <c r="H876" s="16"/>
    </row>
    <row r="877" spans="2:8">
      <c r="B877" s="5"/>
      <c r="H877" s="16"/>
    </row>
    <row r="878" spans="2:8">
      <c r="B878" s="5"/>
      <c r="H878" s="16"/>
    </row>
    <row r="879" spans="2:8">
      <c r="B879" s="5"/>
      <c r="H879" s="16"/>
    </row>
    <row r="880" spans="2:8">
      <c r="B880" s="5"/>
      <c r="H880" s="16"/>
    </row>
    <row r="881" spans="2:8">
      <c r="B881" s="5"/>
      <c r="H881" s="16"/>
    </row>
    <row r="882" spans="2:8">
      <c r="B882" s="5"/>
      <c r="H882" s="16"/>
    </row>
    <row r="883" spans="2:8">
      <c r="B883" s="5"/>
      <c r="H883" s="16"/>
    </row>
    <row r="884" spans="2:8">
      <c r="B884" s="5"/>
      <c r="H884" s="16"/>
    </row>
    <row r="885" spans="2:8">
      <c r="B885" s="5"/>
      <c r="H885" s="16"/>
    </row>
    <row r="886" spans="2:8">
      <c r="B886" s="5"/>
      <c r="H886" s="16"/>
    </row>
    <row r="887" spans="2:8">
      <c r="B887" s="5"/>
      <c r="H887" s="16"/>
    </row>
    <row r="888" spans="2:8">
      <c r="B888" s="5"/>
      <c r="H888" s="16"/>
    </row>
    <row r="889" spans="2:8">
      <c r="B889" s="5"/>
      <c r="H889" s="16"/>
    </row>
    <row r="890" spans="2:8">
      <c r="B890" s="5"/>
      <c r="H890" s="16"/>
    </row>
    <row r="891" spans="2:8">
      <c r="B891" s="5"/>
      <c r="H891" s="16"/>
    </row>
    <row r="892" spans="2:8">
      <c r="B892" s="5"/>
      <c r="H892" s="16"/>
    </row>
  </sheetData>
  <mergeCells count="27">
    <mergeCell ref="C50:F50"/>
    <mergeCell ref="G50:H50"/>
    <mergeCell ref="C47:F47"/>
    <mergeCell ref="G47:H47"/>
    <mergeCell ref="C48:F48"/>
    <mergeCell ref="G48:H48"/>
    <mergeCell ref="C49:F49"/>
    <mergeCell ref="G49:H49"/>
    <mergeCell ref="C44:F44"/>
    <mergeCell ref="G44:H44"/>
    <mergeCell ref="C45:F45"/>
    <mergeCell ref="G45:H45"/>
    <mergeCell ref="C46:F46"/>
    <mergeCell ref="G46:H46"/>
    <mergeCell ref="C43:F43"/>
    <mergeCell ref="G43:H43"/>
    <mergeCell ref="A4:H4"/>
    <mergeCell ref="A10:F10"/>
    <mergeCell ref="A17:F17"/>
    <mergeCell ref="A23:F23"/>
    <mergeCell ref="A29:F29"/>
    <mergeCell ref="A35:F35"/>
    <mergeCell ref="A38:F38"/>
    <mergeCell ref="C41:F41"/>
    <mergeCell ref="G41:H41"/>
    <mergeCell ref="C42:F42"/>
    <mergeCell ref="G42:H42"/>
  </mergeCells>
  <phoneticPr fontId="24" type="noConversion"/>
  <dataValidations count="1">
    <dataValidation type="list" allowBlank="1" showInputMessage="1" showErrorMessage="1" sqref="B42:B48" xr:uid="{DF518E49-CCD0-4C5F-A4B2-F58394C049A1}">
      <formula1>$L$41:$L$45</formula1>
    </dataValidation>
  </dataValidations>
  <pageMargins left="0.7" right="0.7" top="0.75" bottom="0.75" header="0.3" footer="0.3"/>
  <pageSetup scale="52"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D221F-C4C6-4822-9FCD-3456CBBC605F}">
  <sheetPr>
    <pageSetUpPr fitToPage="1"/>
  </sheetPr>
  <dimension ref="A1:L892"/>
  <sheetViews>
    <sheetView showZeros="0" view="pageBreakPreview" zoomScale="60" zoomScaleNormal="70" workbookViewId="0">
      <selection activeCell="A11" sqref="A11"/>
    </sheetView>
  </sheetViews>
  <sheetFormatPr defaultColWidth="10.875" defaultRowHeight="18.75"/>
  <cols>
    <col min="1" max="1" width="35.625" customWidth="1"/>
    <col min="2" max="2" width="14.625" style="16" customWidth="1"/>
    <col min="3" max="7" width="15.875" style="5" customWidth="1"/>
    <col min="8" max="8" width="15.875" style="17" customWidth="1"/>
    <col min="9" max="9" width="9" style="5"/>
    <col min="10" max="12" width="0" style="5" hidden="1" customWidth="1"/>
    <col min="13" max="16384" width="10.875" style="5"/>
  </cols>
  <sheetData>
    <row r="1" spans="1:10" customFormat="1" ht="15.75">
      <c r="A1" s="41"/>
      <c r="B1" s="42"/>
      <c r="C1" s="43"/>
      <c r="D1" s="43"/>
      <c r="E1" s="45" t="s">
        <v>25</v>
      </c>
      <c r="F1" s="43"/>
      <c r="G1" s="45" t="s">
        <v>26</v>
      </c>
      <c r="H1" s="44">
        <v>6</v>
      </c>
    </row>
    <row r="2" spans="1:10">
      <c r="A2" s="30"/>
      <c r="B2" s="18" t="s">
        <v>27</v>
      </c>
      <c r="C2" s="19" t="s">
        <v>28</v>
      </c>
      <c r="D2" s="19" t="s">
        <v>29</v>
      </c>
      <c r="E2" s="18" t="s">
        <v>30</v>
      </c>
      <c r="F2" s="18" t="s">
        <v>31</v>
      </c>
      <c r="G2" s="18" t="s">
        <v>32</v>
      </c>
      <c r="H2" s="18" t="s">
        <v>33</v>
      </c>
    </row>
    <row r="3" spans="1:10" ht="21" customHeight="1">
      <c r="A3" s="31" t="s">
        <v>7</v>
      </c>
      <c r="B3" s="6">
        <f>'Week. 1 Spring'!H3+1</f>
        <v>46131</v>
      </c>
      <c r="C3" s="6">
        <f>B3+1</f>
        <v>46132</v>
      </c>
      <c r="D3" s="6">
        <f t="shared" ref="D3:H3" si="0">C3+1</f>
        <v>46133</v>
      </c>
      <c r="E3" s="6">
        <f t="shared" si="0"/>
        <v>46134</v>
      </c>
      <c r="F3" s="6">
        <f t="shared" si="0"/>
        <v>46135</v>
      </c>
      <c r="G3" s="6">
        <f t="shared" si="0"/>
        <v>46136</v>
      </c>
      <c r="H3" s="6">
        <f t="shared" si="0"/>
        <v>46137</v>
      </c>
    </row>
    <row r="4" spans="1:10" s="7" customFormat="1">
      <c r="A4" s="181" t="s">
        <v>135</v>
      </c>
      <c r="B4" s="181"/>
      <c r="C4" s="181"/>
      <c r="D4" s="181"/>
      <c r="E4" s="181"/>
      <c r="F4" s="181"/>
      <c r="G4" s="181"/>
      <c r="H4" s="181"/>
    </row>
    <row r="5" spans="1:10" s="7" customFormat="1" ht="26.1" customHeight="1">
      <c r="A5" s="32" t="s">
        <v>8</v>
      </c>
      <c r="B5" s="27"/>
      <c r="C5" s="27"/>
      <c r="D5" s="27"/>
      <c r="E5" s="27"/>
      <c r="F5" s="27"/>
      <c r="G5" s="27"/>
      <c r="H5" s="27"/>
    </row>
    <row r="6" spans="1:10" s="7" customFormat="1" ht="26.1" customHeight="1">
      <c r="A6" s="4" t="s">
        <v>23</v>
      </c>
      <c r="B6" s="62"/>
      <c r="C6" s="62"/>
      <c r="D6" s="62"/>
      <c r="E6" s="62"/>
      <c r="F6" s="62"/>
      <c r="G6" s="62"/>
      <c r="H6" s="62"/>
    </row>
    <row r="7" spans="1:10" s="7" customFormat="1" ht="21.95" customHeight="1">
      <c r="A7" s="32" t="s">
        <v>35</v>
      </c>
      <c r="B7" s="27"/>
      <c r="C7" s="28"/>
      <c r="D7" s="28"/>
      <c r="E7" s="28"/>
      <c r="F7" s="28"/>
      <c r="G7" s="28"/>
      <c r="H7" s="27"/>
    </row>
    <row r="8" spans="1:10" s="7" customFormat="1" ht="24.95" customHeight="1">
      <c r="A8" s="83" t="s">
        <v>36</v>
      </c>
      <c r="B8" s="84">
        <f t="shared" ref="B8:H8" si="1">B5+B6+B7</f>
        <v>0</v>
      </c>
      <c r="C8" s="84">
        <f t="shared" si="1"/>
        <v>0</v>
      </c>
      <c r="D8" s="84">
        <f t="shared" si="1"/>
        <v>0</v>
      </c>
      <c r="E8" s="84">
        <f t="shared" si="1"/>
        <v>0</v>
      </c>
      <c r="F8" s="84">
        <f t="shared" si="1"/>
        <v>0</v>
      </c>
      <c r="G8" s="84">
        <f t="shared" si="1"/>
        <v>0</v>
      </c>
      <c r="H8" s="84">
        <f t="shared" si="1"/>
        <v>0</v>
      </c>
    </row>
    <row r="9" spans="1:10" s="7" customFormat="1" ht="24.95" customHeight="1">
      <c r="A9" s="33"/>
      <c r="B9" s="29"/>
      <c r="C9" s="29"/>
      <c r="D9" s="29"/>
      <c r="E9" s="29"/>
      <c r="F9" s="29"/>
      <c r="G9" s="63" t="s">
        <v>37</v>
      </c>
      <c r="H9" s="64">
        <f>SUM(B8:H8)</f>
        <v>0</v>
      </c>
    </row>
    <row r="10" spans="1:10" s="7" customFormat="1">
      <c r="A10" s="182" t="s">
        <v>136</v>
      </c>
      <c r="B10" s="183"/>
      <c r="C10" s="183"/>
      <c r="D10" s="183"/>
      <c r="E10" s="183"/>
      <c r="F10" s="183"/>
      <c r="G10" s="65" t="s">
        <v>39</v>
      </c>
      <c r="H10" s="66">
        <v>-0.15</v>
      </c>
      <c r="I10" s="5"/>
      <c r="J10" s="26"/>
    </row>
    <row r="11" spans="1:10" s="7" customFormat="1" ht="30" customHeight="1">
      <c r="A11" s="39" t="s">
        <v>8</v>
      </c>
      <c r="B11" s="9"/>
      <c r="C11" s="9"/>
      <c r="D11" s="67"/>
      <c r="E11" s="67"/>
      <c r="F11" s="9"/>
      <c r="G11" s="68"/>
      <c r="H11" s="69"/>
    </row>
    <row r="12" spans="1:10" s="7" customFormat="1" ht="30" customHeight="1">
      <c r="A12" s="70" t="s">
        <v>23</v>
      </c>
      <c r="B12" s="59"/>
      <c r="C12" s="58"/>
      <c r="D12" s="58"/>
      <c r="E12" s="58"/>
      <c r="F12" s="58"/>
      <c r="G12" s="58"/>
      <c r="H12" s="58"/>
    </row>
    <row r="13" spans="1:10" s="7" customFormat="1" ht="30" customHeight="1">
      <c r="A13" s="3" t="s">
        <v>35</v>
      </c>
      <c r="B13" s="8"/>
      <c r="C13" s="8"/>
      <c r="D13" s="8"/>
      <c r="E13" s="8"/>
      <c r="F13" s="8"/>
      <c r="G13" s="8"/>
      <c r="H13" s="8"/>
    </row>
    <row r="14" spans="1:10" s="7" customFormat="1" ht="27" customHeight="1">
      <c r="A14" s="85" t="s">
        <v>36</v>
      </c>
      <c r="B14" s="87">
        <f t="shared" ref="B14:H14" si="2">B11+B12+B13</f>
        <v>0</v>
      </c>
      <c r="C14" s="87">
        <f t="shared" si="2"/>
        <v>0</v>
      </c>
      <c r="D14" s="87">
        <f t="shared" si="2"/>
        <v>0</v>
      </c>
      <c r="E14" s="87">
        <f t="shared" si="2"/>
        <v>0</v>
      </c>
      <c r="F14" s="87">
        <f t="shared" si="2"/>
        <v>0</v>
      </c>
      <c r="G14" s="87">
        <f t="shared" si="2"/>
        <v>0</v>
      </c>
      <c r="H14" s="87">
        <f t="shared" si="2"/>
        <v>0</v>
      </c>
    </row>
    <row r="15" spans="1:10" s="7" customFormat="1" ht="24.95" customHeight="1">
      <c r="A15" s="86" t="s">
        <v>40</v>
      </c>
      <c r="B15" s="92" t="e">
        <f t="shared" ref="B15:H15" si="3">(B14-B8)/B8</f>
        <v>#DIV/0!</v>
      </c>
      <c r="C15" s="93" t="e">
        <f t="shared" si="3"/>
        <v>#DIV/0!</v>
      </c>
      <c r="D15" s="93" t="e">
        <f t="shared" si="3"/>
        <v>#DIV/0!</v>
      </c>
      <c r="E15" s="93" t="e">
        <f t="shared" si="3"/>
        <v>#DIV/0!</v>
      </c>
      <c r="F15" s="93" t="e">
        <f t="shared" si="3"/>
        <v>#DIV/0!</v>
      </c>
      <c r="G15" s="93" t="e">
        <f t="shared" si="3"/>
        <v>#DIV/0!</v>
      </c>
      <c r="H15" s="94" t="e">
        <f t="shared" si="3"/>
        <v>#DIV/0!</v>
      </c>
      <c r="I15" s="71"/>
    </row>
    <row r="16" spans="1:10" ht="30" customHeight="1">
      <c r="B16" s="88"/>
      <c r="C16" s="88"/>
      <c r="D16" s="88"/>
      <c r="E16" s="88"/>
      <c r="F16" s="89"/>
      <c r="G16" s="90" t="s">
        <v>37</v>
      </c>
      <c r="H16" s="91">
        <f>SUM(B14:H14)</f>
        <v>0</v>
      </c>
    </row>
    <row r="17" spans="1:8" s="7" customFormat="1">
      <c r="A17" s="184" t="s">
        <v>41</v>
      </c>
      <c r="B17" s="185"/>
      <c r="C17" s="185"/>
      <c r="D17" s="185"/>
      <c r="E17" s="185"/>
      <c r="F17" s="185"/>
      <c r="G17" s="72" t="s">
        <v>42</v>
      </c>
      <c r="H17" s="66" t="e">
        <f>(H16-H9)/H9</f>
        <v>#DIV/0!</v>
      </c>
    </row>
    <row r="18" spans="1:8" s="7" customFormat="1" ht="30" customHeight="1">
      <c r="A18" s="35" t="s">
        <v>43</v>
      </c>
      <c r="B18" s="12"/>
      <c r="C18" s="12"/>
      <c r="D18" s="73"/>
      <c r="E18" s="73"/>
      <c r="F18" s="12"/>
      <c r="G18" s="24"/>
      <c r="H18" s="74"/>
    </row>
    <row r="19" spans="1:8" s="7" customFormat="1" ht="30" customHeight="1">
      <c r="A19" s="35" t="str">
        <f>'Week. 1 Spring'!A31</f>
        <v>Non Meal Plan Meals</v>
      </c>
      <c r="B19" s="12"/>
      <c r="C19" s="12"/>
      <c r="D19" s="73"/>
      <c r="E19" s="73"/>
      <c r="F19" s="12"/>
      <c r="G19" s="24"/>
      <c r="H19" s="74"/>
    </row>
    <row r="20" spans="1:8" s="7" customFormat="1" ht="30" customHeight="1">
      <c r="A20" s="35" t="str">
        <f>'Week. 1 Spring'!A32</f>
        <v xml:space="preserve">Meal numbers </v>
      </c>
      <c r="B20" s="95"/>
      <c r="C20" s="95"/>
      <c r="D20" s="67"/>
      <c r="E20" s="67"/>
      <c r="F20" s="95"/>
      <c r="G20" s="95"/>
      <c r="H20" s="75"/>
    </row>
    <row r="21" spans="1:8" s="7" customFormat="1" ht="24.95" customHeight="1">
      <c r="A21" s="36" t="s">
        <v>45</v>
      </c>
      <c r="B21" s="77">
        <f t="shared" ref="B21:G21" si="4">B18+B20</f>
        <v>0</v>
      </c>
      <c r="C21" s="77">
        <f t="shared" si="4"/>
        <v>0</v>
      </c>
      <c r="D21" s="96"/>
      <c r="E21" s="96"/>
      <c r="F21" s="77">
        <f t="shared" si="4"/>
        <v>0</v>
      </c>
      <c r="G21" s="77">
        <f t="shared" si="4"/>
        <v>0</v>
      </c>
      <c r="H21" s="77">
        <f>H18+H20</f>
        <v>0</v>
      </c>
    </row>
    <row r="22" spans="1:8" s="7" customFormat="1" ht="24.95" customHeight="1">
      <c r="A22" s="34" t="s">
        <v>40</v>
      </c>
      <c r="B22" s="92" t="e">
        <f>(B21-B5)/B5</f>
        <v>#DIV/0!</v>
      </c>
      <c r="C22" s="93" t="e">
        <f>(C21-C5)/C5</f>
        <v>#DIV/0!</v>
      </c>
      <c r="D22" s="99"/>
      <c r="E22" s="99"/>
      <c r="F22" s="93" t="e">
        <f>(F21-F5)/F5</f>
        <v>#DIV/0!</v>
      </c>
      <c r="G22" s="93" t="e">
        <f>(G21-G5)/G5</f>
        <v>#DIV/0!</v>
      </c>
      <c r="H22" s="94" t="e">
        <f>(H21-H5)/H5</f>
        <v>#DIV/0!</v>
      </c>
    </row>
    <row r="23" spans="1:8" s="7" customFormat="1">
      <c r="A23" s="186" t="s">
        <v>46</v>
      </c>
      <c r="B23" s="187"/>
      <c r="C23" s="187"/>
      <c r="D23" s="187"/>
      <c r="E23" s="187"/>
      <c r="F23" s="188" t="s">
        <v>47</v>
      </c>
      <c r="G23" s="97"/>
      <c r="H23" s="98"/>
    </row>
    <row r="24" spans="1:8" s="7" customFormat="1" ht="30" customHeight="1">
      <c r="A24" s="35" t="s">
        <v>43</v>
      </c>
      <c r="B24" s="11"/>
      <c r="C24" s="12"/>
      <c r="D24" s="12"/>
      <c r="E24" s="12"/>
      <c r="F24" s="12"/>
      <c r="G24" s="12"/>
      <c r="H24" s="11"/>
    </row>
    <row r="25" spans="1:8" s="7" customFormat="1" ht="30" customHeight="1">
      <c r="A25" s="35" t="str">
        <f>A19</f>
        <v>Non Meal Plan Meals</v>
      </c>
      <c r="B25" s="117"/>
      <c r="C25" s="117"/>
      <c r="D25" s="117"/>
      <c r="E25" s="117"/>
      <c r="F25" s="117"/>
      <c r="G25" s="117"/>
      <c r="H25" s="117"/>
    </row>
    <row r="26" spans="1:8" s="7" customFormat="1" ht="30" customHeight="1">
      <c r="A26" s="35" t="str">
        <f>A20</f>
        <v xml:space="preserve">Meal numbers </v>
      </c>
      <c r="B26" s="11"/>
      <c r="C26" s="11"/>
      <c r="D26" s="11"/>
      <c r="E26" s="11"/>
      <c r="F26" s="11"/>
      <c r="G26" s="11"/>
      <c r="H26" s="11"/>
    </row>
    <row r="27" spans="1:8" s="7" customFormat="1" ht="27.95" customHeight="1">
      <c r="A27" s="36" t="s">
        <v>50</v>
      </c>
      <c r="B27" s="100">
        <f>B24+B25+B26</f>
        <v>0</v>
      </c>
      <c r="C27" s="100">
        <f t="shared" ref="C27:G27" si="5">C24+C25+C26</f>
        <v>0</v>
      </c>
      <c r="D27" s="100">
        <f t="shared" si="5"/>
        <v>0</v>
      </c>
      <c r="E27" s="100">
        <f t="shared" si="5"/>
        <v>0</v>
      </c>
      <c r="F27" s="100">
        <f t="shared" si="5"/>
        <v>0</v>
      </c>
      <c r="G27" s="100">
        <f t="shared" si="5"/>
        <v>0</v>
      </c>
      <c r="H27" s="100">
        <f>H24+H25+H26</f>
        <v>0</v>
      </c>
    </row>
    <row r="28" spans="1:8" s="7" customFormat="1" ht="24.95" customHeight="1">
      <c r="A28" s="34" t="s">
        <v>40</v>
      </c>
      <c r="B28" s="92" t="e">
        <f t="shared" ref="B28:H28" si="6">(B27-B6)/B6</f>
        <v>#DIV/0!</v>
      </c>
      <c r="C28" s="93" t="e">
        <f t="shared" si="6"/>
        <v>#DIV/0!</v>
      </c>
      <c r="D28" s="93" t="e">
        <f t="shared" si="6"/>
        <v>#DIV/0!</v>
      </c>
      <c r="E28" s="93" t="e">
        <f t="shared" si="6"/>
        <v>#DIV/0!</v>
      </c>
      <c r="F28" s="93" t="e">
        <f t="shared" si="6"/>
        <v>#DIV/0!</v>
      </c>
      <c r="G28" s="93" t="e">
        <f t="shared" si="6"/>
        <v>#DIV/0!</v>
      </c>
      <c r="H28" s="94" t="e">
        <f t="shared" si="6"/>
        <v>#DIV/0!</v>
      </c>
    </row>
    <row r="29" spans="1:8" s="7" customFormat="1">
      <c r="A29" s="189" t="s">
        <v>51</v>
      </c>
      <c r="B29" s="190"/>
      <c r="C29" s="190"/>
      <c r="D29" s="190"/>
      <c r="E29" s="190"/>
      <c r="F29" s="191" t="s">
        <v>35</v>
      </c>
      <c r="G29" s="101"/>
      <c r="H29" s="102"/>
    </row>
    <row r="30" spans="1:8" s="7" customFormat="1" ht="30" customHeight="1">
      <c r="A30" s="35" t="s">
        <v>43</v>
      </c>
      <c r="B30" s="10"/>
      <c r="C30" s="9"/>
      <c r="D30" s="9"/>
      <c r="E30" s="9"/>
      <c r="F30" s="9"/>
      <c r="G30" s="9"/>
      <c r="H30" s="10"/>
    </row>
    <row r="31" spans="1:8" s="7" customFormat="1" ht="30" customHeight="1">
      <c r="A31" s="35" t="str">
        <f>A25</f>
        <v>Non Meal Plan Meals</v>
      </c>
      <c r="B31" s="60"/>
      <c r="C31" s="60"/>
      <c r="D31" s="60"/>
      <c r="E31" s="60"/>
      <c r="F31" s="60"/>
      <c r="G31" s="60"/>
      <c r="H31" s="60"/>
    </row>
    <row r="32" spans="1:8" s="7" customFormat="1" ht="30" customHeight="1">
      <c r="A32" s="35" t="str">
        <f>A26</f>
        <v xml:space="preserve">Meal numbers </v>
      </c>
      <c r="B32" s="10"/>
      <c r="C32" s="10"/>
      <c r="D32" s="10"/>
      <c r="E32" s="10"/>
      <c r="F32" s="10"/>
      <c r="G32" s="10"/>
      <c r="H32" s="10"/>
    </row>
    <row r="33" spans="1:12" s="7" customFormat="1" ht="30.95" customHeight="1">
      <c r="A33" s="36" t="s">
        <v>53</v>
      </c>
      <c r="B33" s="103">
        <f>B30+B31+B32</f>
        <v>0</v>
      </c>
      <c r="C33" s="103">
        <f t="shared" ref="C33:G33" si="7">C30+C31+C32</f>
        <v>0</v>
      </c>
      <c r="D33" s="103">
        <f t="shared" si="7"/>
        <v>0</v>
      </c>
      <c r="E33" s="103">
        <f t="shared" si="7"/>
        <v>0</v>
      </c>
      <c r="F33" s="103">
        <f t="shared" si="7"/>
        <v>0</v>
      </c>
      <c r="G33" s="103">
        <f t="shared" si="7"/>
        <v>0</v>
      </c>
      <c r="H33" s="103">
        <f>H30+H31+H32</f>
        <v>0</v>
      </c>
    </row>
    <row r="34" spans="1:12" s="7" customFormat="1" ht="24.95" customHeight="1">
      <c r="A34" s="34" t="s">
        <v>40</v>
      </c>
      <c r="B34" s="92" t="e">
        <f t="shared" ref="B34:H34" si="8">(B33-B7)/B7</f>
        <v>#DIV/0!</v>
      </c>
      <c r="C34" s="93" t="e">
        <f t="shared" si="8"/>
        <v>#DIV/0!</v>
      </c>
      <c r="D34" s="93" t="e">
        <f t="shared" si="8"/>
        <v>#DIV/0!</v>
      </c>
      <c r="E34" s="93" t="e">
        <f t="shared" si="8"/>
        <v>#DIV/0!</v>
      </c>
      <c r="F34" s="93" t="e">
        <f t="shared" si="8"/>
        <v>#DIV/0!</v>
      </c>
      <c r="G34" s="93" t="e">
        <f t="shared" si="8"/>
        <v>#DIV/0!</v>
      </c>
      <c r="H34" s="94" t="e">
        <f t="shared" si="8"/>
        <v>#DIV/0!</v>
      </c>
    </row>
    <row r="35" spans="1:12" s="7" customFormat="1">
      <c r="A35" s="192" t="s">
        <v>54</v>
      </c>
      <c r="B35" s="193"/>
      <c r="C35" s="193"/>
      <c r="D35" s="193"/>
      <c r="E35" s="193"/>
      <c r="F35" s="194" t="s">
        <v>35</v>
      </c>
      <c r="G35" s="104"/>
      <c r="H35" s="105"/>
    </row>
    <row r="36" spans="1:12" s="7" customFormat="1" ht="30.95" customHeight="1">
      <c r="A36" s="78" t="s">
        <v>55</v>
      </c>
      <c r="B36" s="77">
        <f>B33+B27+B21</f>
        <v>0</v>
      </c>
      <c r="C36" s="77">
        <f t="shared" ref="C36:H36" si="9">C33+C27+C21</f>
        <v>0</v>
      </c>
      <c r="D36" s="77">
        <f t="shared" si="9"/>
        <v>0</v>
      </c>
      <c r="E36" s="77">
        <f t="shared" si="9"/>
        <v>0</v>
      </c>
      <c r="F36" s="77">
        <f t="shared" si="9"/>
        <v>0</v>
      </c>
      <c r="G36" s="77">
        <f t="shared" si="9"/>
        <v>0</v>
      </c>
      <c r="H36" s="77">
        <f t="shared" si="9"/>
        <v>0</v>
      </c>
    </row>
    <row r="37" spans="1:12" s="7" customFormat="1" ht="24.95" customHeight="1">
      <c r="A37" s="34" t="s">
        <v>40</v>
      </c>
      <c r="B37" s="92" t="e">
        <f t="shared" ref="B37:H37" si="10">(B36-B8)/B8</f>
        <v>#DIV/0!</v>
      </c>
      <c r="C37" s="93" t="e">
        <f t="shared" si="10"/>
        <v>#DIV/0!</v>
      </c>
      <c r="D37" s="93" t="e">
        <f t="shared" si="10"/>
        <v>#DIV/0!</v>
      </c>
      <c r="E37" s="93" t="e">
        <f t="shared" si="10"/>
        <v>#DIV/0!</v>
      </c>
      <c r="F37" s="93" t="e">
        <f t="shared" si="10"/>
        <v>#DIV/0!</v>
      </c>
      <c r="G37" s="93" t="e">
        <f t="shared" si="10"/>
        <v>#DIV/0!</v>
      </c>
      <c r="H37" s="94" t="e">
        <f t="shared" si="10"/>
        <v>#DIV/0!</v>
      </c>
    </row>
    <row r="38" spans="1:12" ht="30" customHeight="1">
      <c r="A38" s="195"/>
      <c r="B38" s="196"/>
      <c r="C38" s="196"/>
      <c r="D38" s="196"/>
      <c r="E38" s="196"/>
      <c r="F38" s="196"/>
      <c r="G38" s="106" t="s">
        <v>37</v>
      </c>
      <c r="H38" s="107">
        <f>SUM(B36:H36)</f>
        <v>0</v>
      </c>
    </row>
    <row r="39" spans="1:12" s="7" customFormat="1" ht="24.95" customHeight="1">
      <c r="A39" s="37"/>
      <c r="B39" s="25"/>
      <c r="C39" s="25"/>
      <c r="D39" s="25"/>
      <c r="E39" s="25"/>
      <c r="F39" s="25"/>
      <c r="G39" s="79" t="s">
        <v>40</v>
      </c>
      <c r="H39" s="80" t="e">
        <f>(H38-H9)/H9</f>
        <v>#DIV/0!</v>
      </c>
    </row>
    <row r="40" spans="1:12" s="7" customFormat="1" ht="24.95" customHeight="1">
      <c r="A40" s="37"/>
      <c r="B40" s="25"/>
      <c r="C40" s="25"/>
      <c r="D40" s="25"/>
      <c r="E40" s="25"/>
      <c r="F40" s="25"/>
      <c r="G40" s="81" t="s">
        <v>56</v>
      </c>
      <c r="H40" s="82" t="e">
        <f>(H38-H16)/H16</f>
        <v>#DIV/0!</v>
      </c>
    </row>
    <row r="41" spans="1:12" s="46" customFormat="1" ht="23.1" customHeight="1">
      <c r="A41" s="40"/>
      <c r="B41" s="47" t="s">
        <v>57</v>
      </c>
      <c r="C41" s="197" t="s">
        <v>58</v>
      </c>
      <c r="D41" s="197"/>
      <c r="E41" s="197"/>
      <c r="F41" s="197"/>
      <c r="G41" s="198">
        <v>2022</v>
      </c>
      <c r="H41" s="199"/>
    </row>
    <row r="42" spans="1:12" ht="30" customHeight="1">
      <c r="A42" s="1" t="s">
        <v>60</v>
      </c>
      <c r="B42" s="57" t="s">
        <v>59</v>
      </c>
      <c r="C42" s="180"/>
      <c r="D42" s="180"/>
      <c r="E42" s="180"/>
      <c r="F42" s="180"/>
      <c r="G42" s="178"/>
      <c r="H42" s="179"/>
      <c r="L42" s="7" t="s">
        <v>61</v>
      </c>
    </row>
    <row r="43" spans="1:12" ht="30" customHeight="1">
      <c r="A43" s="1" t="s">
        <v>1</v>
      </c>
      <c r="B43" s="57" t="s">
        <v>59</v>
      </c>
      <c r="C43" s="180"/>
      <c r="D43" s="180"/>
      <c r="E43" s="180"/>
      <c r="F43" s="180"/>
      <c r="G43" s="178"/>
      <c r="H43" s="179"/>
      <c r="L43" s="5" t="s">
        <v>62</v>
      </c>
    </row>
    <row r="44" spans="1:12" ht="30" customHeight="1">
      <c r="A44" s="1" t="s">
        <v>2</v>
      </c>
      <c r="B44" s="57" t="s">
        <v>59</v>
      </c>
      <c r="C44" s="175"/>
      <c r="D44" s="175"/>
      <c r="E44" s="175"/>
      <c r="F44" s="175"/>
      <c r="G44" s="176"/>
      <c r="H44" s="177"/>
      <c r="L44" s="5" t="s">
        <v>63</v>
      </c>
    </row>
    <row r="45" spans="1:12" ht="30" customHeight="1">
      <c r="A45" s="1" t="s">
        <v>3</v>
      </c>
      <c r="B45" s="57" t="s">
        <v>59</v>
      </c>
      <c r="C45" s="175"/>
      <c r="D45" s="175"/>
      <c r="E45" s="175"/>
      <c r="F45" s="175"/>
      <c r="G45" s="176"/>
      <c r="H45" s="177"/>
      <c r="L45" s="5" t="s">
        <v>64</v>
      </c>
    </row>
    <row r="46" spans="1:12" ht="30.95" customHeight="1">
      <c r="A46" s="1" t="s">
        <v>4</v>
      </c>
      <c r="B46" s="57" t="s">
        <v>59</v>
      </c>
      <c r="C46" s="175"/>
      <c r="D46" s="175"/>
      <c r="E46" s="175"/>
      <c r="F46" s="175"/>
      <c r="G46" s="176"/>
      <c r="H46" s="177"/>
    </row>
    <row r="47" spans="1:12" ht="30" customHeight="1">
      <c r="A47" s="1" t="s">
        <v>5</v>
      </c>
      <c r="B47" s="57" t="s">
        <v>59</v>
      </c>
      <c r="C47" s="175"/>
      <c r="D47" s="175"/>
      <c r="E47" s="175"/>
      <c r="F47" s="175"/>
      <c r="G47" s="176"/>
      <c r="H47" s="177"/>
    </row>
    <row r="48" spans="1:12" ht="30" customHeight="1">
      <c r="A48" s="1" t="s">
        <v>6</v>
      </c>
      <c r="B48" s="57" t="s">
        <v>59</v>
      </c>
      <c r="C48" s="175"/>
      <c r="D48" s="175"/>
      <c r="E48" s="175"/>
      <c r="F48" s="175"/>
      <c r="G48" s="176"/>
      <c r="H48" s="177"/>
    </row>
    <row r="49" spans="1:8" ht="30" customHeight="1">
      <c r="A49" s="1"/>
      <c r="B49" s="14"/>
      <c r="C49" s="175"/>
      <c r="D49" s="175"/>
      <c r="E49" s="175"/>
      <c r="F49" s="175"/>
      <c r="G49" s="176"/>
      <c r="H49" s="177"/>
    </row>
    <row r="50" spans="1:8" ht="30" customHeight="1">
      <c r="A50" s="2"/>
      <c r="B50" s="14"/>
      <c r="C50" s="175"/>
      <c r="D50" s="175"/>
      <c r="E50" s="175"/>
      <c r="F50" s="175"/>
      <c r="G50" s="176"/>
      <c r="H50" s="177"/>
    </row>
    <row r="51" spans="1:8">
      <c r="A51" s="30"/>
      <c r="B51" s="18" t="s">
        <v>27</v>
      </c>
      <c r="C51" s="18" t="s">
        <v>28</v>
      </c>
      <c r="D51" s="18" t="s">
        <v>65</v>
      </c>
      <c r="E51" s="18" t="s">
        <v>30</v>
      </c>
      <c r="F51" s="18" t="s">
        <v>66</v>
      </c>
      <c r="G51" s="18" t="s">
        <v>32</v>
      </c>
      <c r="H51" s="18" t="s">
        <v>33</v>
      </c>
    </row>
    <row r="52" spans="1:8">
      <c r="A52" s="38" t="s">
        <v>67</v>
      </c>
      <c r="B52" s="15"/>
      <c r="C52" s="20"/>
      <c r="D52" s="20"/>
      <c r="E52" s="20"/>
      <c r="F52" s="20"/>
      <c r="G52" s="20"/>
      <c r="H52" s="15"/>
    </row>
    <row r="53" spans="1:8" customFormat="1" ht="15.75">
      <c r="A53" s="48" t="s">
        <v>68</v>
      </c>
      <c r="B53" s="22"/>
      <c r="C53" s="21"/>
      <c r="D53" s="21"/>
      <c r="E53" s="21"/>
      <c r="F53" s="21"/>
      <c r="G53" s="23" t="s">
        <v>37</v>
      </c>
      <c r="H53" s="23">
        <f>SUM(B52:H52)</f>
        <v>0</v>
      </c>
    </row>
    <row r="54" spans="1:8">
      <c r="A54" s="30"/>
      <c r="B54" s="18" t="s">
        <v>27</v>
      </c>
      <c r="C54" s="18" t="s">
        <v>28</v>
      </c>
      <c r="D54" s="18" t="s">
        <v>65</v>
      </c>
      <c r="E54" s="18" t="s">
        <v>30</v>
      </c>
      <c r="F54" s="18" t="s">
        <v>66</v>
      </c>
      <c r="G54" s="18" t="s">
        <v>32</v>
      </c>
      <c r="H54" s="18" t="s">
        <v>33</v>
      </c>
    </row>
    <row r="55" spans="1:8">
      <c r="A55" s="38" t="s">
        <v>69</v>
      </c>
      <c r="B55" s="51"/>
      <c r="C55" s="52"/>
      <c r="D55" s="52"/>
      <c r="E55" s="52"/>
      <c r="F55" s="52"/>
      <c r="G55" s="20"/>
      <c r="H55" s="15"/>
    </row>
    <row r="56" spans="1:8" customFormat="1" ht="15.75">
      <c r="A56" s="49" t="s">
        <v>70</v>
      </c>
      <c r="B56" s="53"/>
      <c r="C56" s="53" t="s">
        <v>71</v>
      </c>
      <c r="D56" s="54"/>
      <c r="E56" s="54"/>
      <c r="F56" s="55"/>
      <c r="G56" s="50" t="s">
        <v>37</v>
      </c>
      <c r="H56" s="23"/>
    </row>
    <row r="57" spans="1:8">
      <c r="H57" s="16"/>
    </row>
    <row r="58" spans="1:8">
      <c r="H58" s="16"/>
    </row>
    <row r="59" spans="1:8">
      <c r="H59" s="16"/>
    </row>
    <row r="60" spans="1:8">
      <c r="H60" s="16"/>
    </row>
    <row r="61" spans="1:8">
      <c r="H61" s="16"/>
    </row>
    <row r="62" spans="1:8">
      <c r="H62" s="16"/>
    </row>
    <row r="63" spans="1:8">
      <c r="H63" s="16"/>
    </row>
    <row r="64" spans="1:8">
      <c r="B64" s="5"/>
      <c r="H64" s="16"/>
    </row>
    <row r="65" spans="2:8">
      <c r="B65" s="5"/>
      <c r="H65" s="16"/>
    </row>
    <row r="66" spans="2:8">
      <c r="B66" s="5"/>
      <c r="H66" s="16"/>
    </row>
    <row r="67" spans="2:8">
      <c r="B67" s="5"/>
      <c r="H67" s="16"/>
    </row>
    <row r="68" spans="2:8">
      <c r="B68" s="5"/>
      <c r="H68" s="16"/>
    </row>
    <row r="69" spans="2:8">
      <c r="B69" s="5"/>
      <c r="H69" s="16"/>
    </row>
    <row r="70" spans="2:8">
      <c r="B70" s="5"/>
      <c r="H70" s="16"/>
    </row>
    <row r="71" spans="2:8">
      <c r="B71" s="5"/>
      <c r="H71" s="16"/>
    </row>
    <row r="72" spans="2:8">
      <c r="B72" s="5"/>
      <c r="H72" s="16"/>
    </row>
    <row r="73" spans="2:8">
      <c r="B73" s="5"/>
      <c r="H73" s="16"/>
    </row>
    <row r="74" spans="2:8">
      <c r="B74" s="5"/>
      <c r="H74" s="16"/>
    </row>
    <row r="75" spans="2:8">
      <c r="B75" s="5"/>
      <c r="H75" s="16"/>
    </row>
    <row r="76" spans="2:8">
      <c r="B76" s="5"/>
      <c r="H76" s="16"/>
    </row>
    <row r="77" spans="2:8">
      <c r="B77" s="5"/>
      <c r="H77" s="16"/>
    </row>
    <row r="78" spans="2:8">
      <c r="B78" s="5"/>
      <c r="H78" s="16"/>
    </row>
    <row r="79" spans="2:8">
      <c r="B79" s="5"/>
      <c r="H79" s="16"/>
    </row>
    <row r="80" spans="2:8">
      <c r="B80" s="5"/>
      <c r="H80" s="16"/>
    </row>
    <row r="81" spans="2:8">
      <c r="B81" s="5"/>
      <c r="H81" s="16"/>
    </row>
    <row r="82" spans="2:8">
      <c r="B82" s="5"/>
      <c r="H82" s="16"/>
    </row>
    <row r="83" spans="2:8">
      <c r="B83" s="5"/>
      <c r="H83" s="16"/>
    </row>
    <row r="84" spans="2:8">
      <c r="B84" s="5"/>
      <c r="H84" s="16"/>
    </row>
    <row r="85" spans="2:8">
      <c r="B85" s="5"/>
      <c r="H85" s="16"/>
    </row>
    <row r="86" spans="2:8">
      <c r="B86" s="5"/>
      <c r="H86" s="16"/>
    </row>
    <row r="87" spans="2:8">
      <c r="B87" s="5"/>
      <c r="H87" s="16"/>
    </row>
    <row r="88" spans="2:8">
      <c r="B88" s="5"/>
      <c r="H88" s="16"/>
    </row>
    <row r="89" spans="2:8">
      <c r="B89" s="5"/>
      <c r="H89" s="16"/>
    </row>
    <row r="90" spans="2:8">
      <c r="B90" s="5"/>
      <c r="H90" s="16"/>
    </row>
    <row r="91" spans="2:8">
      <c r="B91" s="5"/>
      <c r="H91" s="16"/>
    </row>
    <row r="92" spans="2:8">
      <c r="B92" s="5"/>
      <c r="H92" s="16"/>
    </row>
    <row r="93" spans="2:8">
      <c r="B93" s="5"/>
      <c r="H93" s="16"/>
    </row>
    <row r="94" spans="2:8">
      <c r="B94" s="5"/>
      <c r="H94" s="16"/>
    </row>
    <row r="95" spans="2:8">
      <c r="B95" s="5"/>
      <c r="H95" s="16"/>
    </row>
    <row r="96" spans="2:8">
      <c r="B96" s="5"/>
      <c r="H96" s="16"/>
    </row>
    <row r="97" spans="2:8">
      <c r="B97" s="5"/>
      <c r="H97" s="16"/>
    </row>
    <row r="98" spans="2:8">
      <c r="B98" s="5"/>
      <c r="H98" s="16"/>
    </row>
    <row r="99" spans="2:8">
      <c r="B99" s="5"/>
      <c r="H99" s="16"/>
    </row>
    <row r="100" spans="2:8">
      <c r="B100" s="5"/>
      <c r="H100" s="16"/>
    </row>
    <row r="101" spans="2:8">
      <c r="B101" s="5"/>
      <c r="H101" s="16"/>
    </row>
    <row r="102" spans="2:8">
      <c r="B102" s="5"/>
      <c r="H102" s="16"/>
    </row>
    <row r="103" spans="2:8">
      <c r="B103" s="5"/>
      <c r="H103" s="16"/>
    </row>
    <row r="104" spans="2:8">
      <c r="B104" s="5"/>
      <c r="H104" s="16"/>
    </row>
    <row r="105" spans="2:8">
      <c r="B105" s="5"/>
      <c r="H105" s="16"/>
    </row>
    <row r="106" spans="2:8">
      <c r="B106" s="5"/>
      <c r="H106" s="16"/>
    </row>
    <row r="107" spans="2:8">
      <c r="B107" s="5"/>
      <c r="H107" s="16"/>
    </row>
    <row r="108" spans="2:8">
      <c r="B108" s="5"/>
      <c r="H108" s="16"/>
    </row>
    <row r="109" spans="2:8">
      <c r="B109" s="5"/>
      <c r="H109" s="16"/>
    </row>
    <row r="110" spans="2:8">
      <c r="B110" s="5"/>
      <c r="H110" s="16"/>
    </row>
    <row r="111" spans="2:8">
      <c r="B111" s="5"/>
      <c r="H111" s="16"/>
    </row>
    <row r="112" spans="2:8">
      <c r="B112" s="5"/>
      <c r="H112" s="16"/>
    </row>
    <row r="113" spans="2:8">
      <c r="B113" s="5"/>
      <c r="H113" s="16"/>
    </row>
    <row r="114" spans="2:8">
      <c r="B114" s="5"/>
      <c r="H114" s="16"/>
    </row>
    <row r="115" spans="2:8">
      <c r="B115" s="5"/>
      <c r="H115" s="16"/>
    </row>
    <row r="116" spans="2:8">
      <c r="B116" s="5"/>
      <c r="H116" s="16"/>
    </row>
    <row r="117" spans="2:8">
      <c r="B117" s="5"/>
      <c r="H117" s="16"/>
    </row>
    <row r="118" spans="2:8">
      <c r="B118" s="5"/>
      <c r="H118" s="16"/>
    </row>
    <row r="119" spans="2:8">
      <c r="B119" s="5"/>
      <c r="H119" s="16"/>
    </row>
    <row r="120" spans="2:8">
      <c r="B120" s="5"/>
      <c r="H120" s="16"/>
    </row>
    <row r="121" spans="2:8">
      <c r="B121" s="5"/>
      <c r="H121" s="16"/>
    </row>
    <row r="122" spans="2:8">
      <c r="B122" s="5"/>
      <c r="H122" s="16"/>
    </row>
    <row r="123" spans="2:8">
      <c r="B123" s="5"/>
      <c r="H123" s="16"/>
    </row>
    <row r="124" spans="2:8">
      <c r="B124" s="5"/>
      <c r="H124" s="16"/>
    </row>
    <row r="125" spans="2:8">
      <c r="B125" s="5"/>
      <c r="H125" s="16"/>
    </row>
    <row r="126" spans="2:8">
      <c r="B126" s="5"/>
      <c r="H126" s="16"/>
    </row>
    <row r="127" spans="2:8">
      <c r="B127" s="5"/>
      <c r="H127" s="16"/>
    </row>
    <row r="128" spans="2:8">
      <c r="B128" s="5"/>
      <c r="H128" s="16"/>
    </row>
    <row r="129" spans="2:8">
      <c r="B129" s="5"/>
      <c r="H129" s="16"/>
    </row>
    <row r="130" spans="2:8">
      <c r="B130" s="5"/>
      <c r="H130" s="16"/>
    </row>
    <row r="131" spans="2:8">
      <c r="B131" s="5"/>
      <c r="H131" s="16"/>
    </row>
    <row r="132" spans="2:8">
      <c r="B132" s="5"/>
      <c r="H132" s="16"/>
    </row>
    <row r="133" spans="2:8">
      <c r="B133" s="5"/>
      <c r="H133" s="16"/>
    </row>
    <row r="134" spans="2:8">
      <c r="B134" s="5"/>
      <c r="H134" s="16"/>
    </row>
    <row r="135" spans="2:8">
      <c r="B135" s="5"/>
      <c r="H135" s="16"/>
    </row>
    <row r="136" spans="2:8">
      <c r="B136" s="5"/>
      <c r="H136" s="16"/>
    </row>
    <row r="137" spans="2:8">
      <c r="B137" s="5"/>
      <c r="H137" s="16"/>
    </row>
    <row r="138" spans="2:8">
      <c r="B138" s="5"/>
      <c r="H138" s="16"/>
    </row>
    <row r="139" spans="2:8">
      <c r="B139" s="5"/>
      <c r="H139" s="16"/>
    </row>
    <row r="140" spans="2:8">
      <c r="B140" s="5"/>
      <c r="H140" s="16"/>
    </row>
    <row r="141" spans="2:8">
      <c r="B141" s="5"/>
      <c r="H141" s="16"/>
    </row>
    <row r="142" spans="2:8">
      <c r="B142" s="5"/>
      <c r="H142" s="16"/>
    </row>
    <row r="143" spans="2:8">
      <c r="B143" s="5"/>
      <c r="H143" s="16"/>
    </row>
    <row r="144" spans="2:8">
      <c r="B144" s="5"/>
      <c r="H144" s="16"/>
    </row>
    <row r="145" spans="2:8">
      <c r="B145" s="5"/>
      <c r="H145" s="16"/>
    </row>
    <row r="146" spans="2:8">
      <c r="B146" s="5"/>
      <c r="H146" s="16"/>
    </row>
    <row r="147" spans="2:8">
      <c r="B147" s="5"/>
      <c r="H147" s="16"/>
    </row>
    <row r="148" spans="2:8">
      <c r="B148" s="5"/>
      <c r="H148" s="16"/>
    </row>
    <row r="149" spans="2:8">
      <c r="B149" s="5"/>
      <c r="H149" s="16"/>
    </row>
    <row r="150" spans="2:8">
      <c r="B150" s="5"/>
      <c r="H150" s="16"/>
    </row>
    <row r="151" spans="2:8">
      <c r="B151" s="5"/>
      <c r="H151" s="16"/>
    </row>
    <row r="152" spans="2:8">
      <c r="B152" s="5"/>
      <c r="H152" s="16"/>
    </row>
    <row r="153" spans="2:8">
      <c r="B153" s="5"/>
      <c r="H153" s="16"/>
    </row>
    <row r="154" spans="2:8">
      <c r="B154" s="5"/>
      <c r="H154" s="16"/>
    </row>
    <row r="155" spans="2:8">
      <c r="B155" s="5"/>
      <c r="H155" s="16"/>
    </row>
    <row r="156" spans="2:8">
      <c r="B156" s="5"/>
      <c r="H156" s="16"/>
    </row>
    <row r="157" spans="2:8">
      <c r="B157" s="5"/>
      <c r="H157" s="16"/>
    </row>
    <row r="158" spans="2:8">
      <c r="B158" s="5"/>
      <c r="H158" s="16"/>
    </row>
    <row r="159" spans="2:8">
      <c r="B159" s="5"/>
      <c r="H159" s="16"/>
    </row>
    <row r="160" spans="2:8">
      <c r="B160" s="5"/>
      <c r="H160" s="16"/>
    </row>
    <row r="161" spans="2:8">
      <c r="B161" s="5"/>
      <c r="H161" s="16"/>
    </row>
    <row r="162" spans="2:8">
      <c r="B162" s="5"/>
      <c r="H162" s="16"/>
    </row>
    <row r="163" spans="2:8">
      <c r="B163" s="5"/>
      <c r="H163" s="16"/>
    </row>
    <row r="164" spans="2:8">
      <c r="B164" s="5"/>
      <c r="H164" s="16"/>
    </row>
    <row r="165" spans="2:8">
      <c r="B165" s="5"/>
      <c r="H165" s="16"/>
    </row>
    <row r="166" spans="2:8">
      <c r="B166" s="5"/>
      <c r="H166" s="16"/>
    </row>
    <row r="167" spans="2:8">
      <c r="B167" s="5"/>
      <c r="H167" s="16"/>
    </row>
    <row r="168" spans="2:8">
      <c r="B168" s="5"/>
      <c r="H168" s="16"/>
    </row>
    <row r="169" spans="2:8">
      <c r="B169" s="5"/>
      <c r="H169" s="16"/>
    </row>
    <row r="170" spans="2:8">
      <c r="B170" s="5"/>
      <c r="H170" s="16"/>
    </row>
    <row r="171" spans="2:8">
      <c r="B171" s="5"/>
      <c r="H171" s="16"/>
    </row>
    <row r="172" spans="2:8">
      <c r="B172" s="5"/>
      <c r="H172" s="16"/>
    </row>
    <row r="173" spans="2:8">
      <c r="B173" s="5"/>
      <c r="H173" s="16"/>
    </row>
    <row r="174" spans="2:8">
      <c r="B174" s="5"/>
      <c r="H174" s="16"/>
    </row>
    <row r="175" spans="2:8">
      <c r="B175" s="5"/>
      <c r="H175" s="16"/>
    </row>
    <row r="176" spans="2:8">
      <c r="B176" s="5"/>
      <c r="H176" s="16"/>
    </row>
    <row r="177" spans="2:8">
      <c r="B177" s="5"/>
      <c r="H177" s="16"/>
    </row>
    <row r="178" spans="2:8">
      <c r="B178" s="5"/>
      <c r="H178" s="16"/>
    </row>
    <row r="179" spans="2:8">
      <c r="B179" s="5"/>
      <c r="H179" s="16"/>
    </row>
    <row r="180" spans="2:8">
      <c r="B180" s="5"/>
      <c r="H180" s="16"/>
    </row>
    <row r="181" spans="2:8">
      <c r="B181" s="5"/>
      <c r="H181" s="16"/>
    </row>
    <row r="182" spans="2:8">
      <c r="B182" s="5"/>
      <c r="H182" s="16"/>
    </row>
    <row r="183" spans="2:8">
      <c r="B183" s="5"/>
      <c r="H183" s="16"/>
    </row>
    <row r="184" spans="2:8">
      <c r="B184" s="5"/>
      <c r="H184" s="16"/>
    </row>
    <row r="185" spans="2:8">
      <c r="B185" s="5"/>
      <c r="H185" s="16"/>
    </row>
    <row r="186" spans="2:8">
      <c r="B186" s="5"/>
      <c r="H186" s="16"/>
    </row>
    <row r="187" spans="2:8">
      <c r="B187" s="5"/>
      <c r="H187" s="16"/>
    </row>
    <row r="188" spans="2:8">
      <c r="B188" s="5"/>
      <c r="H188" s="16"/>
    </row>
    <row r="189" spans="2:8">
      <c r="B189" s="5"/>
      <c r="H189" s="16"/>
    </row>
    <row r="190" spans="2:8">
      <c r="B190" s="5"/>
      <c r="H190" s="16"/>
    </row>
    <row r="191" spans="2:8">
      <c r="B191" s="5"/>
      <c r="H191" s="16"/>
    </row>
    <row r="192" spans="2:8">
      <c r="B192" s="5"/>
      <c r="H192" s="16"/>
    </row>
    <row r="193" spans="2:8">
      <c r="B193" s="5"/>
      <c r="H193" s="16"/>
    </row>
    <row r="194" spans="2:8">
      <c r="B194" s="5"/>
      <c r="H194" s="16"/>
    </row>
    <row r="195" spans="2:8">
      <c r="B195" s="5"/>
      <c r="H195" s="16"/>
    </row>
    <row r="196" spans="2:8">
      <c r="B196" s="5"/>
      <c r="H196" s="16"/>
    </row>
    <row r="197" spans="2:8">
      <c r="B197" s="5"/>
      <c r="H197" s="16"/>
    </row>
    <row r="198" spans="2:8">
      <c r="B198" s="5"/>
      <c r="H198" s="16"/>
    </row>
    <row r="199" spans="2:8">
      <c r="B199" s="5"/>
      <c r="H199" s="16"/>
    </row>
    <row r="200" spans="2:8">
      <c r="B200" s="5"/>
      <c r="H200" s="16"/>
    </row>
    <row r="201" spans="2:8">
      <c r="B201" s="5"/>
      <c r="H201" s="16"/>
    </row>
    <row r="202" spans="2:8">
      <c r="B202" s="5"/>
      <c r="H202" s="16"/>
    </row>
    <row r="203" spans="2:8">
      <c r="B203" s="5"/>
      <c r="H203" s="16"/>
    </row>
    <row r="204" spans="2:8">
      <c r="B204" s="5"/>
      <c r="H204" s="16"/>
    </row>
    <row r="205" spans="2:8">
      <c r="B205" s="5"/>
      <c r="H205" s="16"/>
    </row>
    <row r="206" spans="2:8">
      <c r="B206" s="5"/>
      <c r="H206" s="16"/>
    </row>
    <row r="207" spans="2:8">
      <c r="B207" s="5"/>
      <c r="H207" s="16"/>
    </row>
    <row r="208" spans="2:8">
      <c r="B208" s="5"/>
      <c r="H208" s="16"/>
    </row>
    <row r="209" spans="2:8">
      <c r="B209" s="5"/>
      <c r="H209" s="16"/>
    </row>
    <row r="210" spans="2:8">
      <c r="B210" s="5"/>
      <c r="H210" s="16"/>
    </row>
    <row r="211" spans="2:8">
      <c r="B211" s="5"/>
      <c r="H211" s="16"/>
    </row>
    <row r="212" spans="2:8">
      <c r="B212" s="5"/>
      <c r="H212" s="16"/>
    </row>
    <row r="213" spans="2:8">
      <c r="B213" s="5"/>
      <c r="H213" s="16"/>
    </row>
    <row r="214" spans="2:8">
      <c r="B214" s="5"/>
      <c r="H214" s="16"/>
    </row>
    <row r="215" spans="2:8">
      <c r="B215" s="5"/>
      <c r="H215" s="16"/>
    </row>
    <row r="216" spans="2:8">
      <c r="B216" s="5"/>
      <c r="H216" s="16"/>
    </row>
    <row r="217" spans="2:8">
      <c r="B217" s="5"/>
      <c r="H217" s="16"/>
    </row>
    <row r="218" spans="2:8">
      <c r="B218" s="5"/>
      <c r="H218" s="16"/>
    </row>
    <row r="219" spans="2:8">
      <c r="B219" s="5"/>
      <c r="H219" s="16"/>
    </row>
    <row r="220" spans="2:8">
      <c r="B220" s="5"/>
      <c r="H220" s="16"/>
    </row>
    <row r="221" spans="2:8">
      <c r="B221" s="5"/>
      <c r="H221" s="16"/>
    </row>
    <row r="222" spans="2:8">
      <c r="B222" s="5"/>
      <c r="H222" s="16"/>
    </row>
    <row r="223" spans="2:8">
      <c r="B223" s="5"/>
      <c r="H223" s="16"/>
    </row>
    <row r="224" spans="2:8">
      <c r="B224" s="5"/>
      <c r="H224" s="16"/>
    </row>
    <row r="225" spans="2:8">
      <c r="B225" s="5"/>
      <c r="H225" s="16"/>
    </row>
    <row r="226" spans="2:8">
      <c r="B226" s="5"/>
      <c r="H226" s="16"/>
    </row>
    <row r="227" spans="2:8">
      <c r="B227" s="5"/>
      <c r="H227" s="16"/>
    </row>
    <row r="228" spans="2:8">
      <c r="B228" s="5"/>
      <c r="H228" s="16"/>
    </row>
    <row r="229" spans="2:8">
      <c r="B229" s="5"/>
      <c r="H229" s="16"/>
    </row>
    <row r="230" spans="2:8">
      <c r="B230" s="5"/>
      <c r="H230" s="16"/>
    </row>
    <row r="231" spans="2:8">
      <c r="B231" s="5"/>
      <c r="H231" s="16"/>
    </row>
    <row r="232" spans="2:8">
      <c r="B232" s="5"/>
      <c r="H232" s="16"/>
    </row>
    <row r="233" spans="2:8">
      <c r="B233" s="5"/>
      <c r="H233" s="16"/>
    </row>
    <row r="234" spans="2:8">
      <c r="B234" s="5"/>
      <c r="H234" s="16"/>
    </row>
    <row r="235" spans="2:8">
      <c r="B235" s="5"/>
      <c r="H235" s="16"/>
    </row>
    <row r="236" spans="2:8">
      <c r="B236" s="5"/>
      <c r="H236" s="16"/>
    </row>
    <row r="237" spans="2:8">
      <c r="B237" s="5"/>
      <c r="H237" s="16"/>
    </row>
    <row r="238" spans="2:8">
      <c r="B238" s="5"/>
      <c r="H238" s="16"/>
    </row>
    <row r="239" spans="2:8">
      <c r="B239" s="5"/>
      <c r="H239" s="16"/>
    </row>
    <row r="240" spans="2:8">
      <c r="B240" s="5"/>
      <c r="H240" s="16"/>
    </row>
    <row r="241" spans="2:8">
      <c r="B241" s="5"/>
      <c r="H241" s="16"/>
    </row>
    <row r="242" spans="2:8">
      <c r="B242" s="5"/>
      <c r="H242" s="16"/>
    </row>
    <row r="243" spans="2:8">
      <c r="B243" s="5"/>
      <c r="H243" s="16"/>
    </row>
    <row r="244" spans="2:8">
      <c r="B244" s="5"/>
      <c r="H244" s="16"/>
    </row>
    <row r="245" spans="2:8">
      <c r="B245" s="5"/>
      <c r="H245" s="16"/>
    </row>
    <row r="246" spans="2:8">
      <c r="B246" s="5"/>
      <c r="H246" s="16"/>
    </row>
    <row r="247" spans="2:8">
      <c r="B247" s="5"/>
      <c r="H247" s="16"/>
    </row>
    <row r="248" spans="2:8">
      <c r="B248" s="5"/>
      <c r="H248" s="16"/>
    </row>
    <row r="249" spans="2:8">
      <c r="B249" s="5"/>
      <c r="H249" s="16"/>
    </row>
    <row r="250" spans="2:8">
      <c r="B250" s="5"/>
      <c r="H250" s="16"/>
    </row>
    <row r="251" spans="2:8">
      <c r="B251" s="5"/>
      <c r="H251" s="16"/>
    </row>
    <row r="252" spans="2:8">
      <c r="B252" s="5"/>
      <c r="H252" s="16"/>
    </row>
    <row r="253" spans="2:8">
      <c r="B253" s="5"/>
      <c r="H253" s="16"/>
    </row>
    <row r="254" spans="2:8">
      <c r="B254" s="5"/>
      <c r="H254" s="16"/>
    </row>
    <row r="255" spans="2:8">
      <c r="B255" s="5"/>
      <c r="H255" s="16"/>
    </row>
    <row r="256" spans="2:8">
      <c r="B256" s="5"/>
      <c r="H256" s="16"/>
    </row>
    <row r="257" spans="2:8">
      <c r="B257" s="5"/>
      <c r="H257" s="16"/>
    </row>
    <row r="258" spans="2:8">
      <c r="B258" s="5"/>
      <c r="H258" s="16"/>
    </row>
    <row r="259" spans="2:8">
      <c r="B259" s="5"/>
      <c r="H259" s="16"/>
    </row>
    <row r="260" spans="2:8">
      <c r="B260" s="5"/>
      <c r="H260" s="16"/>
    </row>
    <row r="261" spans="2:8">
      <c r="B261" s="5"/>
      <c r="H261" s="16"/>
    </row>
    <row r="262" spans="2:8">
      <c r="B262" s="5"/>
      <c r="H262" s="16"/>
    </row>
    <row r="263" spans="2:8">
      <c r="B263" s="5"/>
      <c r="H263" s="16"/>
    </row>
    <row r="264" spans="2:8">
      <c r="B264" s="5"/>
      <c r="H264" s="16"/>
    </row>
    <row r="265" spans="2:8">
      <c r="B265" s="5"/>
      <c r="H265" s="16"/>
    </row>
    <row r="266" spans="2:8">
      <c r="B266" s="5"/>
      <c r="H266" s="16"/>
    </row>
    <row r="267" spans="2:8">
      <c r="B267" s="5"/>
      <c r="H267" s="16"/>
    </row>
    <row r="268" spans="2:8">
      <c r="B268" s="5"/>
      <c r="H268" s="16"/>
    </row>
    <row r="269" spans="2:8">
      <c r="B269" s="5"/>
      <c r="H269" s="16"/>
    </row>
    <row r="270" spans="2:8">
      <c r="B270" s="5"/>
      <c r="H270" s="16"/>
    </row>
    <row r="271" spans="2:8">
      <c r="B271" s="5"/>
      <c r="H271" s="16"/>
    </row>
    <row r="272" spans="2:8">
      <c r="B272" s="5"/>
      <c r="H272" s="16"/>
    </row>
    <row r="273" spans="2:8">
      <c r="B273" s="5"/>
      <c r="H273" s="16"/>
    </row>
    <row r="274" spans="2:8">
      <c r="B274" s="5"/>
      <c r="H274" s="16"/>
    </row>
    <row r="275" spans="2:8">
      <c r="B275" s="5"/>
      <c r="H275" s="16"/>
    </row>
    <row r="276" spans="2:8">
      <c r="B276" s="5"/>
      <c r="H276" s="16"/>
    </row>
    <row r="277" spans="2:8">
      <c r="B277" s="5"/>
      <c r="H277" s="16"/>
    </row>
    <row r="278" spans="2:8">
      <c r="B278" s="5"/>
      <c r="H278" s="16"/>
    </row>
    <row r="279" spans="2:8">
      <c r="B279" s="5"/>
      <c r="H279" s="16"/>
    </row>
    <row r="280" spans="2:8">
      <c r="B280" s="5"/>
      <c r="H280" s="16"/>
    </row>
    <row r="281" spans="2:8">
      <c r="B281" s="5"/>
      <c r="H281" s="16"/>
    </row>
    <row r="282" spans="2:8">
      <c r="B282" s="5"/>
      <c r="H282" s="16"/>
    </row>
    <row r="283" spans="2:8">
      <c r="B283" s="5"/>
      <c r="H283" s="16"/>
    </row>
    <row r="284" spans="2:8">
      <c r="B284" s="5"/>
      <c r="H284" s="16"/>
    </row>
    <row r="285" spans="2:8">
      <c r="B285" s="5"/>
      <c r="H285" s="16"/>
    </row>
    <row r="286" spans="2:8">
      <c r="B286" s="5"/>
      <c r="H286" s="16"/>
    </row>
    <row r="287" spans="2:8">
      <c r="B287" s="5"/>
      <c r="H287" s="16"/>
    </row>
    <row r="288" spans="2:8">
      <c r="B288" s="5"/>
      <c r="H288" s="16"/>
    </row>
    <row r="289" spans="2:8">
      <c r="B289" s="5"/>
      <c r="H289" s="16"/>
    </row>
    <row r="290" spans="2:8">
      <c r="B290" s="5"/>
      <c r="H290" s="16"/>
    </row>
    <row r="291" spans="2:8">
      <c r="B291" s="5"/>
      <c r="H291" s="16"/>
    </row>
    <row r="292" spans="2:8">
      <c r="B292" s="5"/>
      <c r="H292" s="16"/>
    </row>
    <row r="293" spans="2:8">
      <c r="B293" s="5"/>
      <c r="H293" s="16"/>
    </row>
    <row r="294" spans="2:8">
      <c r="B294" s="5"/>
      <c r="H294" s="16"/>
    </row>
    <row r="295" spans="2:8">
      <c r="B295" s="5"/>
      <c r="H295" s="16"/>
    </row>
    <row r="296" spans="2:8">
      <c r="B296" s="5"/>
      <c r="H296" s="16"/>
    </row>
    <row r="297" spans="2:8">
      <c r="B297" s="5"/>
      <c r="H297" s="16"/>
    </row>
    <row r="298" spans="2:8">
      <c r="B298" s="5"/>
      <c r="H298" s="16"/>
    </row>
    <row r="299" spans="2:8">
      <c r="B299" s="5"/>
      <c r="H299" s="16"/>
    </row>
    <row r="300" spans="2:8">
      <c r="B300" s="5"/>
      <c r="H300" s="16"/>
    </row>
    <row r="301" spans="2:8">
      <c r="B301" s="5"/>
      <c r="H301" s="16"/>
    </row>
    <row r="302" spans="2:8">
      <c r="B302" s="5"/>
      <c r="H302" s="16"/>
    </row>
    <row r="303" spans="2:8">
      <c r="B303" s="5"/>
      <c r="H303" s="16"/>
    </row>
    <row r="304" spans="2:8">
      <c r="B304" s="5"/>
      <c r="H304" s="16"/>
    </row>
    <row r="305" spans="2:8">
      <c r="B305" s="5"/>
      <c r="H305" s="16"/>
    </row>
    <row r="306" spans="2:8">
      <c r="B306" s="5"/>
      <c r="H306" s="16"/>
    </row>
    <row r="307" spans="2:8">
      <c r="B307" s="5"/>
      <c r="H307" s="16"/>
    </row>
    <row r="308" spans="2:8">
      <c r="B308" s="5"/>
      <c r="H308" s="16"/>
    </row>
    <row r="309" spans="2:8">
      <c r="B309" s="5"/>
      <c r="H309" s="16"/>
    </row>
    <row r="310" spans="2:8">
      <c r="B310" s="5"/>
      <c r="H310" s="16"/>
    </row>
    <row r="311" spans="2:8">
      <c r="B311" s="5"/>
      <c r="H311" s="16"/>
    </row>
    <row r="312" spans="2:8">
      <c r="B312" s="5"/>
      <c r="H312" s="16"/>
    </row>
    <row r="313" spans="2:8">
      <c r="B313" s="5"/>
      <c r="H313" s="16"/>
    </row>
    <row r="314" spans="2:8">
      <c r="B314" s="5"/>
      <c r="H314" s="16"/>
    </row>
    <row r="315" spans="2:8">
      <c r="B315" s="5"/>
      <c r="H315" s="16"/>
    </row>
    <row r="316" spans="2:8">
      <c r="B316" s="5"/>
      <c r="H316" s="16"/>
    </row>
    <row r="317" spans="2:8">
      <c r="B317" s="5"/>
      <c r="H317" s="16"/>
    </row>
    <row r="318" spans="2:8">
      <c r="B318" s="5"/>
      <c r="H318" s="16"/>
    </row>
    <row r="319" spans="2:8">
      <c r="B319" s="5"/>
      <c r="H319" s="16"/>
    </row>
    <row r="320" spans="2:8">
      <c r="B320" s="5"/>
      <c r="H320" s="16"/>
    </row>
    <row r="321" spans="2:8">
      <c r="B321" s="5"/>
      <c r="H321" s="16"/>
    </row>
    <row r="322" spans="2:8">
      <c r="B322" s="5"/>
      <c r="H322" s="16"/>
    </row>
    <row r="323" spans="2:8">
      <c r="B323" s="5"/>
      <c r="H323" s="16"/>
    </row>
    <row r="324" spans="2:8">
      <c r="B324" s="5"/>
      <c r="H324" s="16"/>
    </row>
    <row r="325" spans="2:8">
      <c r="B325" s="5"/>
      <c r="H325" s="16"/>
    </row>
    <row r="326" spans="2:8">
      <c r="B326" s="5"/>
      <c r="H326" s="16"/>
    </row>
    <row r="327" spans="2:8">
      <c r="B327" s="5"/>
      <c r="H327" s="16"/>
    </row>
    <row r="328" spans="2:8">
      <c r="B328" s="5"/>
      <c r="H328" s="16"/>
    </row>
    <row r="329" spans="2:8">
      <c r="B329" s="5"/>
      <c r="H329" s="16"/>
    </row>
    <row r="330" spans="2:8">
      <c r="B330" s="5"/>
      <c r="H330" s="16"/>
    </row>
    <row r="331" spans="2:8">
      <c r="B331" s="5"/>
      <c r="H331" s="16"/>
    </row>
    <row r="332" spans="2:8">
      <c r="B332" s="5"/>
      <c r="H332" s="16"/>
    </row>
    <row r="333" spans="2:8">
      <c r="B333" s="5"/>
      <c r="H333" s="16"/>
    </row>
    <row r="334" spans="2:8">
      <c r="B334" s="5"/>
      <c r="H334" s="16"/>
    </row>
    <row r="335" spans="2:8">
      <c r="B335" s="5"/>
      <c r="H335" s="16"/>
    </row>
    <row r="336" spans="2:8">
      <c r="B336" s="5"/>
      <c r="H336" s="16"/>
    </row>
    <row r="337" spans="2:8">
      <c r="B337" s="5"/>
      <c r="H337" s="16"/>
    </row>
    <row r="338" spans="2:8">
      <c r="B338" s="5"/>
      <c r="H338" s="16"/>
    </row>
    <row r="339" spans="2:8">
      <c r="B339" s="5"/>
      <c r="H339" s="16"/>
    </row>
    <row r="340" spans="2:8">
      <c r="B340" s="5"/>
      <c r="H340" s="16"/>
    </row>
    <row r="341" spans="2:8">
      <c r="B341" s="5"/>
      <c r="H341" s="16"/>
    </row>
    <row r="342" spans="2:8">
      <c r="B342" s="5"/>
      <c r="H342" s="16"/>
    </row>
    <row r="343" spans="2:8">
      <c r="B343" s="5"/>
      <c r="H343" s="16"/>
    </row>
    <row r="344" spans="2:8">
      <c r="B344" s="5"/>
      <c r="H344" s="16"/>
    </row>
    <row r="345" spans="2:8">
      <c r="B345" s="5"/>
      <c r="H345" s="16"/>
    </row>
    <row r="346" spans="2:8">
      <c r="B346" s="5"/>
      <c r="H346" s="16"/>
    </row>
    <row r="347" spans="2:8">
      <c r="B347" s="5"/>
      <c r="H347" s="16"/>
    </row>
    <row r="348" spans="2:8">
      <c r="B348" s="5"/>
      <c r="H348" s="16"/>
    </row>
    <row r="349" spans="2:8">
      <c r="B349" s="5"/>
      <c r="H349" s="16"/>
    </row>
    <row r="350" spans="2:8">
      <c r="B350" s="5"/>
      <c r="H350" s="16"/>
    </row>
    <row r="351" spans="2:8">
      <c r="B351" s="5"/>
      <c r="H351" s="16"/>
    </row>
    <row r="352" spans="2:8">
      <c r="B352" s="5"/>
      <c r="H352" s="16"/>
    </row>
    <row r="353" spans="2:8">
      <c r="B353" s="5"/>
      <c r="H353" s="16"/>
    </row>
    <row r="354" spans="2:8">
      <c r="B354" s="5"/>
      <c r="H354" s="16"/>
    </row>
    <row r="355" spans="2:8">
      <c r="B355" s="5"/>
      <c r="H355" s="16"/>
    </row>
    <row r="356" spans="2:8">
      <c r="B356" s="5"/>
      <c r="H356" s="16"/>
    </row>
    <row r="357" spans="2:8">
      <c r="B357" s="5"/>
      <c r="H357" s="16"/>
    </row>
    <row r="358" spans="2:8">
      <c r="B358" s="5"/>
      <c r="H358" s="16"/>
    </row>
    <row r="359" spans="2:8">
      <c r="B359" s="5"/>
      <c r="H359" s="16"/>
    </row>
    <row r="360" spans="2:8">
      <c r="B360" s="5"/>
      <c r="H360" s="16"/>
    </row>
    <row r="361" spans="2:8">
      <c r="B361" s="5"/>
      <c r="H361" s="16"/>
    </row>
    <row r="362" spans="2:8">
      <c r="B362" s="5"/>
      <c r="H362" s="16"/>
    </row>
    <row r="363" spans="2:8">
      <c r="B363" s="5"/>
      <c r="H363" s="16"/>
    </row>
    <row r="364" spans="2:8">
      <c r="B364" s="5"/>
      <c r="H364" s="16"/>
    </row>
    <row r="365" spans="2:8">
      <c r="B365" s="5"/>
      <c r="H365" s="16"/>
    </row>
    <row r="366" spans="2:8">
      <c r="B366" s="5"/>
      <c r="H366" s="16"/>
    </row>
    <row r="367" spans="2:8">
      <c r="B367" s="5"/>
      <c r="H367" s="16"/>
    </row>
    <row r="368" spans="2:8">
      <c r="B368" s="5"/>
      <c r="H368" s="16"/>
    </row>
    <row r="369" spans="2:8">
      <c r="B369" s="5"/>
      <c r="H369" s="16"/>
    </row>
    <row r="370" spans="2:8">
      <c r="B370" s="5"/>
      <c r="H370" s="16"/>
    </row>
    <row r="371" spans="2:8">
      <c r="B371" s="5"/>
      <c r="H371" s="16"/>
    </row>
    <row r="372" spans="2:8">
      <c r="B372" s="5"/>
      <c r="H372" s="16"/>
    </row>
    <row r="373" spans="2:8">
      <c r="B373" s="5"/>
      <c r="H373" s="16"/>
    </row>
    <row r="374" spans="2:8">
      <c r="B374" s="5"/>
      <c r="H374" s="16"/>
    </row>
    <row r="375" spans="2:8">
      <c r="B375" s="5"/>
      <c r="H375" s="16"/>
    </row>
    <row r="376" spans="2:8">
      <c r="B376" s="5"/>
      <c r="H376" s="16"/>
    </row>
    <row r="377" spans="2:8">
      <c r="B377" s="5"/>
      <c r="H377" s="16"/>
    </row>
    <row r="378" spans="2:8">
      <c r="B378" s="5"/>
      <c r="H378" s="16"/>
    </row>
    <row r="379" spans="2:8">
      <c r="B379" s="5"/>
      <c r="H379" s="16"/>
    </row>
    <row r="380" spans="2:8">
      <c r="B380" s="5"/>
      <c r="H380" s="16"/>
    </row>
    <row r="381" spans="2:8">
      <c r="B381" s="5"/>
      <c r="H381" s="16"/>
    </row>
    <row r="382" spans="2:8">
      <c r="B382" s="5"/>
      <c r="H382" s="16"/>
    </row>
    <row r="383" spans="2:8">
      <c r="B383" s="5"/>
      <c r="H383" s="16"/>
    </row>
    <row r="384" spans="2:8">
      <c r="B384" s="5"/>
      <c r="H384" s="16"/>
    </row>
    <row r="385" spans="2:8">
      <c r="B385" s="5"/>
      <c r="H385" s="16"/>
    </row>
    <row r="386" spans="2:8">
      <c r="B386" s="5"/>
      <c r="H386" s="16"/>
    </row>
    <row r="387" spans="2:8">
      <c r="B387" s="5"/>
      <c r="H387" s="16"/>
    </row>
    <row r="388" spans="2:8">
      <c r="B388" s="5"/>
      <c r="H388" s="16"/>
    </row>
    <row r="389" spans="2:8">
      <c r="B389" s="5"/>
      <c r="H389" s="16"/>
    </row>
    <row r="390" spans="2:8">
      <c r="B390" s="5"/>
      <c r="H390" s="16"/>
    </row>
    <row r="391" spans="2:8">
      <c r="B391" s="5"/>
      <c r="H391" s="16"/>
    </row>
    <row r="392" spans="2:8">
      <c r="B392" s="5"/>
      <c r="H392" s="16"/>
    </row>
    <row r="393" spans="2:8">
      <c r="B393" s="5"/>
      <c r="H393" s="16"/>
    </row>
    <row r="394" spans="2:8">
      <c r="B394" s="5"/>
      <c r="H394" s="16"/>
    </row>
    <row r="395" spans="2:8">
      <c r="B395" s="5"/>
      <c r="H395" s="16"/>
    </row>
    <row r="396" spans="2:8">
      <c r="B396" s="5"/>
      <c r="H396" s="16"/>
    </row>
    <row r="397" spans="2:8">
      <c r="B397" s="5"/>
      <c r="H397" s="16"/>
    </row>
    <row r="398" spans="2:8">
      <c r="B398" s="5"/>
      <c r="H398" s="16"/>
    </row>
    <row r="399" spans="2:8">
      <c r="B399" s="5"/>
      <c r="H399" s="16"/>
    </row>
    <row r="400" spans="2:8">
      <c r="B400" s="5"/>
      <c r="H400" s="16"/>
    </row>
    <row r="401" spans="2:8">
      <c r="B401" s="5"/>
      <c r="H401" s="16"/>
    </row>
    <row r="402" spans="2:8">
      <c r="B402" s="5"/>
      <c r="H402" s="16"/>
    </row>
    <row r="403" spans="2:8">
      <c r="B403" s="5"/>
      <c r="H403" s="16"/>
    </row>
    <row r="404" spans="2:8">
      <c r="B404" s="5"/>
      <c r="H404" s="16"/>
    </row>
    <row r="405" spans="2:8">
      <c r="B405" s="5"/>
      <c r="H405" s="16"/>
    </row>
    <row r="406" spans="2:8">
      <c r="B406" s="5"/>
      <c r="H406" s="16"/>
    </row>
    <row r="407" spans="2:8">
      <c r="B407" s="5"/>
      <c r="H407" s="16"/>
    </row>
    <row r="408" spans="2:8">
      <c r="B408" s="5"/>
      <c r="H408" s="16"/>
    </row>
    <row r="409" spans="2:8">
      <c r="B409" s="5"/>
      <c r="H409" s="16"/>
    </row>
    <row r="410" spans="2:8">
      <c r="B410" s="5"/>
      <c r="H410" s="16"/>
    </row>
    <row r="411" spans="2:8">
      <c r="B411" s="5"/>
      <c r="H411" s="16"/>
    </row>
    <row r="412" spans="2:8">
      <c r="B412" s="5"/>
      <c r="H412" s="16"/>
    </row>
    <row r="413" spans="2:8">
      <c r="B413" s="5"/>
      <c r="H413" s="16"/>
    </row>
    <row r="414" spans="2:8">
      <c r="B414" s="5"/>
      <c r="H414" s="16"/>
    </row>
    <row r="415" spans="2:8">
      <c r="B415" s="5"/>
      <c r="H415" s="16"/>
    </row>
    <row r="416" spans="2:8">
      <c r="B416" s="5"/>
      <c r="H416" s="16"/>
    </row>
    <row r="417" spans="2:8">
      <c r="B417" s="5"/>
      <c r="H417" s="16"/>
    </row>
    <row r="418" spans="2:8">
      <c r="B418" s="5"/>
      <c r="H418" s="16"/>
    </row>
    <row r="419" spans="2:8">
      <c r="B419" s="5"/>
      <c r="H419" s="16"/>
    </row>
    <row r="420" spans="2:8">
      <c r="B420" s="5"/>
      <c r="H420" s="16"/>
    </row>
    <row r="421" spans="2:8">
      <c r="B421" s="5"/>
      <c r="H421" s="16"/>
    </row>
    <row r="422" spans="2:8">
      <c r="B422" s="5"/>
      <c r="H422" s="16"/>
    </row>
    <row r="423" spans="2:8">
      <c r="B423" s="5"/>
      <c r="H423" s="16"/>
    </row>
    <row r="424" spans="2:8">
      <c r="B424" s="5"/>
      <c r="H424" s="16"/>
    </row>
    <row r="425" spans="2:8">
      <c r="B425" s="5"/>
      <c r="H425" s="16"/>
    </row>
    <row r="426" spans="2:8">
      <c r="B426" s="5"/>
      <c r="H426" s="16"/>
    </row>
    <row r="427" spans="2:8">
      <c r="B427" s="5"/>
      <c r="H427" s="16"/>
    </row>
    <row r="428" spans="2:8">
      <c r="B428" s="5"/>
      <c r="H428" s="16"/>
    </row>
    <row r="429" spans="2:8">
      <c r="B429" s="5"/>
      <c r="H429" s="16"/>
    </row>
    <row r="430" spans="2:8">
      <c r="B430" s="5"/>
      <c r="H430" s="16"/>
    </row>
    <row r="431" spans="2:8">
      <c r="B431" s="5"/>
      <c r="H431" s="16"/>
    </row>
    <row r="432" spans="2:8">
      <c r="B432" s="5"/>
      <c r="H432" s="16"/>
    </row>
    <row r="433" spans="2:8">
      <c r="B433" s="5"/>
      <c r="H433" s="16"/>
    </row>
    <row r="434" spans="2:8">
      <c r="B434" s="5"/>
      <c r="H434" s="16"/>
    </row>
    <row r="435" spans="2:8">
      <c r="B435" s="5"/>
      <c r="H435" s="16"/>
    </row>
    <row r="436" spans="2:8">
      <c r="B436" s="5"/>
      <c r="H436" s="16"/>
    </row>
    <row r="437" spans="2:8">
      <c r="B437" s="5"/>
      <c r="H437" s="16"/>
    </row>
    <row r="438" spans="2:8">
      <c r="B438" s="5"/>
      <c r="H438" s="16"/>
    </row>
    <row r="439" spans="2:8">
      <c r="B439" s="5"/>
      <c r="H439" s="16"/>
    </row>
    <row r="440" spans="2:8">
      <c r="B440" s="5"/>
      <c r="H440" s="16"/>
    </row>
    <row r="441" spans="2:8">
      <c r="B441" s="5"/>
      <c r="H441" s="16"/>
    </row>
    <row r="442" spans="2:8">
      <c r="B442" s="5"/>
      <c r="H442" s="16"/>
    </row>
    <row r="443" spans="2:8">
      <c r="B443" s="5"/>
      <c r="H443" s="16"/>
    </row>
    <row r="444" spans="2:8">
      <c r="B444" s="5"/>
      <c r="H444" s="16"/>
    </row>
    <row r="445" spans="2:8">
      <c r="B445" s="5"/>
      <c r="H445" s="16"/>
    </row>
    <row r="446" spans="2:8">
      <c r="B446" s="5"/>
      <c r="H446" s="16"/>
    </row>
    <row r="447" spans="2:8">
      <c r="B447" s="5"/>
      <c r="H447" s="16"/>
    </row>
    <row r="448" spans="2:8">
      <c r="B448" s="5"/>
      <c r="H448" s="16"/>
    </row>
    <row r="449" spans="2:8">
      <c r="B449" s="5"/>
      <c r="H449" s="16"/>
    </row>
    <row r="450" spans="2:8">
      <c r="B450" s="5"/>
      <c r="H450" s="16"/>
    </row>
    <row r="451" spans="2:8">
      <c r="B451" s="5"/>
      <c r="H451" s="16"/>
    </row>
    <row r="452" spans="2:8">
      <c r="B452" s="5"/>
      <c r="H452" s="16"/>
    </row>
    <row r="453" spans="2:8">
      <c r="B453" s="5"/>
      <c r="H453" s="16"/>
    </row>
    <row r="454" spans="2:8">
      <c r="B454" s="5"/>
      <c r="H454" s="16"/>
    </row>
    <row r="455" spans="2:8">
      <c r="B455" s="5"/>
      <c r="H455" s="16"/>
    </row>
    <row r="456" spans="2:8">
      <c r="B456" s="5"/>
      <c r="H456" s="16"/>
    </row>
    <row r="457" spans="2:8">
      <c r="B457" s="5"/>
      <c r="H457" s="16"/>
    </row>
    <row r="458" spans="2:8">
      <c r="B458" s="5"/>
      <c r="H458" s="16"/>
    </row>
    <row r="459" spans="2:8">
      <c r="B459" s="5"/>
      <c r="H459" s="16"/>
    </row>
    <row r="460" spans="2:8">
      <c r="B460" s="5"/>
      <c r="H460" s="16"/>
    </row>
    <row r="461" spans="2:8">
      <c r="B461" s="5"/>
      <c r="H461" s="16"/>
    </row>
    <row r="462" spans="2:8">
      <c r="B462" s="5"/>
      <c r="H462" s="16"/>
    </row>
    <row r="463" spans="2:8">
      <c r="B463" s="5"/>
      <c r="H463" s="16"/>
    </row>
    <row r="464" spans="2:8">
      <c r="B464" s="5"/>
      <c r="H464" s="16"/>
    </row>
    <row r="465" spans="2:8">
      <c r="B465" s="5"/>
      <c r="H465" s="16"/>
    </row>
    <row r="466" spans="2:8">
      <c r="B466" s="5"/>
      <c r="H466" s="16"/>
    </row>
    <row r="467" spans="2:8">
      <c r="B467" s="5"/>
      <c r="H467" s="16"/>
    </row>
    <row r="468" spans="2:8">
      <c r="B468" s="5"/>
      <c r="H468" s="16"/>
    </row>
    <row r="469" spans="2:8">
      <c r="B469" s="5"/>
      <c r="H469" s="16"/>
    </row>
    <row r="470" spans="2:8">
      <c r="B470" s="5"/>
      <c r="H470" s="16"/>
    </row>
    <row r="471" spans="2:8">
      <c r="B471" s="5"/>
      <c r="H471" s="16"/>
    </row>
    <row r="472" spans="2:8">
      <c r="B472" s="5"/>
      <c r="H472" s="16"/>
    </row>
    <row r="473" spans="2:8">
      <c r="B473" s="5"/>
      <c r="H473" s="16"/>
    </row>
    <row r="474" spans="2:8">
      <c r="B474" s="5"/>
      <c r="H474" s="16"/>
    </row>
    <row r="475" spans="2:8">
      <c r="B475" s="5"/>
      <c r="H475" s="16"/>
    </row>
    <row r="476" spans="2:8">
      <c r="B476" s="5"/>
      <c r="H476" s="16"/>
    </row>
    <row r="477" spans="2:8">
      <c r="B477" s="5"/>
      <c r="H477" s="16"/>
    </row>
    <row r="478" spans="2:8">
      <c r="B478" s="5"/>
      <c r="H478" s="16"/>
    </row>
    <row r="479" spans="2:8">
      <c r="B479" s="5"/>
      <c r="H479" s="16"/>
    </row>
    <row r="480" spans="2:8">
      <c r="B480" s="5"/>
      <c r="H480" s="16"/>
    </row>
    <row r="481" spans="2:8">
      <c r="B481" s="5"/>
      <c r="H481" s="16"/>
    </row>
    <row r="482" spans="2:8">
      <c r="B482" s="5"/>
      <c r="H482" s="16"/>
    </row>
    <row r="483" spans="2:8">
      <c r="B483" s="5"/>
      <c r="H483" s="16"/>
    </row>
    <row r="484" spans="2:8">
      <c r="B484" s="5"/>
      <c r="H484" s="16"/>
    </row>
    <row r="485" spans="2:8">
      <c r="B485" s="5"/>
      <c r="H485" s="16"/>
    </row>
    <row r="486" spans="2:8">
      <c r="B486" s="5"/>
      <c r="H486" s="16"/>
    </row>
    <row r="487" spans="2:8">
      <c r="B487" s="5"/>
      <c r="H487" s="16"/>
    </row>
    <row r="488" spans="2:8">
      <c r="B488" s="5"/>
      <c r="H488" s="16"/>
    </row>
    <row r="489" spans="2:8">
      <c r="B489" s="5"/>
      <c r="H489" s="16"/>
    </row>
    <row r="490" spans="2:8">
      <c r="B490" s="5"/>
      <c r="H490" s="16"/>
    </row>
    <row r="491" spans="2:8">
      <c r="B491" s="5"/>
      <c r="H491" s="16"/>
    </row>
    <row r="492" spans="2:8">
      <c r="B492" s="5"/>
      <c r="H492" s="16"/>
    </row>
    <row r="493" spans="2:8">
      <c r="B493" s="5"/>
      <c r="H493" s="16"/>
    </row>
    <row r="494" spans="2:8">
      <c r="B494" s="5"/>
      <c r="H494" s="16"/>
    </row>
    <row r="495" spans="2:8">
      <c r="B495" s="5"/>
      <c r="H495" s="16"/>
    </row>
    <row r="496" spans="2:8">
      <c r="B496" s="5"/>
      <c r="H496" s="16"/>
    </row>
    <row r="497" spans="2:8">
      <c r="B497" s="5"/>
      <c r="H497" s="16"/>
    </row>
    <row r="498" spans="2:8">
      <c r="B498" s="5"/>
      <c r="H498" s="16"/>
    </row>
    <row r="499" spans="2:8">
      <c r="B499" s="5"/>
      <c r="H499" s="16"/>
    </row>
    <row r="500" spans="2:8">
      <c r="B500" s="5"/>
      <c r="H500" s="16"/>
    </row>
    <row r="501" spans="2:8">
      <c r="B501" s="5"/>
      <c r="H501" s="16"/>
    </row>
    <row r="502" spans="2:8">
      <c r="B502" s="5"/>
      <c r="H502" s="16"/>
    </row>
    <row r="503" spans="2:8">
      <c r="B503" s="5"/>
      <c r="H503" s="16"/>
    </row>
    <row r="504" spans="2:8">
      <c r="B504" s="5"/>
      <c r="H504" s="16"/>
    </row>
    <row r="505" spans="2:8">
      <c r="B505" s="5"/>
      <c r="H505" s="16"/>
    </row>
    <row r="506" spans="2:8">
      <c r="B506" s="5"/>
      <c r="H506" s="16"/>
    </row>
    <row r="507" spans="2:8">
      <c r="B507" s="5"/>
      <c r="H507" s="16"/>
    </row>
    <row r="508" spans="2:8">
      <c r="B508" s="5"/>
      <c r="H508" s="16"/>
    </row>
    <row r="509" spans="2:8">
      <c r="B509" s="5"/>
      <c r="H509" s="16"/>
    </row>
    <row r="510" spans="2:8">
      <c r="B510" s="5"/>
      <c r="H510" s="16"/>
    </row>
    <row r="511" spans="2:8">
      <c r="B511" s="5"/>
      <c r="H511" s="16"/>
    </row>
    <row r="512" spans="2:8">
      <c r="B512" s="5"/>
      <c r="H512" s="16"/>
    </row>
    <row r="513" spans="2:8">
      <c r="B513" s="5"/>
      <c r="H513" s="16"/>
    </row>
    <row r="514" spans="2:8">
      <c r="B514" s="5"/>
      <c r="H514" s="16"/>
    </row>
    <row r="515" spans="2:8">
      <c r="B515" s="5"/>
      <c r="H515" s="16"/>
    </row>
    <row r="516" spans="2:8">
      <c r="B516" s="5"/>
      <c r="H516" s="16"/>
    </row>
    <row r="517" spans="2:8">
      <c r="B517" s="5"/>
      <c r="H517" s="16"/>
    </row>
    <row r="518" spans="2:8">
      <c r="B518" s="5"/>
      <c r="H518" s="16"/>
    </row>
    <row r="519" spans="2:8">
      <c r="B519" s="5"/>
      <c r="H519" s="16"/>
    </row>
    <row r="520" spans="2:8">
      <c r="B520" s="5"/>
      <c r="H520" s="16"/>
    </row>
    <row r="521" spans="2:8">
      <c r="B521" s="5"/>
      <c r="H521" s="16"/>
    </row>
    <row r="522" spans="2:8">
      <c r="B522" s="5"/>
      <c r="H522" s="16"/>
    </row>
    <row r="523" spans="2:8">
      <c r="B523" s="5"/>
      <c r="H523" s="16"/>
    </row>
    <row r="524" spans="2:8">
      <c r="B524" s="5"/>
      <c r="H524" s="16"/>
    </row>
    <row r="525" spans="2:8">
      <c r="B525" s="5"/>
      <c r="H525" s="16"/>
    </row>
    <row r="526" spans="2:8">
      <c r="B526" s="5"/>
      <c r="H526" s="16"/>
    </row>
    <row r="527" spans="2:8">
      <c r="B527" s="5"/>
      <c r="H527" s="16"/>
    </row>
    <row r="528" spans="2:8">
      <c r="B528" s="5"/>
      <c r="H528" s="16"/>
    </row>
    <row r="529" spans="2:8">
      <c r="B529" s="5"/>
      <c r="H529" s="16"/>
    </row>
    <row r="530" spans="2:8">
      <c r="B530" s="5"/>
      <c r="H530" s="16"/>
    </row>
    <row r="531" spans="2:8">
      <c r="B531" s="5"/>
      <c r="H531" s="16"/>
    </row>
    <row r="532" spans="2:8">
      <c r="B532" s="5"/>
      <c r="H532" s="16"/>
    </row>
    <row r="533" spans="2:8">
      <c r="B533" s="5"/>
      <c r="H533" s="16"/>
    </row>
    <row r="534" spans="2:8">
      <c r="B534" s="5"/>
      <c r="H534" s="16"/>
    </row>
    <row r="535" spans="2:8">
      <c r="B535" s="5"/>
      <c r="H535" s="16"/>
    </row>
    <row r="536" spans="2:8">
      <c r="B536" s="5"/>
      <c r="H536" s="16"/>
    </row>
    <row r="537" spans="2:8">
      <c r="B537" s="5"/>
      <c r="H537" s="16"/>
    </row>
    <row r="538" spans="2:8">
      <c r="B538" s="5"/>
      <c r="H538" s="16"/>
    </row>
    <row r="539" spans="2:8">
      <c r="B539" s="5"/>
      <c r="H539" s="16"/>
    </row>
    <row r="540" spans="2:8">
      <c r="B540" s="5"/>
      <c r="H540" s="16"/>
    </row>
    <row r="541" spans="2:8">
      <c r="B541" s="5"/>
      <c r="H541" s="16"/>
    </row>
    <row r="542" spans="2:8">
      <c r="B542" s="5"/>
      <c r="H542" s="16"/>
    </row>
    <row r="543" spans="2:8">
      <c r="B543" s="5"/>
      <c r="H543" s="16"/>
    </row>
    <row r="544" spans="2:8">
      <c r="B544" s="5"/>
      <c r="H544" s="16"/>
    </row>
    <row r="545" spans="2:8">
      <c r="B545" s="5"/>
      <c r="H545" s="16"/>
    </row>
    <row r="546" spans="2:8">
      <c r="B546" s="5"/>
      <c r="H546" s="16"/>
    </row>
    <row r="547" spans="2:8">
      <c r="B547" s="5"/>
      <c r="H547" s="16"/>
    </row>
    <row r="548" spans="2:8">
      <c r="B548" s="5"/>
      <c r="H548" s="16"/>
    </row>
    <row r="549" spans="2:8">
      <c r="B549" s="5"/>
      <c r="H549" s="16"/>
    </row>
    <row r="550" spans="2:8">
      <c r="B550" s="5"/>
      <c r="H550" s="16"/>
    </row>
    <row r="551" spans="2:8">
      <c r="B551" s="5"/>
      <c r="H551" s="16"/>
    </row>
    <row r="552" spans="2:8">
      <c r="B552" s="5"/>
      <c r="H552" s="16"/>
    </row>
    <row r="553" spans="2:8">
      <c r="B553" s="5"/>
      <c r="H553" s="16"/>
    </row>
    <row r="554" spans="2:8">
      <c r="B554" s="5"/>
      <c r="H554" s="16"/>
    </row>
    <row r="555" spans="2:8">
      <c r="B555" s="5"/>
      <c r="H555" s="16"/>
    </row>
    <row r="556" spans="2:8">
      <c r="B556" s="5"/>
      <c r="H556" s="16"/>
    </row>
    <row r="557" spans="2:8">
      <c r="B557" s="5"/>
      <c r="H557" s="16"/>
    </row>
    <row r="558" spans="2:8">
      <c r="B558" s="5"/>
      <c r="H558" s="16"/>
    </row>
    <row r="559" spans="2:8">
      <c r="B559" s="5"/>
      <c r="H559" s="16"/>
    </row>
    <row r="560" spans="2:8">
      <c r="B560" s="5"/>
      <c r="H560" s="16"/>
    </row>
    <row r="561" spans="2:8">
      <c r="B561" s="5"/>
      <c r="H561" s="16"/>
    </row>
    <row r="562" spans="2:8">
      <c r="B562" s="5"/>
      <c r="H562" s="16"/>
    </row>
    <row r="563" spans="2:8">
      <c r="B563" s="5"/>
      <c r="H563" s="16"/>
    </row>
    <row r="564" spans="2:8">
      <c r="B564" s="5"/>
      <c r="H564" s="16"/>
    </row>
    <row r="565" spans="2:8">
      <c r="B565" s="5"/>
      <c r="H565" s="16"/>
    </row>
    <row r="566" spans="2:8">
      <c r="B566" s="5"/>
      <c r="H566" s="16"/>
    </row>
    <row r="567" spans="2:8">
      <c r="B567" s="5"/>
      <c r="H567" s="16"/>
    </row>
    <row r="568" spans="2:8">
      <c r="B568" s="5"/>
      <c r="H568" s="16"/>
    </row>
    <row r="569" spans="2:8">
      <c r="B569" s="5"/>
      <c r="H569" s="16"/>
    </row>
    <row r="570" spans="2:8">
      <c r="B570" s="5"/>
      <c r="H570" s="16"/>
    </row>
    <row r="571" spans="2:8">
      <c r="B571" s="5"/>
      <c r="H571" s="16"/>
    </row>
    <row r="572" spans="2:8">
      <c r="B572" s="5"/>
      <c r="H572" s="16"/>
    </row>
    <row r="573" spans="2:8">
      <c r="B573" s="5"/>
      <c r="H573" s="16"/>
    </row>
    <row r="574" spans="2:8">
      <c r="B574" s="5"/>
      <c r="H574" s="16"/>
    </row>
    <row r="575" spans="2:8">
      <c r="B575" s="5"/>
      <c r="H575" s="16"/>
    </row>
    <row r="576" spans="2:8">
      <c r="B576" s="5"/>
      <c r="H576" s="16"/>
    </row>
    <row r="577" spans="2:8">
      <c r="B577" s="5"/>
      <c r="H577" s="16"/>
    </row>
    <row r="578" spans="2:8">
      <c r="B578" s="5"/>
      <c r="H578" s="16"/>
    </row>
    <row r="579" spans="2:8">
      <c r="B579" s="5"/>
      <c r="H579" s="16"/>
    </row>
    <row r="580" spans="2:8">
      <c r="B580" s="5"/>
      <c r="H580" s="16"/>
    </row>
    <row r="581" spans="2:8">
      <c r="B581" s="5"/>
      <c r="H581" s="16"/>
    </row>
    <row r="582" spans="2:8">
      <c r="B582" s="5"/>
      <c r="H582" s="16"/>
    </row>
    <row r="583" spans="2:8">
      <c r="B583" s="5"/>
      <c r="H583" s="16"/>
    </row>
    <row r="584" spans="2:8">
      <c r="B584" s="5"/>
      <c r="H584" s="16"/>
    </row>
    <row r="585" spans="2:8">
      <c r="B585" s="5"/>
      <c r="H585" s="16"/>
    </row>
    <row r="586" spans="2:8">
      <c r="B586" s="5"/>
      <c r="H586" s="16"/>
    </row>
    <row r="587" spans="2:8">
      <c r="B587" s="5"/>
      <c r="H587" s="16"/>
    </row>
    <row r="588" spans="2:8">
      <c r="B588" s="5"/>
      <c r="H588" s="16"/>
    </row>
    <row r="589" spans="2:8">
      <c r="B589" s="5"/>
      <c r="H589" s="16"/>
    </row>
    <row r="590" spans="2:8">
      <c r="B590" s="5"/>
      <c r="H590" s="16"/>
    </row>
    <row r="591" spans="2:8">
      <c r="B591" s="5"/>
      <c r="H591" s="16"/>
    </row>
    <row r="592" spans="2:8">
      <c r="B592" s="5"/>
      <c r="H592" s="16"/>
    </row>
    <row r="593" spans="2:8">
      <c r="B593" s="5"/>
      <c r="H593" s="16"/>
    </row>
    <row r="594" spans="2:8">
      <c r="B594" s="5"/>
      <c r="H594" s="16"/>
    </row>
    <row r="595" spans="2:8">
      <c r="B595" s="5"/>
      <c r="H595" s="16"/>
    </row>
    <row r="596" spans="2:8">
      <c r="B596" s="5"/>
      <c r="H596" s="16"/>
    </row>
    <row r="597" spans="2:8">
      <c r="B597" s="5"/>
      <c r="H597" s="16"/>
    </row>
    <row r="598" spans="2:8">
      <c r="B598" s="5"/>
      <c r="H598" s="16"/>
    </row>
    <row r="599" spans="2:8">
      <c r="B599" s="5"/>
      <c r="H599" s="16"/>
    </row>
    <row r="600" spans="2:8">
      <c r="B600" s="5"/>
      <c r="H600" s="16"/>
    </row>
    <row r="601" spans="2:8">
      <c r="B601" s="5"/>
      <c r="H601" s="16"/>
    </row>
    <row r="602" spans="2:8">
      <c r="B602" s="5"/>
      <c r="H602" s="16"/>
    </row>
    <row r="603" spans="2:8">
      <c r="B603" s="5"/>
      <c r="H603" s="16"/>
    </row>
    <row r="604" spans="2:8">
      <c r="B604" s="5"/>
      <c r="H604" s="16"/>
    </row>
    <row r="605" spans="2:8">
      <c r="B605" s="5"/>
      <c r="H605" s="16"/>
    </row>
    <row r="606" spans="2:8">
      <c r="B606" s="5"/>
      <c r="H606" s="16"/>
    </row>
    <row r="607" spans="2:8">
      <c r="B607" s="5"/>
      <c r="H607" s="16"/>
    </row>
    <row r="608" spans="2:8">
      <c r="B608" s="5"/>
      <c r="H608" s="16"/>
    </row>
    <row r="609" spans="2:8">
      <c r="B609" s="5"/>
      <c r="H609" s="16"/>
    </row>
    <row r="610" spans="2:8">
      <c r="B610" s="5"/>
      <c r="H610" s="16"/>
    </row>
    <row r="611" spans="2:8">
      <c r="B611" s="5"/>
      <c r="H611" s="16"/>
    </row>
    <row r="612" spans="2:8">
      <c r="B612" s="5"/>
      <c r="H612" s="16"/>
    </row>
    <row r="613" spans="2:8">
      <c r="B613" s="5"/>
      <c r="H613" s="16"/>
    </row>
    <row r="614" spans="2:8">
      <c r="B614" s="5"/>
      <c r="H614" s="16"/>
    </row>
    <row r="615" spans="2:8">
      <c r="B615" s="5"/>
      <c r="H615" s="16"/>
    </row>
    <row r="616" spans="2:8">
      <c r="B616" s="5"/>
      <c r="H616" s="16"/>
    </row>
    <row r="617" spans="2:8">
      <c r="B617" s="5"/>
      <c r="H617" s="16"/>
    </row>
    <row r="618" spans="2:8">
      <c r="B618" s="5"/>
      <c r="H618" s="16"/>
    </row>
    <row r="619" spans="2:8">
      <c r="B619" s="5"/>
      <c r="H619" s="16"/>
    </row>
    <row r="620" spans="2:8">
      <c r="B620" s="5"/>
      <c r="H620" s="16"/>
    </row>
    <row r="621" spans="2:8">
      <c r="B621" s="5"/>
      <c r="H621" s="16"/>
    </row>
    <row r="622" spans="2:8">
      <c r="B622" s="5"/>
      <c r="H622" s="16"/>
    </row>
    <row r="623" spans="2:8">
      <c r="B623" s="5"/>
      <c r="H623" s="16"/>
    </row>
    <row r="624" spans="2:8">
      <c r="B624" s="5"/>
      <c r="H624" s="16"/>
    </row>
    <row r="625" spans="2:8">
      <c r="B625" s="5"/>
      <c r="H625" s="16"/>
    </row>
    <row r="626" spans="2:8">
      <c r="B626" s="5"/>
      <c r="H626" s="16"/>
    </row>
    <row r="627" spans="2:8">
      <c r="B627" s="5"/>
      <c r="H627" s="16"/>
    </row>
    <row r="628" spans="2:8">
      <c r="B628" s="5"/>
      <c r="H628" s="16"/>
    </row>
    <row r="629" spans="2:8">
      <c r="B629" s="5"/>
      <c r="H629" s="16"/>
    </row>
    <row r="630" spans="2:8">
      <c r="B630" s="5"/>
      <c r="H630" s="16"/>
    </row>
    <row r="631" spans="2:8">
      <c r="B631" s="5"/>
      <c r="H631" s="16"/>
    </row>
    <row r="632" spans="2:8">
      <c r="B632" s="5"/>
      <c r="H632" s="16"/>
    </row>
    <row r="633" spans="2:8">
      <c r="B633" s="5"/>
      <c r="H633" s="16"/>
    </row>
    <row r="634" spans="2:8">
      <c r="B634" s="5"/>
      <c r="H634" s="16"/>
    </row>
    <row r="635" spans="2:8">
      <c r="B635" s="5"/>
      <c r="H635" s="16"/>
    </row>
    <row r="636" spans="2:8">
      <c r="B636" s="5"/>
      <c r="H636" s="16"/>
    </row>
    <row r="637" spans="2:8">
      <c r="B637" s="5"/>
      <c r="H637" s="16"/>
    </row>
    <row r="638" spans="2:8">
      <c r="B638" s="5"/>
      <c r="H638" s="16"/>
    </row>
    <row r="639" spans="2:8">
      <c r="B639" s="5"/>
      <c r="H639" s="16"/>
    </row>
    <row r="640" spans="2:8">
      <c r="B640" s="5"/>
      <c r="H640" s="16"/>
    </row>
    <row r="641" spans="2:8">
      <c r="B641" s="5"/>
      <c r="H641" s="16"/>
    </row>
    <row r="642" spans="2:8">
      <c r="B642" s="5"/>
      <c r="H642" s="16"/>
    </row>
    <row r="643" spans="2:8">
      <c r="B643" s="5"/>
      <c r="H643" s="16"/>
    </row>
    <row r="644" spans="2:8">
      <c r="B644" s="5"/>
      <c r="H644" s="16"/>
    </row>
    <row r="645" spans="2:8">
      <c r="B645" s="5"/>
      <c r="H645" s="16"/>
    </row>
    <row r="646" spans="2:8">
      <c r="B646" s="5"/>
      <c r="H646" s="16"/>
    </row>
    <row r="647" spans="2:8">
      <c r="B647" s="5"/>
      <c r="H647" s="16"/>
    </row>
    <row r="648" spans="2:8">
      <c r="B648" s="5"/>
      <c r="H648" s="16"/>
    </row>
    <row r="649" spans="2:8">
      <c r="B649" s="5"/>
      <c r="H649" s="16"/>
    </row>
    <row r="650" spans="2:8">
      <c r="B650" s="5"/>
      <c r="H650" s="16"/>
    </row>
    <row r="651" spans="2:8">
      <c r="B651" s="5"/>
      <c r="H651" s="16"/>
    </row>
    <row r="652" spans="2:8">
      <c r="B652" s="5"/>
      <c r="H652" s="16"/>
    </row>
    <row r="653" spans="2:8">
      <c r="B653" s="5"/>
      <c r="H653" s="16"/>
    </row>
    <row r="654" spans="2:8">
      <c r="B654" s="5"/>
      <c r="H654" s="16"/>
    </row>
    <row r="655" spans="2:8">
      <c r="B655" s="5"/>
      <c r="H655" s="16"/>
    </row>
    <row r="656" spans="2:8">
      <c r="B656" s="5"/>
      <c r="H656" s="16"/>
    </row>
    <row r="657" spans="2:8">
      <c r="B657" s="5"/>
      <c r="H657" s="16"/>
    </row>
    <row r="658" spans="2:8">
      <c r="B658" s="5"/>
      <c r="H658" s="16"/>
    </row>
    <row r="659" spans="2:8">
      <c r="B659" s="5"/>
      <c r="H659" s="16"/>
    </row>
    <row r="660" spans="2:8">
      <c r="B660" s="5"/>
      <c r="H660" s="16"/>
    </row>
    <row r="661" spans="2:8">
      <c r="B661" s="5"/>
      <c r="H661" s="16"/>
    </row>
    <row r="662" spans="2:8">
      <c r="B662" s="5"/>
      <c r="H662" s="16"/>
    </row>
    <row r="663" spans="2:8">
      <c r="B663" s="5"/>
      <c r="H663" s="16"/>
    </row>
    <row r="664" spans="2:8">
      <c r="B664" s="5"/>
      <c r="H664" s="16"/>
    </row>
    <row r="665" spans="2:8">
      <c r="B665" s="5"/>
      <c r="H665" s="16"/>
    </row>
    <row r="666" spans="2:8">
      <c r="B666" s="5"/>
      <c r="H666" s="16"/>
    </row>
    <row r="667" spans="2:8">
      <c r="B667" s="5"/>
      <c r="H667" s="16"/>
    </row>
    <row r="668" spans="2:8">
      <c r="B668" s="5"/>
      <c r="H668" s="16"/>
    </row>
    <row r="669" spans="2:8">
      <c r="B669" s="5"/>
      <c r="H669" s="16"/>
    </row>
    <row r="670" spans="2:8">
      <c r="B670" s="5"/>
      <c r="H670" s="16"/>
    </row>
    <row r="671" spans="2:8">
      <c r="B671" s="5"/>
      <c r="H671" s="16"/>
    </row>
    <row r="672" spans="2:8">
      <c r="B672" s="5"/>
      <c r="H672" s="16"/>
    </row>
    <row r="673" spans="2:8">
      <c r="B673" s="5"/>
      <c r="H673" s="16"/>
    </row>
    <row r="674" spans="2:8">
      <c r="B674" s="5"/>
      <c r="H674" s="16"/>
    </row>
    <row r="675" spans="2:8">
      <c r="B675" s="5"/>
      <c r="H675" s="16"/>
    </row>
    <row r="676" spans="2:8">
      <c r="B676" s="5"/>
      <c r="H676" s="16"/>
    </row>
    <row r="677" spans="2:8">
      <c r="B677" s="5"/>
      <c r="H677" s="16"/>
    </row>
    <row r="678" spans="2:8">
      <c r="B678" s="5"/>
      <c r="H678" s="16"/>
    </row>
    <row r="679" spans="2:8">
      <c r="B679" s="5"/>
      <c r="H679" s="16"/>
    </row>
    <row r="680" spans="2:8">
      <c r="B680" s="5"/>
      <c r="H680" s="16"/>
    </row>
    <row r="681" spans="2:8">
      <c r="B681" s="5"/>
      <c r="H681" s="16"/>
    </row>
    <row r="682" spans="2:8">
      <c r="B682" s="5"/>
      <c r="H682" s="16"/>
    </row>
    <row r="683" spans="2:8">
      <c r="B683" s="5"/>
      <c r="H683" s="16"/>
    </row>
    <row r="684" spans="2:8">
      <c r="B684" s="5"/>
      <c r="H684" s="16"/>
    </row>
    <row r="685" spans="2:8">
      <c r="B685" s="5"/>
      <c r="H685" s="16"/>
    </row>
    <row r="686" spans="2:8">
      <c r="B686" s="5"/>
      <c r="H686" s="16"/>
    </row>
    <row r="687" spans="2:8">
      <c r="B687" s="5"/>
      <c r="H687" s="16"/>
    </row>
    <row r="688" spans="2:8">
      <c r="B688" s="5"/>
      <c r="H688" s="16"/>
    </row>
    <row r="689" spans="2:8">
      <c r="B689" s="5"/>
      <c r="H689" s="16"/>
    </row>
    <row r="690" spans="2:8">
      <c r="B690" s="5"/>
      <c r="H690" s="16"/>
    </row>
    <row r="691" spans="2:8">
      <c r="B691" s="5"/>
      <c r="H691" s="16"/>
    </row>
    <row r="692" spans="2:8">
      <c r="B692" s="5"/>
      <c r="H692" s="16"/>
    </row>
    <row r="693" spans="2:8">
      <c r="B693" s="5"/>
      <c r="H693" s="16"/>
    </row>
    <row r="694" spans="2:8">
      <c r="B694" s="5"/>
      <c r="H694" s="16"/>
    </row>
    <row r="695" spans="2:8">
      <c r="B695" s="5"/>
      <c r="H695" s="16"/>
    </row>
    <row r="696" spans="2:8">
      <c r="B696" s="5"/>
      <c r="H696" s="16"/>
    </row>
    <row r="697" spans="2:8">
      <c r="B697" s="5"/>
      <c r="H697" s="16"/>
    </row>
    <row r="698" spans="2:8">
      <c r="B698" s="5"/>
      <c r="H698" s="16"/>
    </row>
    <row r="699" spans="2:8">
      <c r="B699" s="5"/>
      <c r="H699" s="16"/>
    </row>
    <row r="700" spans="2:8">
      <c r="B700" s="5"/>
      <c r="H700" s="16"/>
    </row>
    <row r="701" spans="2:8">
      <c r="B701" s="5"/>
      <c r="H701" s="16"/>
    </row>
    <row r="702" spans="2:8">
      <c r="B702" s="5"/>
      <c r="H702" s="16"/>
    </row>
    <row r="703" spans="2:8">
      <c r="B703" s="5"/>
      <c r="H703" s="16"/>
    </row>
    <row r="704" spans="2:8">
      <c r="B704" s="5"/>
      <c r="H704" s="16"/>
    </row>
    <row r="705" spans="2:8">
      <c r="B705" s="5"/>
      <c r="H705" s="16"/>
    </row>
    <row r="706" spans="2:8">
      <c r="B706" s="5"/>
      <c r="H706" s="16"/>
    </row>
    <row r="707" spans="2:8">
      <c r="B707" s="5"/>
      <c r="H707" s="16"/>
    </row>
    <row r="708" spans="2:8">
      <c r="B708" s="5"/>
      <c r="H708" s="16"/>
    </row>
    <row r="709" spans="2:8">
      <c r="B709" s="5"/>
      <c r="H709" s="16"/>
    </row>
    <row r="710" spans="2:8">
      <c r="B710" s="5"/>
      <c r="H710" s="16"/>
    </row>
    <row r="711" spans="2:8">
      <c r="B711" s="5"/>
      <c r="H711" s="16"/>
    </row>
    <row r="712" spans="2:8">
      <c r="B712" s="5"/>
      <c r="H712" s="16"/>
    </row>
    <row r="713" spans="2:8">
      <c r="B713" s="5"/>
      <c r="H713" s="16"/>
    </row>
    <row r="714" spans="2:8">
      <c r="B714" s="5"/>
      <c r="H714" s="16"/>
    </row>
    <row r="715" spans="2:8">
      <c r="B715" s="5"/>
      <c r="H715" s="16"/>
    </row>
    <row r="716" spans="2:8">
      <c r="B716" s="5"/>
      <c r="H716" s="16"/>
    </row>
    <row r="717" spans="2:8">
      <c r="B717" s="5"/>
      <c r="H717" s="16"/>
    </row>
    <row r="718" spans="2:8">
      <c r="B718" s="5"/>
      <c r="H718" s="16"/>
    </row>
    <row r="719" spans="2:8">
      <c r="B719" s="5"/>
      <c r="H719" s="16"/>
    </row>
    <row r="720" spans="2:8">
      <c r="B720" s="5"/>
      <c r="H720" s="16"/>
    </row>
    <row r="721" spans="2:8">
      <c r="B721" s="5"/>
      <c r="H721" s="16"/>
    </row>
    <row r="722" spans="2:8">
      <c r="B722" s="5"/>
      <c r="H722" s="16"/>
    </row>
    <row r="723" spans="2:8">
      <c r="B723" s="5"/>
      <c r="H723" s="16"/>
    </row>
    <row r="724" spans="2:8">
      <c r="B724" s="5"/>
      <c r="H724" s="16"/>
    </row>
    <row r="725" spans="2:8">
      <c r="B725" s="5"/>
      <c r="H725" s="16"/>
    </row>
    <row r="726" spans="2:8">
      <c r="B726" s="5"/>
      <c r="H726" s="16"/>
    </row>
    <row r="727" spans="2:8">
      <c r="B727" s="5"/>
      <c r="H727" s="16"/>
    </row>
    <row r="728" spans="2:8">
      <c r="B728" s="5"/>
      <c r="H728" s="16"/>
    </row>
    <row r="729" spans="2:8">
      <c r="B729" s="5"/>
      <c r="H729" s="16"/>
    </row>
    <row r="730" spans="2:8">
      <c r="B730" s="5"/>
      <c r="H730" s="16"/>
    </row>
    <row r="731" spans="2:8">
      <c r="B731" s="5"/>
      <c r="H731" s="16"/>
    </row>
    <row r="732" spans="2:8">
      <c r="B732" s="5"/>
      <c r="H732" s="16"/>
    </row>
    <row r="733" spans="2:8">
      <c r="B733" s="5"/>
      <c r="H733" s="16"/>
    </row>
    <row r="734" spans="2:8">
      <c r="B734" s="5"/>
      <c r="H734" s="16"/>
    </row>
    <row r="735" spans="2:8">
      <c r="B735" s="5"/>
      <c r="H735" s="16"/>
    </row>
    <row r="736" spans="2:8">
      <c r="B736" s="5"/>
      <c r="H736" s="16"/>
    </row>
    <row r="737" spans="2:8">
      <c r="B737" s="5"/>
      <c r="H737" s="16"/>
    </row>
    <row r="738" spans="2:8">
      <c r="B738" s="5"/>
      <c r="H738" s="16"/>
    </row>
    <row r="739" spans="2:8">
      <c r="B739" s="5"/>
      <c r="H739" s="16"/>
    </row>
    <row r="740" spans="2:8">
      <c r="B740" s="5"/>
      <c r="H740" s="16"/>
    </row>
    <row r="741" spans="2:8">
      <c r="B741" s="5"/>
      <c r="H741" s="16"/>
    </row>
    <row r="742" spans="2:8">
      <c r="B742" s="5"/>
      <c r="H742" s="16"/>
    </row>
    <row r="743" spans="2:8">
      <c r="B743" s="5"/>
      <c r="H743" s="16"/>
    </row>
    <row r="744" spans="2:8">
      <c r="B744" s="5"/>
      <c r="H744" s="16"/>
    </row>
    <row r="745" spans="2:8">
      <c r="B745" s="5"/>
      <c r="H745" s="16"/>
    </row>
    <row r="746" spans="2:8">
      <c r="B746" s="5"/>
      <c r="H746" s="16"/>
    </row>
    <row r="747" spans="2:8">
      <c r="B747" s="5"/>
      <c r="H747" s="16"/>
    </row>
    <row r="748" spans="2:8">
      <c r="B748" s="5"/>
      <c r="H748" s="16"/>
    </row>
    <row r="749" spans="2:8">
      <c r="B749" s="5"/>
      <c r="H749" s="16"/>
    </row>
    <row r="750" spans="2:8">
      <c r="B750" s="5"/>
      <c r="H750" s="16"/>
    </row>
    <row r="751" spans="2:8">
      <c r="B751" s="5"/>
      <c r="H751" s="16"/>
    </row>
    <row r="752" spans="2:8">
      <c r="B752" s="5"/>
      <c r="H752" s="16"/>
    </row>
    <row r="753" spans="2:8">
      <c r="B753" s="5"/>
      <c r="H753" s="16"/>
    </row>
    <row r="754" spans="2:8">
      <c r="B754" s="5"/>
      <c r="H754" s="16"/>
    </row>
    <row r="755" spans="2:8">
      <c r="B755" s="5"/>
      <c r="H755" s="16"/>
    </row>
    <row r="756" spans="2:8">
      <c r="B756" s="5"/>
      <c r="H756" s="16"/>
    </row>
    <row r="757" spans="2:8">
      <c r="B757" s="5"/>
      <c r="H757" s="16"/>
    </row>
    <row r="758" spans="2:8">
      <c r="B758" s="5"/>
      <c r="H758" s="16"/>
    </row>
    <row r="759" spans="2:8">
      <c r="B759" s="5"/>
      <c r="H759" s="16"/>
    </row>
    <row r="760" spans="2:8">
      <c r="B760" s="5"/>
      <c r="H760" s="16"/>
    </row>
    <row r="761" spans="2:8">
      <c r="B761" s="5"/>
      <c r="H761" s="16"/>
    </row>
    <row r="762" spans="2:8">
      <c r="B762" s="5"/>
      <c r="H762" s="16"/>
    </row>
    <row r="763" spans="2:8">
      <c r="B763" s="5"/>
      <c r="H763" s="16"/>
    </row>
    <row r="764" spans="2:8">
      <c r="B764" s="5"/>
      <c r="H764" s="16"/>
    </row>
    <row r="765" spans="2:8">
      <c r="B765" s="5"/>
      <c r="H765" s="16"/>
    </row>
    <row r="766" spans="2:8">
      <c r="B766" s="5"/>
      <c r="H766" s="16"/>
    </row>
    <row r="767" spans="2:8">
      <c r="B767" s="5"/>
      <c r="H767" s="16"/>
    </row>
    <row r="768" spans="2:8">
      <c r="B768" s="5"/>
      <c r="H768" s="16"/>
    </row>
    <row r="769" spans="2:8">
      <c r="B769" s="5"/>
      <c r="H769" s="16"/>
    </row>
    <row r="770" spans="2:8">
      <c r="B770" s="5"/>
      <c r="H770" s="16"/>
    </row>
    <row r="771" spans="2:8">
      <c r="B771" s="5"/>
      <c r="H771" s="16"/>
    </row>
    <row r="772" spans="2:8">
      <c r="B772" s="5"/>
      <c r="H772" s="16"/>
    </row>
    <row r="773" spans="2:8">
      <c r="B773" s="5"/>
      <c r="H773" s="16"/>
    </row>
    <row r="774" spans="2:8">
      <c r="B774" s="5"/>
      <c r="H774" s="16"/>
    </row>
    <row r="775" spans="2:8">
      <c r="B775" s="5"/>
      <c r="H775" s="16"/>
    </row>
    <row r="776" spans="2:8">
      <c r="B776" s="5"/>
      <c r="H776" s="16"/>
    </row>
    <row r="777" spans="2:8">
      <c r="B777" s="5"/>
      <c r="H777" s="16"/>
    </row>
    <row r="778" spans="2:8">
      <c r="B778" s="5"/>
      <c r="H778" s="16"/>
    </row>
    <row r="779" spans="2:8">
      <c r="B779" s="5"/>
      <c r="H779" s="16"/>
    </row>
    <row r="780" spans="2:8">
      <c r="B780" s="5"/>
      <c r="H780" s="16"/>
    </row>
    <row r="781" spans="2:8">
      <c r="B781" s="5"/>
      <c r="H781" s="16"/>
    </row>
    <row r="782" spans="2:8">
      <c r="B782" s="5"/>
      <c r="H782" s="16"/>
    </row>
    <row r="783" spans="2:8">
      <c r="B783" s="5"/>
      <c r="H783" s="16"/>
    </row>
    <row r="784" spans="2:8">
      <c r="B784" s="5"/>
      <c r="H784" s="16"/>
    </row>
    <row r="785" spans="2:8">
      <c r="B785" s="5"/>
      <c r="H785" s="16"/>
    </row>
    <row r="786" spans="2:8">
      <c r="B786" s="5"/>
      <c r="H786" s="16"/>
    </row>
    <row r="787" spans="2:8">
      <c r="B787" s="5"/>
      <c r="H787" s="16"/>
    </row>
    <row r="788" spans="2:8">
      <c r="B788" s="5"/>
      <c r="H788" s="16"/>
    </row>
    <row r="789" spans="2:8">
      <c r="B789" s="5"/>
      <c r="H789" s="16"/>
    </row>
    <row r="790" spans="2:8">
      <c r="B790" s="5"/>
      <c r="H790" s="16"/>
    </row>
    <row r="791" spans="2:8">
      <c r="B791" s="5"/>
      <c r="H791" s="16"/>
    </row>
    <row r="792" spans="2:8">
      <c r="B792" s="5"/>
      <c r="H792" s="16"/>
    </row>
    <row r="793" spans="2:8">
      <c r="B793" s="5"/>
      <c r="H793" s="16"/>
    </row>
    <row r="794" spans="2:8">
      <c r="B794" s="5"/>
      <c r="H794" s="16"/>
    </row>
    <row r="795" spans="2:8">
      <c r="B795" s="5"/>
      <c r="H795" s="16"/>
    </row>
    <row r="796" spans="2:8">
      <c r="B796" s="5"/>
      <c r="H796" s="16"/>
    </row>
    <row r="797" spans="2:8">
      <c r="B797" s="5"/>
      <c r="H797" s="16"/>
    </row>
    <row r="798" spans="2:8">
      <c r="B798" s="5"/>
      <c r="H798" s="16"/>
    </row>
    <row r="799" spans="2:8">
      <c r="B799" s="5"/>
      <c r="H799" s="16"/>
    </row>
    <row r="800" spans="2:8">
      <c r="B800" s="5"/>
      <c r="H800" s="16"/>
    </row>
    <row r="801" spans="2:8">
      <c r="B801" s="5"/>
      <c r="H801" s="16"/>
    </row>
    <row r="802" spans="2:8">
      <c r="B802" s="5"/>
      <c r="H802" s="16"/>
    </row>
    <row r="803" spans="2:8">
      <c r="B803" s="5"/>
      <c r="H803" s="16"/>
    </row>
    <row r="804" spans="2:8">
      <c r="B804" s="5"/>
      <c r="H804" s="16"/>
    </row>
    <row r="805" spans="2:8">
      <c r="B805" s="5"/>
      <c r="H805" s="16"/>
    </row>
    <row r="806" spans="2:8">
      <c r="B806" s="5"/>
      <c r="H806" s="16"/>
    </row>
    <row r="807" spans="2:8">
      <c r="B807" s="5"/>
      <c r="H807" s="16"/>
    </row>
    <row r="808" spans="2:8">
      <c r="B808" s="5"/>
      <c r="H808" s="16"/>
    </row>
    <row r="809" spans="2:8">
      <c r="B809" s="5"/>
      <c r="H809" s="16"/>
    </row>
    <row r="810" spans="2:8">
      <c r="B810" s="5"/>
      <c r="H810" s="16"/>
    </row>
    <row r="811" spans="2:8">
      <c r="B811" s="5"/>
      <c r="H811" s="16"/>
    </row>
    <row r="812" spans="2:8">
      <c r="B812" s="5"/>
      <c r="H812" s="16"/>
    </row>
    <row r="813" spans="2:8">
      <c r="B813" s="5"/>
      <c r="H813" s="16"/>
    </row>
    <row r="814" spans="2:8">
      <c r="B814" s="5"/>
      <c r="H814" s="16"/>
    </row>
    <row r="815" spans="2:8">
      <c r="B815" s="5"/>
      <c r="H815" s="16"/>
    </row>
    <row r="816" spans="2:8">
      <c r="B816" s="5"/>
      <c r="H816" s="16"/>
    </row>
    <row r="817" spans="2:8">
      <c r="B817" s="5"/>
      <c r="H817" s="16"/>
    </row>
    <row r="818" spans="2:8">
      <c r="B818" s="5"/>
      <c r="H818" s="16"/>
    </row>
    <row r="819" spans="2:8">
      <c r="B819" s="5"/>
      <c r="H819" s="16"/>
    </row>
    <row r="820" spans="2:8">
      <c r="B820" s="5"/>
      <c r="H820" s="16"/>
    </row>
    <row r="821" spans="2:8">
      <c r="B821" s="5"/>
      <c r="H821" s="16"/>
    </row>
    <row r="822" spans="2:8">
      <c r="B822" s="5"/>
      <c r="H822" s="16"/>
    </row>
    <row r="823" spans="2:8">
      <c r="B823" s="5"/>
      <c r="H823" s="16"/>
    </row>
    <row r="824" spans="2:8">
      <c r="B824" s="5"/>
      <c r="H824" s="16"/>
    </row>
    <row r="825" spans="2:8">
      <c r="B825" s="5"/>
      <c r="H825" s="16"/>
    </row>
    <row r="826" spans="2:8">
      <c r="B826" s="5"/>
      <c r="H826" s="16"/>
    </row>
    <row r="827" spans="2:8">
      <c r="B827" s="5"/>
      <c r="H827" s="16"/>
    </row>
    <row r="828" spans="2:8">
      <c r="B828" s="5"/>
      <c r="H828" s="16"/>
    </row>
    <row r="829" spans="2:8">
      <c r="B829" s="5"/>
      <c r="H829" s="16"/>
    </row>
    <row r="830" spans="2:8">
      <c r="B830" s="5"/>
      <c r="H830" s="16"/>
    </row>
    <row r="831" spans="2:8">
      <c r="B831" s="5"/>
      <c r="H831" s="16"/>
    </row>
    <row r="832" spans="2:8">
      <c r="B832" s="5"/>
      <c r="H832" s="16"/>
    </row>
    <row r="833" spans="2:8">
      <c r="B833" s="5"/>
      <c r="H833" s="16"/>
    </row>
    <row r="834" spans="2:8">
      <c r="B834" s="5"/>
      <c r="H834" s="16"/>
    </row>
    <row r="835" spans="2:8">
      <c r="B835" s="5"/>
      <c r="H835" s="16"/>
    </row>
    <row r="836" spans="2:8">
      <c r="B836" s="5"/>
      <c r="H836" s="16"/>
    </row>
    <row r="837" spans="2:8">
      <c r="B837" s="5"/>
      <c r="H837" s="16"/>
    </row>
    <row r="838" spans="2:8">
      <c r="B838" s="5"/>
      <c r="H838" s="16"/>
    </row>
    <row r="839" spans="2:8">
      <c r="B839" s="5"/>
      <c r="H839" s="16"/>
    </row>
    <row r="840" spans="2:8">
      <c r="B840" s="5"/>
      <c r="H840" s="16"/>
    </row>
    <row r="841" spans="2:8">
      <c r="B841" s="5"/>
      <c r="H841" s="16"/>
    </row>
    <row r="842" spans="2:8">
      <c r="B842" s="5"/>
      <c r="H842" s="16"/>
    </row>
    <row r="843" spans="2:8">
      <c r="B843" s="5"/>
      <c r="H843" s="16"/>
    </row>
    <row r="844" spans="2:8">
      <c r="B844" s="5"/>
      <c r="H844" s="16"/>
    </row>
    <row r="845" spans="2:8">
      <c r="B845" s="5"/>
      <c r="H845" s="16"/>
    </row>
    <row r="846" spans="2:8">
      <c r="B846" s="5"/>
      <c r="H846" s="16"/>
    </row>
    <row r="847" spans="2:8">
      <c r="B847" s="5"/>
      <c r="H847" s="16"/>
    </row>
    <row r="848" spans="2:8">
      <c r="B848" s="5"/>
      <c r="H848" s="16"/>
    </row>
    <row r="849" spans="2:8">
      <c r="B849" s="5"/>
      <c r="H849" s="16"/>
    </row>
    <row r="850" spans="2:8">
      <c r="B850" s="5"/>
      <c r="H850" s="16"/>
    </row>
    <row r="851" spans="2:8">
      <c r="B851" s="5"/>
      <c r="H851" s="16"/>
    </row>
    <row r="852" spans="2:8">
      <c r="B852" s="5"/>
      <c r="H852" s="16"/>
    </row>
    <row r="853" spans="2:8">
      <c r="B853" s="5"/>
      <c r="H853" s="16"/>
    </row>
    <row r="854" spans="2:8">
      <c r="B854" s="5"/>
      <c r="H854" s="16"/>
    </row>
    <row r="855" spans="2:8">
      <c r="B855" s="5"/>
      <c r="H855" s="16"/>
    </row>
    <row r="856" spans="2:8">
      <c r="B856" s="5"/>
      <c r="H856" s="16"/>
    </row>
    <row r="857" spans="2:8">
      <c r="B857" s="5"/>
      <c r="H857" s="16"/>
    </row>
    <row r="858" spans="2:8">
      <c r="B858" s="5"/>
      <c r="H858" s="16"/>
    </row>
    <row r="859" spans="2:8">
      <c r="B859" s="5"/>
      <c r="H859" s="16"/>
    </row>
    <row r="860" spans="2:8">
      <c r="B860" s="5"/>
      <c r="H860" s="16"/>
    </row>
    <row r="861" spans="2:8">
      <c r="B861" s="5"/>
      <c r="H861" s="16"/>
    </row>
    <row r="862" spans="2:8">
      <c r="B862" s="5"/>
      <c r="H862" s="16"/>
    </row>
    <row r="863" spans="2:8">
      <c r="B863" s="5"/>
      <c r="H863" s="16"/>
    </row>
    <row r="864" spans="2:8">
      <c r="B864" s="5"/>
      <c r="H864" s="16"/>
    </row>
    <row r="865" spans="2:8">
      <c r="B865" s="5"/>
      <c r="H865" s="16"/>
    </row>
    <row r="866" spans="2:8">
      <c r="B866" s="5"/>
      <c r="H866" s="16"/>
    </row>
    <row r="867" spans="2:8">
      <c r="B867" s="5"/>
      <c r="H867" s="16"/>
    </row>
    <row r="868" spans="2:8">
      <c r="B868" s="5"/>
      <c r="H868" s="16"/>
    </row>
    <row r="869" spans="2:8">
      <c r="B869" s="5"/>
      <c r="H869" s="16"/>
    </row>
    <row r="870" spans="2:8">
      <c r="B870" s="5"/>
      <c r="H870" s="16"/>
    </row>
    <row r="871" spans="2:8">
      <c r="B871" s="5"/>
      <c r="H871" s="16"/>
    </row>
    <row r="872" spans="2:8">
      <c r="B872" s="5"/>
      <c r="H872" s="16"/>
    </row>
    <row r="873" spans="2:8">
      <c r="B873" s="5"/>
      <c r="H873" s="16"/>
    </row>
    <row r="874" spans="2:8">
      <c r="B874" s="5"/>
      <c r="H874" s="16"/>
    </row>
    <row r="875" spans="2:8">
      <c r="B875" s="5"/>
      <c r="H875" s="16"/>
    </row>
    <row r="876" spans="2:8">
      <c r="B876" s="5"/>
      <c r="H876" s="16"/>
    </row>
    <row r="877" spans="2:8">
      <c r="B877" s="5"/>
      <c r="H877" s="16"/>
    </row>
    <row r="878" spans="2:8">
      <c r="B878" s="5"/>
      <c r="H878" s="16"/>
    </row>
    <row r="879" spans="2:8">
      <c r="B879" s="5"/>
      <c r="H879" s="16"/>
    </row>
    <row r="880" spans="2:8">
      <c r="B880" s="5"/>
      <c r="H880" s="16"/>
    </row>
    <row r="881" spans="2:8">
      <c r="B881" s="5"/>
      <c r="H881" s="16"/>
    </row>
    <row r="882" spans="2:8">
      <c r="B882" s="5"/>
      <c r="H882" s="16"/>
    </row>
    <row r="883" spans="2:8">
      <c r="B883" s="5"/>
      <c r="H883" s="16"/>
    </row>
    <row r="884" spans="2:8">
      <c r="B884" s="5"/>
      <c r="H884" s="16"/>
    </row>
    <row r="885" spans="2:8">
      <c r="B885" s="5"/>
      <c r="H885" s="16"/>
    </row>
    <row r="886" spans="2:8">
      <c r="B886" s="5"/>
      <c r="H886" s="16"/>
    </row>
    <row r="887" spans="2:8">
      <c r="B887" s="5"/>
      <c r="H887" s="16"/>
    </row>
    <row r="888" spans="2:8">
      <c r="B888" s="5"/>
      <c r="H888" s="16"/>
    </row>
    <row r="889" spans="2:8">
      <c r="B889" s="5"/>
      <c r="H889" s="16"/>
    </row>
    <row r="890" spans="2:8">
      <c r="B890" s="5"/>
      <c r="H890" s="16"/>
    </row>
    <row r="891" spans="2:8">
      <c r="B891" s="5"/>
      <c r="H891" s="16"/>
    </row>
    <row r="892" spans="2:8">
      <c r="B892" s="5"/>
      <c r="H892" s="16"/>
    </row>
  </sheetData>
  <mergeCells count="27">
    <mergeCell ref="C50:F50"/>
    <mergeCell ref="G50:H50"/>
    <mergeCell ref="C47:F47"/>
    <mergeCell ref="G47:H47"/>
    <mergeCell ref="C48:F48"/>
    <mergeCell ref="G48:H48"/>
    <mergeCell ref="C49:F49"/>
    <mergeCell ref="G49:H49"/>
    <mergeCell ref="C44:F44"/>
    <mergeCell ref="G44:H44"/>
    <mergeCell ref="C45:F45"/>
    <mergeCell ref="G45:H45"/>
    <mergeCell ref="C46:F46"/>
    <mergeCell ref="G46:H46"/>
    <mergeCell ref="C43:F43"/>
    <mergeCell ref="G43:H43"/>
    <mergeCell ref="A4:H4"/>
    <mergeCell ref="A10:F10"/>
    <mergeCell ref="A17:F17"/>
    <mergeCell ref="A23:F23"/>
    <mergeCell ref="A29:F29"/>
    <mergeCell ref="A35:F35"/>
    <mergeCell ref="A38:F38"/>
    <mergeCell ref="C41:F41"/>
    <mergeCell ref="G41:H41"/>
    <mergeCell ref="C42:F42"/>
    <mergeCell ref="G42:H42"/>
  </mergeCells>
  <phoneticPr fontId="24" type="noConversion"/>
  <dataValidations count="1">
    <dataValidation type="list" allowBlank="1" showInputMessage="1" showErrorMessage="1" sqref="B42:B48" xr:uid="{2E9AF76F-66FF-4DB1-96EE-93F5319E3AC2}">
      <formula1>$L$41:$L$45</formula1>
    </dataValidation>
  </dataValidations>
  <pageMargins left="0.7" right="0.7" top="0.75" bottom="0.75" header="0.3" footer="0.3"/>
  <pageSetup scale="52"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9ECDE-31C9-41A0-B0A8-8E4FE157DC47}">
  <sheetPr>
    <pageSetUpPr fitToPage="1"/>
  </sheetPr>
  <dimension ref="A1:L892"/>
  <sheetViews>
    <sheetView showZeros="0" view="pageBreakPreview" topLeftCell="A2" zoomScale="60" zoomScaleNormal="70" workbookViewId="0">
      <selection activeCell="A11" sqref="A11"/>
    </sheetView>
  </sheetViews>
  <sheetFormatPr defaultColWidth="10.875" defaultRowHeight="18.75"/>
  <cols>
    <col min="1" max="1" width="35.625" customWidth="1"/>
    <col min="2" max="2" width="14.625" style="16" customWidth="1"/>
    <col min="3" max="7" width="15.875" style="5" customWidth="1"/>
    <col min="8" max="8" width="15.875" style="17" customWidth="1"/>
    <col min="9" max="9" width="9" style="5"/>
    <col min="10" max="12" width="0" style="5" hidden="1" customWidth="1"/>
    <col min="13" max="16384" width="10.875" style="5"/>
  </cols>
  <sheetData>
    <row r="1" spans="1:10" customFormat="1" ht="15.75">
      <c r="A1" s="41"/>
      <c r="B1" s="42"/>
      <c r="C1" s="43"/>
      <c r="D1" s="43"/>
      <c r="E1" s="45" t="s">
        <v>25</v>
      </c>
      <c r="F1" s="43"/>
      <c r="G1" s="45" t="s">
        <v>26</v>
      </c>
      <c r="H1" s="44">
        <v>6</v>
      </c>
    </row>
    <row r="2" spans="1:10">
      <c r="A2" s="30"/>
      <c r="B2" s="18" t="s">
        <v>27</v>
      </c>
      <c r="C2" s="19" t="s">
        <v>28</v>
      </c>
      <c r="D2" s="19" t="s">
        <v>29</v>
      </c>
      <c r="E2" s="18" t="s">
        <v>30</v>
      </c>
      <c r="F2" s="18" t="s">
        <v>31</v>
      </c>
      <c r="G2" s="18" t="s">
        <v>32</v>
      </c>
      <c r="H2" s="18" t="s">
        <v>33</v>
      </c>
    </row>
    <row r="3" spans="1:10" ht="21" customHeight="1">
      <c r="A3" s="31" t="s">
        <v>7</v>
      </c>
      <c r="B3" s="6">
        <f>'Week. 2 Spring '!H3+1</f>
        <v>46138</v>
      </c>
      <c r="C3" s="6">
        <f>B3+1</f>
        <v>46139</v>
      </c>
      <c r="D3" s="6">
        <f t="shared" ref="D3:H3" si="0">C3+1</f>
        <v>46140</v>
      </c>
      <c r="E3" s="6">
        <f t="shared" si="0"/>
        <v>46141</v>
      </c>
      <c r="F3" s="6">
        <f t="shared" si="0"/>
        <v>46142</v>
      </c>
      <c r="G3" s="6">
        <f t="shared" si="0"/>
        <v>46143</v>
      </c>
      <c r="H3" s="6">
        <f t="shared" si="0"/>
        <v>46144</v>
      </c>
    </row>
    <row r="4" spans="1:10" s="7" customFormat="1">
      <c r="A4" s="181" t="s">
        <v>135</v>
      </c>
      <c r="B4" s="181"/>
      <c r="C4" s="181"/>
      <c r="D4" s="181"/>
      <c r="E4" s="181"/>
      <c r="F4" s="181"/>
      <c r="G4" s="181"/>
      <c r="H4" s="181"/>
    </row>
    <row r="5" spans="1:10" s="7" customFormat="1" ht="26.1" customHeight="1">
      <c r="A5" s="32" t="s">
        <v>8</v>
      </c>
      <c r="B5" s="27"/>
      <c r="C5" s="27"/>
      <c r="D5" s="27"/>
      <c r="E5" s="27"/>
      <c r="F5" s="27"/>
      <c r="G5" s="27"/>
      <c r="H5" s="27"/>
    </row>
    <row r="6" spans="1:10" s="7" customFormat="1" ht="26.1" customHeight="1">
      <c r="A6" s="4" t="s">
        <v>23</v>
      </c>
      <c r="B6" s="62"/>
      <c r="C6" s="62"/>
      <c r="D6" s="62"/>
      <c r="E6" s="62"/>
      <c r="F6" s="62"/>
      <c r="G6" s="62"/>
      <c r="H6" s="62"/>
    </row>
    <row r="7" spans="1:10" s="7" customFormat="1" ht="21.95" customHeight="1">
      <c r="A7" s="32" t="s">
        <v>35</v>
      </c>
      <c r="B7" s="27"/>
      <c r="C7" s="28"/>
      <c r="D7" s="28"/>
      <c r="E7" s="28"/>
      <c r="F7" s="28"/>
      <c r="G7" s="28"/>
      <c r="H7" s="27"/>
    </row>
    <row r="8" spans="1:10" s="7" customFormat="1" ht="24.95" customHeight="1">
      <c r="A8" s="83" t="s">
        <v>36</v>
      </c>
      <c r="B8" s="84">
        <f t="shared" ref="B8:H8" si="1">B5+B6+B7</f>
        <v>0</v>
      </c>
      <c r="C8" s="84">
        <f t="shared" si="1"/>
        <v>0</v>
      </c>
      <c r="D8" s="84">
        <f t="shared" si="1"/>
        <v>0</v>
      </c>
      <c r="E8" s="84">
        <f t="shared" si="1"/>
        <v>0</v>
      </c>
      <c r="F8" s="84">
        <f t="shared" si="1"/>
        <v>0</v>
      </c>
      <c r="G8" s="84">
        <f t="shared" si="1"/>
        <v>0</v>
      </c>
      <c r="H8" s="84">
        <f t="shared" si="1"/>
        <v>0</v>
      </c>
    </row>
    <row r="9" spans="1:10" s="7" customFormat="1" ht="24.95" customHeight="1">
      <c r="A9" s="33"/>
      <c r="B9" s="29"/>
      <c r="C9" s="29"/>
      <c r="D9" s="29"/>
      <c r="E9" s="29"/>
      <c r="F9" s="29"/>
      <c r="G9" s="63" t="s">
        <v>37</v>
      </c>
      <c r="H9" s="64">
        <f>SUM(B8:H8)</f>
        <v>0</v>
      </c>
    </row>
    <row r="10" spans="1:10" s="7" customFormat="1">
      <c r="A10" s="182" t="s">
        <v>136</v>
      </c>
      <c r="B10" s="183"/>
      <c r="C10" s="183"/>
      <c r="D10" s="183"/>
      <c r="E10" s="183"/>
      <c r="F10" s="183"/>
      <c r="G10" s="65" t="s">
        <v>39</v>
      </c>
      <c r="H10" s="66">
        <v>-0.15</v>
      </c>
      <c r="I10" s="5"/>
      <c r="J10" s="26"/>
    </row>
    <row r="11" spans="1:10" s="7" customFormat="1" ht="30" customHeight="1">
      <c r="A11" s="39" t="s">
        <v>8</v>
      </c>
      <c r="B11" s="9"/>
      <c r="C11" s="9"/>
      <c r="D11" s="67"/>
      <c r="E11" s="67"/>
      <c r="F11" s="9"/>
      <c r="G11" s="68"/>
      <c r="H11" s="69"/>
    </row>
    <row r="12" spans="1:10" s="7" customFormat="1" ht="30" customHeight="1">
      <c r="A12" s="70" t="s">
        <v>23</v>
      </c>
      <c r="B12" s="59"/>
      <c r="C12" s="58"/>
      <c r="D12" s="58"/>
      <c r="E12" s="58"/>
      <c r="F12" s="58"/>
      <c r="G12" s="58"/>
      <c r="H12" s="58"/>
    </row>
    <row r="13" spans="1:10" s="7" customFormat="1" ht="30" customHeight="1">
      <c r="A13" s="3" t="s">
        <v>35</v>
      </c>
      <c r="B13" s="8"/>
      <c r="C13" s="8"/>
      <c r="D13" s="8"/>
      <c r="E13" s="8"/>
      <c r="F13" s="8"/>
      <c r="G13" s="8"/>
      <c r="H13" s="8"/>
    </row>
    <row r="14" spans="1:10" s="7" customFormat="1" ht="27" customHeight="1">
      <c r="A14" s="85" t="s">
        <v>36</v>
      </c>
      <c r="B14" s="87">
        <f t="shared" ref="B14:H14" si="2">B11+B12+B13</f>
        <v>0</v>
      </c>
      <c r="C14" s="87">
        <f t="shared" si="2"/>
        <v>0</v>
      </c>
      <c r="D14" s="87">
        <f t="shared" si="2"/>
        <v>0</v>
      </c>
      <c r="E14" s="87">
        <f t="shared" si="2"/>
        <v>0</v>
      </c>
      <c r="F14" s="87">
        <f t="shared" si="2"/>
        <v>0</v>
      </c>
      <c r="G14" s="87">
        <f t="shared" si="2"/>
        <v>0</v>
      </c>
      <c r="H14" s="87">
        <f t="shared" si="2"/>
        <v>0</v>
      </c>
    </row>
    <row r="15" spans="1:10" s="7" customFormat="1" ht="24.95" customHeight="1">
      <c r="A15" s="86" t="s">
        <v>40</v>
      </c>
      <c r="B15" s="92" t="e">
        <f t="shared" ref="B15:H15" si="3">(B14-B8)/B8</f>
        <v>#DIV/0!</v>
      </c>
      <c r="C15" s="93" t="e">
        <f t="shared" si="3"/>
        <v>#DIV/0!</v>
      </c>
      <c r="D15" s="93" t="e">
        <f t="shared" si="3"/>
        <v>#DIV/0!</v>
      </c>
      <c r="E15" s="93" t="e">
        <f t="shared" si="3"/>
        <v>#DIV/0!</v>
      </c>
      <c r="F15" s="93" t="e">
        <f t="shared" si="3"/>
        <v>#DIV/0!</v>
      </c>
      <c r="G15" s="93" t="e">
        <f t="shared" si="3"/>
        <v>#DIV/0!</v>
      </c>
      <c r="H15" s="94" t="e">
        <f t="shared" si="3"/>
        <v>#DIV/0!</v>
      </c>
      <c r="I15" s="71"/>
    </row>
    <row r="16" spans="1:10" ht="30" customHeight="1">
      <c r="B16" s="88"/>
      <c r="C16" s="88"/>
      <c r="D16" s="88"/>
      <c r="E16" s="88"/>
      <c r="F16" s="89"/>
      <c r="G16" s="90" t="s">
        <v>37</v>
      </c>
      <c r="H16" s="91">
        <f>SUM(B14:H14)</f>
        <v>0</v>
      </c>
    </row>
    <row r="17" spans="1:8" s="7" customFormat="1">
      <c r="A17" s="184" t="s">
        <v>41</v>
      </c>
      <c r="B17" s="185"/>
      <c r="C17" s="185"/>
      <c r="D17" s="185"/>
      <c r="E17" s="185"/>
      <c r="F17" s="185"/>
      <c r="G17" s="72" t="s">
        <v>42</v>
      </c>
      <c r="H17" s="66" t="e">
        <f>(H16-H9)/H9</f>
        <v>#DIV/0!</v>
      </c>
    </row>
    <row r="18" spans="1:8" s="7" customFormat="1" ht="30" customHeight="1">
      <c r="A18" s="35" t="s">
        <v>43</v>
      </c>
      <c r="B18" s="12"/>
      <c r="C18" s="12"/>
      <c r="D18" s="73"/>
      <c r="E18" s="73"/>
      <c r="F18" s="12"/>
      <c r="G18" s="24"/>
      <c r="H18" s="74">
        <v>79</v>
      </c>
    </row>
    <row r="19" spans="1:8" s="7" customFormat="1" ht="30" customHeight="1">
      <c r="A19" s="35" t="str">
        <f>'Week. 2 Spring '!A31</f>
        <v>Non Meal Plan Meals</v>
      </c>
      <c r="B19" s="12"/>
      <c r="C19" s="12"/>
      <c r="D19" s="73"/>
      <c r="E19" s="73"/>
      <c r="F19" s="12"/>
      <c r="G19" s="24"/>
      <c r="H19" s="74"/>
    </row>
    <row r="20" spans="1:8" s="7" customFormat="1" ht="30" customHeight="1">
      <c r="A20" s="35" t="str">
        <f>'Week. 2 Spring '!A32</f>
        <v xml:space="preserve">Meal numbers </v>
      </c>
      <c r="B20" s="95"/>
      <c r="C20" s="95"/>
      <c r="D20" s="67"/>
      <c r="E20" s="67"/>
      <c r="F20" s="95"/>
      <c r="G20" s="95"/>
      <c r="H20" s="75"/>
    </row>
    <row r="21" spans="1:8" s="7" customFormat="1" ht="24.95" customHeight="1">
      <c r="A21" s="36" t="s">
        <v>45</v>
      </c>
      <c r="B21" s="77">
        <f t="shared" ref="B21:G21" si="4">B18+B20</f>
        <v>0</v>
      </c>
      <c r="C21" s="77">
        <f t="shared" si="4"/>
        <v>0</v>
      </c>
      <c r="D21" s="96"/>
      <c r="E21" s="96"/>
      <c r="F21" s="77">
        <f t="shared" si="4"/>
        <v>0</v>
      </c>
      <c r="G21" s="77">
        <f t="shared" si="4"/>
        <v>0</v>
      </c>
      <c r="H21" s="77">
        <f>H18+H20</f>
        <v>79</v>
      </c>
    </row>
    <row r="22" spans="1:8" s="7" customFormat="1" ht="24.95" customHeight="1">
      <c r="A22" s="34" t="s">
        <v>40</v>
      </c>
      <c r="B22" s="92" t="e">
        <f>(B21-B5)/B5</f>
        <v>#DIV/0!</v>
      </c>
      <c r="C22" s="93" t="e">
        <f>(C21-C5)/C5</f>
        <v>#DIV/0!</v>
      </c>
      <c r="D22" s="99"/>
      <c r="E22" s="99"/>
      <c r="F22" s="93" t="e">
        <f>(F21-F5)/F5</f>
        <v>#DIV/0!</v>
      </c>
      <c r="G22" s="93" t="e">
        <f>(G21-G5)/G5</f>
        <v>#DIV/0!</v>
      </c>
      <c r="H22" s="94" t="e">
        <f>(H21-H5)/H5</f>
        <v>#DIV/0!</v>
      </c>
    </row>
    <row r="23" spans="1:8" s="7" customFormat="1">
      <c r="A23" s="186" t="s">
        <v>46</v>
      </c>
      <c r="B23" s="187"/>
      <c r="C23" s="187"/>
      <c r="D23" s="187"/>
      <c r="E23" s="187"/>
      <c r="F23" s="188" t="s">
        <v>47</v>
      </c>
      <c r="G23" s="97"/>
      <c r="H23" s="98"/>
    </row>
    <row r="24" spans="1:8" s="7" customFormat="1" ht="30" customHeight="1">
      <c r="A24" s="35" t="s">
        <v>43</v>
      </c>
      <c r="B24" s="11"/>
      <c r="C24" s="12"/>
      <c r="D24" s="12"/>
      <c r="E24" s="12"/>
      <c r="F24" s="12"/>
      <c r="G24" s="12"/>
      <c r="H24" s="11"/>
    </row>
    <row r="25" spans="1:8" s="7" customFormat="1" ht="30" customHeight="1">
      <c r="A25" s="35" t="str">
        <f>A19</f>
        <v>Non Meal Plan Meals</v>
      </c>
      <c r="B25" s="117"/>
      <c r="C25" s="117"/>
      <c r="D25" s="117"/>
      <c r="E25" s="117"/>
      <c r="F25" s="117"/>
      <c r="G25" s="117"/>
      <c r="H25" s="117"/>
    </row>
    <row r="26" spans="1:8" s="7" customFormat="1" ht="30" customHeight="1">
      <c r="A26" s="35" t="str">
        <f>A20</f>
        <v xml:space="preserve">Meal numbers </v>
      </c>
      <c r="B26" s="11"/>
      <c r="C26" s="11"/>
      <c r="D26" s="11"/>
      <c r="E26" s="11"/>
      <c r="F26" s="11"/>
      <c r="G26" s="11"/>
      <c r="H26" s="11"/>
    </row>
    <row r="27" spans="1:8" s="7" customFormat="1" ht="27.95" customHeight="1">
      <c r="A27" s="36" t="s">
        <v>50</v>
      </c>
      <c r="B27" s="100">
        <f>B24+B25+B26</f>
        <v>0</v>
      </c>
      <c r="C27" s="100">
        <f t="shared" ref="C27:G27" si="5">C24+C25+C26</f>
        <v>0</v>
      </c>
      <c r="D27" s="100">
        <f t="shared" si="5"/>
        <v>0</v>
      </c>
      <c r="E27" s="100">
        <f t="shared" si="5"/>
        <v>0</v>
      </c>
      <c r="F27" s="100">
        <f t="shared" si="5"/>
        <v>0</v>
      </c>
      <c r="G27" s="100">
        <f t="shared" si="5"/>
        <v>0</v>
      </c>
      <c r="H27" s="100">
        <f>H24+H25+H26</f>
        <v>0</v>
      </c>
    </row>
    <row r="28" spans="1:8" s="7" customFormat="1" ht="24.95" customHeight="1">
      <c r="A28" s="34" t="s">
        <v>40</v>
      </c>
      <c r="B28" s="92" t="e">
        <f t="shared" ref="B28:H28" si="6">(B27-B6)/B6</f>
        <v>#DIV/0!</v>
      </c>
      <c r="C28" s="93" t="e">
        <f t="shared" si="6"/>
        <v>#DIV/0!</v>
      </c>
      <c r="D28" s="93" t="e">
        <f t="shared" si="6"/>
        <v>#DIV/0!</v>
      </c>
      <c r="E28" s="93" t="e">
        <f t="shared" si="6"/>
        <v>#DIV/0!</v>
      </c>
      <c r="F28" s="93" t="e">
        <f t="shared" si="6"/>
        <v>#DIV/0!</v>
      </c>
      <c r="G28" s="93" t="e">
        <f t="shared" si="6"/>
        <v>#DIV/0!</v>
      </c>
      <c r="H28" s="94" t="e">
        <f t="shared" si="6"/>
        <v>#DIV/0!</v>
      </c>
    </row>
    <row r="29" spans="1:8" s="7" customFormat="1">
      <c r="A29" s="189" t="s">
        <v>51</v>
      </c>
      <c r="B29" s="190"/>
      <c r="C29" s="190"/>
      <c r="D29" s="190"/>
      <c r="E29" s="190"/>
      <c r="F29" s="191" t="s">
        <v>35</v>
      </c>
      <c r="G29" s="101"/>
      <c r="H29" s="102"/>
    </row>
    <row r="30" spans="1:8" s="7" customFormat="1" ht="30" customHeight="1">
      <c r="A30" s="35" t="s">
        <v>43</v>
      </c>
      <c r="B30" s="10"/>
      <c r="C30" s="9"/>
      <c r="D30" s="9"/>
      <c r="E30" s="9"/>
      <c r="F30" s="9"/>
      <c r="G30" s="9"/>
      <c r="H30" s="10"/>
    </row>
    <row r="31" spans="1:8" s="7" customFormat="1" ht="30" customHeight="1">
      <c r="A31" s="35" t="str">
        <f>A25</f>
        <v>Non Meal Plan Meals</v>
      </c>
      <c r="B31" s="60"/>
      <c r="C31" s="60"/>
      <c r="D31" s="60"/>
      <c r="E31" s="60"/>
      <c r="F31" s="60"/>
      <c r="G31" s="60"/>
      <c r="H31" s="60"/>
    </row>
    <row r="32" spans="1:8" s="7" customFormat="1" ht="30" customHeight="1">
      <c r="A32" s="35" t="str">
        <f>A26</f>
        <v xml:space="preserve">Meal numbers </v>
      </c>
      <c r="B32" s="10"/>
      <c r="C32" s="10"/>
      <c r="D32" s="10"/>
      <c r="E32" s="10"/>
      <c r="F32" s="10"/>
      <c r="G32" s="10"/>
      <c r="H32" s="10"/>
    </row>
    <row r="33" spans="1:12" s="7" customFormat="1" ht="30.95" customHeight="1">
      <c r="A33" s="36" t="s">
        <v>53</v>
      </c>
      <c r="B33" s="103">
        <f>B30+B31+B32</f>
        <v>0</v>
      </c>
      <c r="C33" s="103">
        <f t="shared" ref="C33:G33" si="7">C30+C31+C32</f>
        <v>0</v>
      </c>
      <c r="D33" s="103">
        <f t="shared" si="7"/>
        <v>0</v>
      </c>
      <c r="E33" s="103">
        <f t="shared" si="7"/>
        <v>0</v>
      </c>
      <c r="F33" s="103">
        <f t="shared" si="7"/>
        <v>0</v>
      </c>
      <c r="G33" s="103">
        <f t="shared" si="7"/>
        <v>0</v>
      </c>
      <c r="H33" s="103">
        <f>H30+H31+H32</f>
        <v>0</v>
      </c>
    </row>
    <row r="34" spans="1:12" s="7" customFormat="1" ht="24.95" customHeight="1">
      <c r="A34" s="34" t="s">
        <v>40</v>
      </c>
      <c r="B34" s="92" t="e">
        <f t="shared" ref="B34:H34" si="8">(B33-B7)/B7</f>
        <v>#DIV/0!</v>
      </c>
      <c r="C34" s="93" t="e">
        <f t="shared" si="8"/>
        <v>#DIV/0!</v>
      </c>
      <c r="D34" s="93" t="e">
        <f t="shared" si="8"/>
        <v>#DIV/0!</v>
      </c>
      <c r="E34" s="93" t="e">
        <f t="shared" si="8"/>
        <v>#DIV/0!</v>
      </c>
      <c r="F34" s="93" t="e">
        <f t="shared" si="8"/>
        <v>#DIV/0!</v>
      </c>
      <c r="G34" s="93" t="e">
        <f t="shared" si="8"/>
        <v>#DIV/0!</v>
      </c>
      <c r="H34" s="94" t="e">
        <f t="shared" si="8"/>
        <v>#DIV/0!</v>
      </c>
    </row>
    <row r="35" spans="1:12" s="7" customFormat="1">
      <c r="A35" s="192" t="s">
        <v>54</v>
      </c>
      <c r="B35" s="193"/>
      <c r="C35" s="193"/>
      <c r="D35" s="193"/>
      <c r="E35" s="193"/>
      <c r="F35" s="194" t="s">
        <v>35</v>
      </c>
      <c r="G35" s="104"/>
      <c r="H35" s="105"/>
    </row>
    <row r="36" spans="1:12" s="7" customFormat="1" ht="30.95" customHeight="1">
      <c r="A36" s="78" t="s">
        <v>55</v>
      </c>
      <c r="B36" s="77">
        <f>B33+B27+B21</f>
        <v>0</v>
      </c>
      <c r="C36" s="77">
        <f t="shared" ref="C36:H36" si="9">C33+C27+C21</f>
        <v>0</v>
      </c>
      <c r="D36" s="77">
        <f t="shared" si="9"/>
        <v>0</v>
      </c>
      <c r="E36" s="77">
        <f t="shared" si="9"/>
        <v>0</v>
      </c>
      <c r="F36" s="77">
        <f t="shared" si="9"/>
        <v>0</v>
      </c>
      <c r="G36" s="77">
        <f t="shared" si="9"/>
        <v>0</v>
      </c>
      <c r="H36" s="77">
        <f t="shared" si="9"/>
        <v>79</v>
      </c>
    </row>
    <row r="37" spans="1:12" s="7" customFormat="1" ht="24.95" customHeight="1">
      <c r="A37" s="34" t="s">
        <v>40</v>
      </c>
      <c r="B37" s="92" t="e">
        <f t="shared" ref="B37:H37" si="10">(B36-B8)/B8</f>
        <v>#DIV/0!</v>
      </c>
      <c r="C37" s="93" t="e">
        <f t="shared" si="10"/>
        <v>#DIV/0!</v>
      </c>
      <c r="D37" s="93" t="e">
        <f t="shared" si="10"/>
        <v>#DIV/0!</v>
      </c>
      <c r="E37" s="93" t="e">
        <f t="shared" si="10"/>
        <v>#DIV/0!</v>
      </c>
      <c r="F37" s="93" t="e">
        <f t="shared" si="10"/>
        <v>#DIV/0!</v>
      </c>
      <c r="G37" s="93" t="e">
        <f t="shared" si="10"/>
        <v>#DIV/0!</v>
      </c>
      <c r="H37" s="94" t="e">
        <f t="shared" si="10"/>
        <v>#DIV/0!</v>
      </c>
    </row>
    <row r="38" spans="1:12" ht="30" customHeight="1">
      <c r="A38" s="195"/>
      <c r="B38" s="196"/>
      <c r="C38" s="196"/>
      <c r="D38" s="196"/>
      <c r="E38" s="196"/>
      <c r="F38" s="196"/>
      <c r="G38" s="106" t="s">
        <v>37</v>
      </c>
      <c r="H38" s="107">
        <f>SUM(B36:H36)</f>
        <v>79</v>
      </c>
    </row>
    <row r="39" spans="1:12" s="7" customFormat="1" ht="24.95" customHeight="1">
      <c r="A39" s="37"/>
      <c r="B39" s="25"/>
      <c r="C39" s="25"/>
      <c r="D39" s="25"/>
      <c r="E39" s="25"/>
      <c r="F39" s="25"/>
      <c r="G39" s="79" t="s">
        <v>40</v>
      </c>
      <c r="H39" s="80" t="e">
        <f>(H38-H9)/H9</f>
        <v>#DIV/0!</v>
      </c>
    </row>
    <row r="40" spans="1:12" s="7" customFormat="1" ht="24.95" customHeight="1">
      <c r="A40" s="37"/>
      <c r="B40" s="25"/>
      <c r="C40" s="25"/>
      <c r="D40" s="25"/>
      <c r="E40" s="25"/>
      <c r="F40" s="25"/>
      <c r="G40" s="81" t="s">
        <v>56</v>
      </c>
      <c r="H40" s="82" t="e">
        <f>(H38-H16)/H16</f>
        <v>#DIV/0!</v>
      </c>
    </row>
    <row r="41" spans="1:12" s="46" customFormat="1" ht="23.1" customHeight="1">
      <c r="A41" s="40"/>
      <c r="B41" s="47" t="s">
        <v>57</v>
      </c>
      <c r="C41" s="197" t="s">
        <v>58</v>
      </c>
      <c r="D41" s="197"/>
      <c r="E41" s="197"/>
      <c r="F41" s="197"/>
      <c r="G41" s="198">
        <v>2022</v>
      </c>
      <c r="H41" s="199"/>
    </row>
    <row r="42" spans="1:12" ht="30" customHeight="1">
      <c r="A42" s="1" t="s">
        <v>60</v>
      </c>
      <c r="B42" s="57" t="s">
        <v>59</v>
      </c>
      <c r="C42" s="180"/>
      <c r="D42" s="180"/>
      <c r="E42" s="180"/>
      <c r="F42" s="180"/>
      <c r="G42" s="178"/>
      <c r="H42" s="179"/>
      <c r="L42" s="7" t="s">
        <v>61</v>
      </c>
    </row>
    <row r="43" spans="1:12" ht="30" customHeight="1">
      <c r="A43" s="1" t="s">
        <v>1</v>
      </c>
      <c r="B43" s="57" t="s">
        <v>59</v>
      </c>
      <c r="C43" s="180"/>
      <c r="D43" s="180"/>
      <c r="E43" s="180"/>
      <c r="F43" s="180"/>
      <c r="G43" s="178"/>
      <c r="H43" s="179"/>
      <c r="L43" s="5" t="s">
        <v>62</v>
      </c>
    </row>
    <row r="44" spans="1:12" ht="30" customHeight="1">
      <c r="A44" s="1" t="s">
        <v>2</v>
      </c>
      <c r="B44" s="57" t="s">
        <v>59</v>
      </c>
      <c r="C44" s="175"/>
      <c r="D44" s="175"/>
      <c r="E44" s="175"/>
      <c r="F44" s="175"/>
      <c r="G44" s="176"/>
      <c r="H44" s="177"/>
      <c r="L44" s="5" t="s">
        <v>63</v>
      </c>
    </row>
    <row r="45" spans="1:12" ht="30" customHeight="1">
      <c r="A45" s="1" t="s">
        <v>3</v>
      </c>
      <c r="B45" s="57" t="s">
        <v>59</v>
      </c>
      <c r="C45" s="175"/>
      <c r="D45" s="175"/>
      <c r="E45" s="175"/>
      <c r="F45" s="175"/>
      <c r="G45" s="176"/>
      <c r="H45" s="177"/>
      <c r="L45" s="5" t="s">
        <v>64</v>
      </c>
    </row>
    <row r="46" spans="1:12" ht="30.95" customHeight="1">
      <c r="A46" s="1" t="s">
        <v>4</v>
      </c>
      <c r="B46" s="57" t="s">
        <v>59</v>
      </c>
      <c r="C46" s="175"/>
      <c r="D46" s="175"/>
      <c r="E46" s="175"/>
      <c r="F46" s="175"/>
      <c r="G46" s="176"/>
      <c r="H46" s="177"/>
    </row>
    <row r="47" spans="1:12" ht="30" customHeight="1">
      <c r="A47" s="1" t="s">
        <v>5</v>
      </c>
      <c r="B47" s="57" t="s">
        <v>59</v>
      </c>
      <c r="C47" s="175"/>
      <c r="D47" s="175"/>
      <c r="E47" s="175"/>
      <c r="F47" s="175"/>
      <c r="G47" s="176"/>
      <c r="H47" s="177"/>
    </row>
    <row r="48" spans="1:12" ht="30" customHeight="1">
      <c r="A48" s="1" t="s">
        <v>6</v>
      </c>
      <c r="B48" s="57" t="s">
        <v>59</v>
      </c>
      <c r="C48" s="175"/>
      <c r="D48" s="175"/>
      <c r="E48" s="175"/>
      <c r="F48" s="175"/>
      <c r="G48" s="176"/>
      <c r="H48" s="177"/>
    </row>
    <row r="49" spans="1:8" ht="30" customHeight="1">
      <c r="A49" s="1"/>
      <c r="B49" s="14"/>
      <c r="C49" s="175"/>
      <c r="D49" s="175"/>
      <c r="E49" s="175"/>
      <c r="F49" s="175"/>
      <c r="G49" s="176"/>
      <c r="H49" s="177"/>
    </row>
    <row r="50" spans="1:8" ht="30" customHeight="1">
      <c r="A50" s="2"/>
      <c r="B50" s="14"/>
      <c r="C50" s="175"/>
      <c r="D50" s="175"/>
      <c r="E50" s="175"/>
      <c r="F50" s="175"/>
      <c r="G50" s="176"/>
      <c r="H50" s="177"/>
    </row>
    <row r="51" spans="1:8">
      <c r="A51" s="30"/>
      <c r="B51" s="18" t="s">
        <v>27</v>
      </c>
      <c r="C51" s="18" t="s">
        <v>28</v>
      </c>
      <c r="D51" s="18" t="s">
        <v>65</v>
      </c>
      <c r="E51" s="18" t="s">
        <v>30</v>
      </c>
      <c r="F51" s="18" t="s">
        <v>66</v>
      </c>
      <c r="G51" s="18" t="s">
        <v>32</v>
      </c>
      <c r="H51" s="18" t="s">
        <v>33</v>
      </c>
    </row>
    <row r="52" spans="1:8">
      <c r="A52" s="38" t="s">
        <v>67</v>
      </c>
      <c r="B52" s="15"/>
      <c r="C52" s="20"/>
      <c r="D52" s="20"/>
      <c r="E52" s="20"/>
      <c r="F52" s="20"/>
      <c r="G52" s="20"/>
      <c r="H52" s="15"/>
    </row>
    <row r="53" spans="1:8" customFormat="1" ht="15.75">
      <c r="A53" s="48" t="s">
        <v>68</v>
      </c>
      <c r="B53" s="22"/>
      <c r="C53" s="21"/>
      <c r="D53" s="21"/>
      <c r="E53" s="21"/>
      <c r="F53" s="21"/>
      <c r="G53" s="23" t="s">
        <v>37</v>
      </c>
      <c r="H53" s="23">
        <f>SUM(B52:H52)</f>
        <v>0</v>
      </c>
    </row>
    <row r="54" spans="1:8">
      <c r="A54" s="30"/>
      <c r="B54" s="18" t="s">
        <v>27</v>
      </c>
      <c r="C54" s="18" t="s">
        <v>28</v>
      </c>
      <c r="D54" s="18" t="s">
        <v>65</v>
      </c>
      <c r="E54" s="18" t="s">
        <v>30</v>
      </c>
      <c r="F54" s="18" t="s">
        <v>66</v>
      </c>
      <c r="G54" s="18" t="s">
        <v>32</v>
      </c>
      <c r="H54" s="18" t="s">
        <v>33</v>
      </c>
    </row>
    <row r="55" spans="1:8">
      <c r="A55" s="38" t="s">
        <v>69</v>
      </c>
      <c r="B55" s="51"/>
      <c r="C55" s="52"/>
      <c r="D55" s="52"/>
      <c r="E55" s="52"/>
      <c r="F55" s="52"/>
      <c r="G55" s="20"/>
      <c r="H55" s="15"/>
    </row>
    <row r="56" spans="1:8" customFormat="1" ht="15.75">
      <c r="A56" s="49" t="s">
        <v>70</v>
      </c>
      <c r="B56" s="53"/>
      <c r="C56" s="53" t="s">
        <v>71</v>
      </c>
      <c r="D56" s="54"/>
      <c r="E56" s="54"/>
      <c r="F56" s="55"/>
      <c r="G56" s="50" t="s">
        <v>37</v>
      </c>
      <c r="H56" s="23"/>
    </row>
    <row r="57" spans="1:8">
      <c r="H57" s="16"/>
    </row>
    <row r="58" spans="1:8">
      <c r="H58" s="16"/>
    </row>
    <row r="59" spans="1:8">
      <c r="H59" s="16"/>
    </row>
    <row r="60" spans="1:8">
      <c r="H60" s="16"/>
    </row>
    <row r="61" spans="1:8">
      <c r="H61" s="16"/>
    </row>
    <row r="62" spans="1:8">
      <c r="H62" s="16"/>
    </row>
    <row r="63" spans="1:8">
      <c r="H63" s="16"/>
    </row>
    <row r="64" spans="1:8">
      <c r="B64" s="5"/>
      <c r="H64" s="16"/>
    </row>
    <row r="65" spans="2:8">
      <c r="B65" s="5"/>
      <c r="H65" s="16"/>
    </row>
    <row r="66" spans="2:8">
      <c r="B66" s="5"/>
      <c r="H66" s="16"/>
    </row>
    <row r="67" spans="2:8">
      <c r="B67" s="5"/>
      <c r="H67" s="16"/>
    </row>
    <row r="68" spans="2:8">
      <c r="B68" s="5"/>
      <c r="H68" s="16"/>
    </row>
    <row r="69" spans="2:8">
      <c r="B69" s="5"/>
      <c r="H69" s="16"/>
    </row>
    <row r="70" spans="2:8">
      <c r="B70" s="5"/>
      <c r="H70" s="16"/>
    </row>
    <row r="71" spans="2:8">
      <c r="B71" s="5"/>
      <c r="H71" s="16"/>
    </row>
    <row r="72" spans="2:8">
      <c r="B72" s="5"/>
      <c r="H72" s="16"/>
    </row>
    <row r="73" spans="2:8">
      <c r="B73" s="5"/>
      <c r="H73" s="16"/>
    </row>
    <row r="74" spans="2:8">
      <c r="B74" s="5"/>
      <c r="H74" s="16"/>
    </row>
    <row r="75" spans="2:8">
      <c r="B75" s="5"/>
      <c r="H75" s="16"/>
    </row>
    <row r="76" spans="2:8">
      <c r="B76" s="5"/>
      <c r="H76" s="16"/>
    </row>
    <row r="77" spans="2:8">
      <c r="B77" s="5"/>
      <c r="H77" s="16"/>
    </row>
    <row r="78" spans="2:8">
      <c r="B78" s="5"/>
      <c r="H78" s="16"/>
    </row>
    <row r="79" spans="2:8">
      <c r="B79" s="5"/>
      <c r="H79" s="16"/>
    </row>
    <row r="80" spans="2:8">
      <c r="B80" s="5"/>
      <c r="H80" s="16"/>
    </row>
    <row r="81" spans="2:8">
      <c r="B81" s="5"/>
      <c r="H81" s="16"/>
    </row>
    <row r="82" spans="2:8">
      <c r="B82" s="5"/>
      <c r="H82" s="16"/>
    </row>
    <row r="83" spans="2:8">
      <c r="B83" s="5"/>
      <c r="H83" s="16"/>
    </row>
    <row r="84" spans="2:8">
      <c r="B84" s="5"/>
      <c r="H84" s="16"/>
    </row>
    <row r="85" spans="2:8">
      <c r="B85" s="5"/>
      <c r="H85" s="16"/>
    </row>
    <row r="86" spans="2:8">
      <c r="B86" s="5"/>
      <c r="H86" s="16"/>
    </row>
    <row r="87" spans="2:8">
      <c r="B87" s="5"/>
      <c r="H87" s="16"/>
    </row>
    <row r="88" spans="2:8">
      <c r="B88" s="5"/>
      <c r="H88" s="16"/>
    </row>
    <row r="89" spans="2:8">
      <c r="B89" s="5"/>
      <c r="H89" s="16"/>
    </row>
    <row r="90" spans="2:8">
      <c r="B90" s="5"/>
      <c r="H90" s="16"/>
    </row>
    <row r="91" spans="2:8">
      <c r="B91" s="5"/>
      <c r="H91" s="16"/>
    </row>
    <row r="92" spans="2:8">
      <c r="B92" s="5"/>
      <c r="H92" s="16"/>
    </row>
    <row r="93" spans="2:8">
      <c r="B93" s="5"/>
      <c r="H93" s="16"/>
    </row>
    <row r="94" spans="2:8">
      <c r="B94" s="5"/>
      <c r="H94" s="16"/>
    </row>
    <row r="95" spans="2:8">
      <c r="B95" s="5"/>
      <c r="H95" s="16"/>
    </row>
    <row r="96" spans="2:8">
      <c r="B96" s="5"/>
      <c r="H96" s="16"/>
    </row>
    <row r="97" spans="2:8">
      <c r="B97" s="5"/>
      <c r="H97" s="16"/>
    </row>
    <row r="98" spans="2:8">
      <c r="B98" s="5"/>
      <c r="H98" s="16"/>
    </row>
    <row r="99" spans="2:8">
      <c r="B99" s="5"/>
      <c r="H99" s="16"/>
    </row>
    <row r="100" spans="2:8">
      <c r="B100" s="5"/>
      <c r="H100" s="16"/>
    </row>
    <row r="101" spans="2:8">
      <c r="B101" s="5"/>
      <c r="H101" s="16"/>
    </row>
    <row r="102" spans="2:8">
      <c r="B102" s="5"/>
      <c r="H102" s="16"/>
    </row>
    <row r="103" spans="2:8">
      <c r="B103" s="5"/>
      <c r="H103" s="16"/>
    </row>
    <row r="104" spans="2:8">
      <c r="B104" s="5"/>
      <c r="H104" s="16"/>
    </row>
    <row r="105" spans="2:8">
      <c r="B105" s="5"/>
      <c r="H105" s="16"/>
    </row>
    <row r="106" spans="2:8">
      <c r="B106" s="5"/>
      <c r="H106" s="16"/>
    </row>
    <row r="107" spans="2:8">
      <c r="B107" s="5"/>
      <c r="H107" s="16"/>
    </row>
    <row r="108" spans="2:8">
      <c r="B108" s="5"/>
      <c r="H108" s="16"/>
    </row>
    <row r="109" spans="2:8">
      <c r="B109" s="5"/>
      <c r="H109" s="16"/>
    </row>
    <row r="110" spans="2:8">
      <c r="B110" s="5"/>
      <c r="H110" s="16"/>
    </row>
    <row r="111" spans="2:8">
      <c r="B111" s="5"/>
      <c r="H111" s="16"/>
    </row>
    <row r="112" spans="2:8">
      <c r="B112" s="5"/>
      <c r="H112" s="16"/>
    </row>
    <row r="113" spans="2:8">
      <c r="B113" s="5"/>
      <c r="H113" s="16"/>
    </row>
    <row r="114" spans="2:8">
      <c r="B114" s="5"/>
      <c r="H114" s="16"/>
    </row>
    <row r="115" spans="2:8">
      <c r="B115" s="5"/>
      <c r="H115" s="16"/>
    </row>
    <row r="116" spans="2:8">
      <c r="B116" s="5"/>
      <c r="H116" s="16"/>
    </row>
    <row r="117" spans="2:8">
      <c r="B117" s="5"/>
      <c r="H117" s="16"/>
    </row>
    <row r="118" spans="2:8">
      <c r="B118" s="5"/>
      <c r="H118" s="16"/>
    </row>
    <row r="119" spans="2:8">
      <c r="B119" s="5"/>
      <c r="H119" s="16"/>
    </row>
    <row r="120" spans="2:8">
      <c r="B120" s="5"/>
      <c r="H120" s="16"/>
    </row>
    <row r="121" spans="2:8">
      <c r="B121" s="5"/>
      <c r="H121" s="16"/>
    </row>
    <row r="122" spans="2:8">
      <c r="B122" s="5"/>
      <c r="H122" s="16"/>
    </row>
    <row r="123" spans="2:8">
      <c r="B123" s="5"/>
      <c r="H123" s="16"/>
    </row>
    <row r="124" spans="2:8">
      <c r="B124" s="5"/>
      <c r="H124" s="16"/>
    </row>
    <row r="125" spans="2:8">
      <c r="B125" s="5"/>
      <c r="H125" s="16"/>
    </row>
    <row r="126" spans="2:8">
      <c r="B126" s="5"/>
      <c r="H126" s="16"/>
    </row>
    <row r="127" spans="2:8">
      <c r="B127" s="5"/>
      <c r="H127" s="16"/>
    </row>
    <row r="128" spans="2:8">
      <c r="B128" s="5"/>
      <c r="H128" s="16"/>
    </row>
    <row r="129" spans="2:8">
      <c r="B129" s="5"/>
      <c r="H129" s="16"/>
    </row>
    <row r="130" spans="2:8">
      <c r="B130" s="5"/>
      <c r="H130" s="16"/>
    </row>
    <row r="131" spans="2:8">
      <c r="B131" s="5"/>
      <c r="H131" s="16"/>
    </row>
    <row r="132" spans="2:8">
      <c r="B132" s="5"/>
      <c r="H132" s="16"/>
    </row>
    <row r="133" spans="2:8">
      <c r="B133" s="5"/>
      <c r="H133" s="16"/>
    </row>
    <row r="134" spans="2:8">
      <c r="B134" s="5"/>
      <c r="H134" s="16"/>
    </row>
    <row r="135" spans="2:8">
      <c r="B135" s="5"/>
      <c r="H135" s="16"/>
    </row>
    <row r="136" spans="2:8">
      <c r="B136" s="5"/>
      <c r="H136" s="16"/>
    </row>
    <row r="137" spans="2:8">
      <c r="B137" s="5"/>
      <c r="H137" s="16"/>
    </row>
    <row r="138" spans="2:8">
      <c r="B138" s="5"/>
      <c r="H138" s="16"/>
    </row>
    <row r="139" spans="2:8">
      <c r="B139" s="5"/>
      <c r="H139" s="16"/>
    </row>
    <row r="140" spans="2:8">
      <c r="B140" s="5"/>
      <c r="H140" s="16"/>
    </row>
    <row r="141" spans="2:8">
      <c r="B141" s="5"/>
      <c r="H141" s="16"/>
    </row>
    <row r="142" spans="2:8">
      <c r="B142" s="5"/>
      <c r="H142" s="16"/>
    </row>
    <row r="143" spans="2:8">
      <c r="B143" s="5"/>
      <c r="H143" s="16"/>
    </row>
    <row r="144" spans="2:8">
      <c r="B144" s="5"/>
      <c r="H144" s="16"/>
    </row>
    <row r="145" spans="2:8">
      <c r="B145" s="5"/>
      <c r="H145" s="16"/>
    </row>
    <row r="146" spans="2:8">
      <c r="B146" s="5"/>
      <c r="H146" s="16"/>
    </row>
    <row r="147" spans="2:8">
      <c r="B147" s="5"/>
      <c r="H147" s="16"/>
    </row>
    <row r="148" spans="2:8">
      <c r="B148" s="5"/>
      <c r="H148" s="16"/>
    </row>
    <row r="149" spans="2:8">
      <c r="B149" s="5"/>
      <c r="H149" s="16"/>
    </row>
    <row r="150" spans="2:8">
      <c r="B150" s="5"/>
      <c r="H150" s="16"/>
    </row>
    <row r="151" spans="2:8">
      <c r="B151" s="5"/>
      <c r="H151" s="16"/>
    </row>
    <row r="152" spans="2:8">
      <c r="B152" s="5"/>
      <c r="H152" s="16"/>
    </row>
    <row r="153" spans="2:8">
      <c r="B153" s="5"/>
      <c r="H153" s="16"/>
    </row>
    <row r="154" spans="2:8">
      <c r="B154" s="5"/>
      <c r="H154" s="16"/>
    </row>
    <row r="155" spans="2:8">
      <c r="B155" s="5"/>
      <c r="H155" s="16"/>
    </row>
    <row r="156" spans="2:8">
      <c r="B156" s="5"/>
      <c r="H156" s="16"/>
    </row>
    <row r="157" spans="2:8">
      <c r="B157" s="5"/>
      <c r="H157" s="16"/>
    </row>
    <row r="158" spans="2:8">
      <c r="B158" s="5"/>
      <c r="H158" s="16"/>
    </row>
    <row r="159" spans="2:8">
      <c r="B159" s="5"/>
      <c r="H159" s="16"/>
    </row>
    <row r="160" spans="2:8">
      <c r="B160" s="5"/>
      <c r="H160" s="16"/>
    </row>
    <row r="161" spans="2:8">
      <c r="B161" s="5"/>
      <c r="H161" s="16"/>
    </row>
    <row r="162" spans="2:8">
      <c r="B162" s="5"/>
      <c r="H162" s="16"/>
    </row>
    <row r="163" spans="2:8">
      <c r="B163" s="5"/>
      <c r="H163" s="16"/>
    </row>
    <row r="164" spans="2:8">
      <c r="B164" s="5"/>
      <c r="H164" s="16"/>
    </row>
    <row r="165" spans="2:8">
      <c r="B165" s="5"/>
      <c r="H165" s="16"/>
    </row>
    <row r="166" spans="2:8">
      <c r="B166" s="5"/>
      <c r="H166" s="16"/>
    </row>
    <row r="167" spans="2:8">
      <c r="B167" s="5"/>
      <c r="H167" s="16"/>
    </row>
    <row r="168" spans="2:8">
      <c r="B168" s="5"/>
      <c r="H168" s="16"/>
    </row>
    <row r="169" spans="2:8">
      <c r="B169" s="5"/>
      <c r="H169" s="16"/>
    </row>
    <row r="170" spans="2:8">
      <c r="B170" s="5"/>
      <c r="H170" s="16"/>
    </row>
    <row r="171" spans="2:8">
      <c r="B171" s="5"/>
      <c r="H171" s="16"/>
    </row>
    <row r="172" spans="2:8">
      <c r="B172" s="5"/>
      <c r="H172" s="16"/>
    </row>
    <row r="173" spans="2:8">
      <c r="B173" s="5"/>
      <c r="H173" s="16"/>
    </row>
    <row r="174" spans="2:8">
      <c r="B174" s="5"/>
      <c r="H174" s="16"/>
    </row>
    <row r="175" spans="2:8">
      <c r="B175" s="5"/>
      <c r="H175" s="16"/>
    </row>
    <row r="176" spans="2:8">
      <c r="B176" s="5"/>
      <c r="H176" s="16"/>
    </row>
    <row r="177" spans="2:8">
      <c r="B177" s="5"/>
      <c r="H177" s="16"/>
    </row>
    <row r="178" spans="2:8">
      <c r="B178" s="5"/>
      <c r="H178" s="16"/>
    </row>
    <row r="179" spans="2:8">
      <c r="B179" s="5"/>
      <c r="H179" s="16"/>
    </row>
    <row r="180" spans="2:8">
      <c r="B180" s="5"/>
      <c r="H180" s="16"/>
    </row>
    <row r="181" spans="2:8">
      <c r="B181" s="5"/>
      <c r="H181" s="16"/>
    </row>
    <row r="182" spans="2:8">
      <c r="B182" s="5"/>
      <c r="H182" s="16"/>
    </row>
    <row r="183" spans="2:8">
      <c r="B183" s="5"/>
      <c r="H183" s="16"/>
    </row>
    <row r="184" spans="2:8">
      <c r="B184" s="5"/>
      <c r="H184" s="16"/>
    </row>
    <row r="185" spans="2:8">
      <c r="B185" s="5"/>
      <c r="H185" s="16"/>
    </row>
    <row r="186" spans="2:8">
      <c r="B186" s="5"/>
      <c r="H186" s="16"/>
    </row>
    <row r="187" spans="2:8">
      <c r="B187" s="5"/>
      <c r="H187" s="16"/>
    </row>
    <row r="188" spans="2:8">
      <c r="B188" s="5"/>
      <c r="H188" s="16"/>
    </row>
    <row r="189" spans="2:8">
      <c r="B189" s="5"/>
      <c r="H189" s="16"/>
    </row>
    <row r="190" spans="2:8">
      <c r="B190" s="5"/>
      <c r="H190" s="16"/>
    </row>
    <row r="191" spans="2:8">
      <c r="B191" s="5"/>
      <c r="H191" s="16"/>
    </row>
    <row r="192" spans="2:8">
      <c r="B192" s="5"/>
      <c r="H192" s="16"/>
    </row>
    <row r="193" spans="2:8">
      <c r="B193" s="5"/>
      <c r="H193" s="16"/>
    </row>
    <row r="194" spans="2:8">
      <c r="B194" s="5"/>
      <c r="H194" s="16"/>
    </row>
    <row r="195" spans="2:8">
      <c r="B195" s="5"/>
      <c r="H195" s="16"/>
    </row>
    <row r="196" spans="2:8">
      <c r="B196" s="5"/>
      <c r="H196" s="16"/>
    </row>
    <row r="197" spans="2:8">
      <c r="B197" s="5"/>
      <c r="H197" s="16"/>
    </row>
    <row r="198" spans="2:8">
      <c r="B198" s="5"/>
      <c r="H198" s="16"/>
    </row>
    <row r="199" spans="2:8">
      <c r="B199" s="5"/>
      <c r="H199" s="16"/>
    </row>
    <row r="200" spans="2:8">
      <c r="B200" s="5"/>
      <c r="H200" s="16"/>
    </row>
    <row r="201" spans="2:8">
      <c r="B201" s="5"/>
      <c r="H201" s="16"/>
    </row>
    <row r="202" spans="2:8">
      <c r="B202" s="5"/>
      <c r="H202" s="16"/>
    </row>
    <row r="203" spans="2:8">
      <c r="B203" s="5"/>
      <c r="H203" s="16"/>
    </row>
    <row r="204" spans="2:8">
      <c r="B204" s="5"/>
      <c r="H204" s="16"/>
    </row>
    <row r="205" spans="2:8">
      <c r="B205" s="5"/>
      <c r="H205" s="16"/>
    </row>
    <row r="206" spans="2:8">
      <c r="B206" s="5"/>
      <c r="H206" s="16"/>
    </row>
    <row r="207" spans="2:8">
      <c r="B207" s="5"/>
      <c r="H207" s="16"/>
    </row>
    <row r="208" spans="2:8">
      <c r="B208" s="5"/>
      <c r="H208" s="16"/>
    </row>
    <row r="209" spans="2:8">
      <c r="B209" s="5"/>
      <c r="H209" s="16"/>
    </row>
    <row r="210" spans="2:8">
      <c r="B210" s="5"/>
      <c r="H210" s="16"/>
    </row>
    <row r="211" spans="2:8">
      <c r="B211" s="5"/>
      <c r="H211" s="16"/>
    </row>
    <row r="212" spans="2:8">
      <c r="B212" s="5"/>
      <c r="H212" s="16"/>
    </row>
    <row r="213" spans="2:8">
      <c r="B213" s="5"/>
      <c r="H213" s="16"/>
    </row>
    <row r="214" spans="2:8">
      <c r="B214" s="5"/>
      <c r="H214" s="16"/>
    </row>
    <row r="215" spans="2:8">
      <c r="B215" s="5"/>
      <c r="H215" s="16"/>
    </row>
    <row r="216" spans="2:8">
      <c r="B216" s="5"/>
      <c r="H216" s="16"/>
    </row>
    <row r="217" spans="2:8">
      <c r="B217" s="5"/>
      <c r="H217" s="16"/>
    </row>
    <row r="218" spans="2:8">
      <c r="B218" s="5"/>
      <c r="H218" s="16"/>
    </row>
    <row r="219" spans="2:8">
      <c r="B219" s="5"/>
      <c r="H219" s="16"/>
    </row>
    <row r="220" spans="2:8">
      <c r="B220" s="5"/>
      <c r="H220" s="16"/>
    </row>
    <row r="221" spans="2:8">
      <c r="B221" s="5"/>
      <c r="H221" s="16"/>
    </row>
    <row r="222" spans="2:8">
      <c r="B222" s="5"/>
      <c r="H222" s="16"/>
    </row>
    <row r="223" spans="2:8">
      <c r="B223" s="5"/>
      <c r="H223" s="16"/>
    </row>
    <row r="224" spans="2:8">
      <c r="B224" s="5"/>
      <c r="H224" s="16"/>
    </row>
    <row r="225" spans="2:8">
      <c r="B225" s="5"/>
      <c r="H225" s="16"/>
    </row>
    <row r="226" spans="2:8">
      <c r="B226" s="5"/>
      <c r="H226" s="16"/>
    </row>
    <row r="227" spans="2:8">
      <c r="B227" s="5"/>
      <c r="H227" s="16"/>
    </row>
    <row r="228" spans="2:8">
      <c r="B228" s="5"/>
      <c r="H228" s="16"/>
    </row>
    <row r="229" spans="2:8">
      <c r="B229" s="5"/>
      <c r="H229" s="16"/>
    </row>
    <row r="230" spans="2:8">
      <c r="B230" s="5"/>
      <c r="H230" s="16"/>
    </row>
    <row r="231" spans="2:8">
      <c r="B231" s="5"/>
      <c r="H231" s="16"/>
    </row>
    <row r="232" spans="2:8">
      <c r="B232" s="5"/>
      <c r="H232" s="16"/>
    </row>
    <row r="233" spans="2:8">
      <c r="B233" s="5"/>
      <c r="H233" s="16"/>
    </row>
    <row r="234" spans="2:8">
      <c r="B234" s="5"/>
      <c r="H234" s="16"/>
    </row>
    <row r="235" spans="2:8">
      <c r="B235" s="5"/>
      <c r="H235" s="16"/>
    </row>
    <row r="236" spans="2:8">
      <c r="B236" s="5"/>
      <c r="H236" s="16"/>
    </row>
    <row r="237" spans="2:8">
      <c r="B237" s="5"/>
      <c r="H237" s="16"/>
    </row>
    <row r="238" spans="2:8">
      <c r="B238" s="5"/>
      <c r="H238" s="16"/>
    </row>
    <row r="239" spans="2:8">
      <c r="B239" s="5"/>
      <c r="H239" s="16"/>
    </row>
    <row r="240" spans="2:8">
      <c r="B240" s="5"/>
      <c r="H240" s="16"/>
    </row>
    <row r="241" spans="2:8">
      <c r="B241" s="5"/>
      <c r="H241" s="16"/>
    </row>
    <row r="242" spans="2:8">
      <c r="B242" s="5"/>
      <c r="H242" s="16"/>
    </row>
    <row r="243" spans="2:8">
      <c r="B243" s="5"/>
      <c r="H243" s="16"/>
    </row>
    <row r="244" spans="2:8">
      <c r="B244" s="5"/>
      <c r="H244" s="16"/>
    </row>
    <row r="245" spans="2:8">
      <c r="B245" s="5"/>
      <c r="H245" s="16"/>
    </row>
    <row r="246" spans="2:8">
      <c r="B246" s="5"/>
      <c r="H246" s="16"/>
    </row>
    <row r="247" spans="2:8">
      <c r="B247" s="5"/>
      <c r="H247" s="16"/>
    </row>
    <row r="248" spans="2:8">
      <c r="B248" s="5"/>
      <c r="H248" s="16"/>
    </row>
    <row r="249" spans="2:8">
      <c r="B249" s="5"/>
      <c r="H249" s="16"/>
    </row>
    <row r="250" spans="2:8">
      <c r="B250" s="5"/>
      <c r="H250" s="16"/>
    </row>
    <row r="251" spans="2:8">
      <c r="B251" s="5"/>
      <c r="H251" s="16"/>
    </row>
    <row r="252" spans="2:8">
      <c r="B252" s="5"/>
      <c r="H252" s="16"/>
    </row>
    <row r="253" spans="2:8">
      <c r="B253" s="5"/>
      <c r="H253" s="16"/>
    </row>
    <row r="254" spans="2:8">
      <c r="B254" s="5"/>
      <c r="H254" s="16"/>
    </row>
    <row r="255" spans="2:8">
      <c r="B255" s="5"/>
      <c r="H255" s="16"/>
    </row>
    <row r="256" spans="2:8">
      <c r="B256" s="5"/>
      <c r="H256" s="16"/>
    </row>
    <row r="257" spans="2:8">
      <c r="B257" s="5"/>
      <c r="H257" s="16"/>
    </row>
    <row r="258" spans="2:8">
      <c r="B258" s="5"/>
      <c r="H258" s="16"/>
    </row>
    <row r="259" spans="2:8">
      <c r="B259" s="5"/>
      <c r="H259" s="16"/>
    </row>
    <row r="260" spans="2:8">
      <c r="B260" s="5"/>
      <c r="H260" s="16"/>
    </row>
    <row r="261" spans="2:8">
      <c r="B261" s="5"/>
      <c r="H261" s="16"/>
    </row>
    <row r="262" spans="2:8">
      <c r="B262" s="5"/>
      <c r="H262" s="16"/>
    </row>
    <row r="263" spans="2:8">
      <c r="B263" s="5"/>
      <c r="H263" s="16"/>
    </row>
    <row r="264" spans="2:8">
      <c r="B264" s="5"/>
      <c r="H264" s="16"/>
    </row>
    <row r="265" spans="2:8">
      <c r="B265" s="5"/>
      <c r="H265" s="16"/>
    </row>
    <row r="266" spans="2:8">
      <c r="B266" s="5"/>
      <c r="H266" s="16"/>
    </row>
    <row r="267" spans="2:8">
      <c r="B267" s="5"/>
      <c r="H267" s="16"/>
    </row>
    <row r="268" spans="2:8">
      <c r="B268" s="5"/>
      <c r="H268" s="16"/>
    </row>
    <row r="269" spans="2:8">
      <c r="B269" s="5"/>
      <c r="H269" s="16"/>
    </row>
    <row r="270" spans="2:8">
      <c r="B270" s="5"/>
      <c r="H270" s="16"/>
    </row>
    <row r="271" spans="2:8">
      <c r="B271" s="5"/>
      <c r="H271" s="16"/>
    </row>
    <row r="272" spans="2:8">
      <c r="B272" s="5"/>
      <c r="H272" s="16"/>
    </row>
    <row r="273" spans="2:8">
      <c r="B273" s="5"/>
      <c r="H273" s="16"/>
    </row>
    <row r="274" spans="2:8">
      <c r="B274" s="5"/>
      <c r="H274" s="16"/>
    </row>
    <row r="275" spans="2:8">
      <c r="B275" s="5"/>
      <c r="H275" s="16"/>
    </row>
    <row r="276" spans="2:8">
      <c r="B276" s="5"/>
      <c r="H276" s="16"/>
    </row>
    <row r="277" spans="2:8">
      <c r="B277" s="5"/>
      <c r="H277" s="16"/>
    </row>
    <row r="278" spans="2:8">
      <c r="B278" s="5"/>
      <c r="H278" s="16"/>
    </row>
    <row r="279" spans="2:8">
      <c r="B279" s="5"/>
      <c r="H279" s="16"/>
    </row>
    <row r="280" spans="2:8">
      <c r="B280" s="5"/>
      <c r="H280" s="16"/>
    </row>
    <row r="281" spans="2:8">
      <c r="B281" s="5"/>
      <c r="H281" s="16"/>
    </row>
    <row r="282" spans="2:8">
      <c r="B282" s="5"/>
      <c r="H282" s="16"/>
    </row>
    <row r="283" spans="2:8">
      <c r="B283" s="5"/>
      <c r="H283" s="16"/>
    </row>
    <row r="284" spans="2:8">
      <c r="B284" s="5"/>
      <c r="H284" s="16"/>
    </row>
    <row r="285" spans="2:8">
      <c r="B285" s="5"/>
      <c r="H285" s="16"/>
    </row>
    <row r="286" spans="2:8">
      <c r="B286" s="5"/>
      <c r="H286" s="16"/>
    </row>
    <row r="287" spans="2:8">
      <c r="B287" s="5"/>
      <c r="H287" s="16"/>
    </row>
    <row r="288" spans="2:8">
      <c r="B288" s="5"/>
      <c r="H288" s="16"/>
    </row>
    <row r="289" spans="2:8">
      <c r="B289" s="5"/>
      <c r="H289" s="16"/>
    </row>
    <row r="290" spans="2:8">
      <c r="B290" s="5"/>
      <c r="H290" s="16"/>
    </row>
    <row r="291" spans="2:8">
      <c r="B291" s="5"/>
      <c r="H291" s="16"/>
    </row>
    <row r="292" spans="2:8">
      <c r="B292" s="5"/>
      <c r="H292" s="16"/>
    </row>
    <row r="293" spans="2:8">
      <c r="B293" s="5"/>
      <c r="H293" s="16"/>
    </row>
    <row r="294" spans="2:8">
      <c r="B294" s="5"/>
      <c r="H294" s="16"/>
    </row>
    <row r="295" spans="2:8">
      <c r="B295" s="5"/>
      <c r="H295" s="16"/>
    </row>
    <row r="296" spans="2:8">
      <c r="B296" s="5"/>
      <c r="H296" s="16"/>
    </row>
    <row r="297" spans="2:8">
      <c r="B297" s="5"/>
      <c r="H297" s="16"/>
    </row>
    <row r="298" spans="2:8">
      <c r="B298" s="5"/>
      <c r="H298" s="16"/>
    </row>
    <row r="299" spans="2:8">
      <c r="B299" s="5"/>
      <c r="H299" s="16"/>
    </row>
    <row r="300" spans="2:8">
      <c r="B300" s="5"/>
      <c r="H300" s="16"/>
    </row>
    <row r="301" spans="2:8">
      <c r="B301" s="5"/>
      <c r="H301" s="16"/>
    </row>
    <row r="302" spans="2:8">
      <c r="B302" s="5"/>
      <c r="H302" s="16"/>
    </row>
    <row r="303" spans="2:8">
      <c r="B303" s="5"/>
      <c r="H303" s="16"/>
    </row>
    <row r="304" spans="2:8">
      <c r="B304" s="5"/>
      <c r="H304" s="16"/>
    </row>
    <row r="305" spans="2:8">
      <c r="B305" s="5"/>
      <c r="H305" s="16"/>
    </row>
    <row r="306" spans="2:8">
      <c r="B306" s="5"/>
      <c r="H306" s="16"/>
    </row>
    <row r="307" spans="2:8">
      <c r="B307" s="5"/>
      <c r="H307" s="16"/>
    </row>
    <row r="308" spans="2:8">
      <c r="B308" s="5"/>
      <c r="H308" s="16"/>
    </row>
    <row r="309" spans="2:8">
      <c r="B309" s="5"/>
      <c r="H309" s="16"/>
    </row>
    <row r="310" spans="2:8">
      <c r="B310" s="5"/>
      <c r="H310" s="16"/>
    </row>
    <row r="311" spans="2:8">
      <c r="B311" s="5"/>
      <c r="H311" s="16"/>
    </row>
    <row r="312" spans="2:8">
      <c r="B312" s="5"/>
      <c r="H312" s="16"/>
    </row>
    <row r="313" spans="2:8">
      <c r="B313" s="5"/>
      <c r="H313" s="16"/>
    </row>
    <row r="314" spans="2:8">
      <c r="B314" s="5"/>
      <c r="H314" s="16"/>
    </row>
    <row r="315" spans="2:8">
      <c r="B315" s="5"/>
      <c r="H315" s="16"/>
    </row>
    <row r="316" spans="2:8">
      <c r="B316" s="5"/>
      <c r="H316" s="16"/>
    </row>
    <row r="317" spans="2:8">
      <c r="B317" s="5"/>
      <c r="H317" s="16"/>
    </row>
    <row r="318" spans="2:8">
      <c r="B318" s="5"/>
      <c r="H318" s="16"/>
    </row>
    <row r="319" spans="2:8">
      <c r="B319" s="5"/>
      <c r="H319" s="16"/>
    </row>
    <row r="320" spans="2:8">
      <c r="B320" s="5"/>
      <c r="H320" s="16"/>
    </row>
    <row r="321" spans="2:8">
      <c r="B321" s="5"/>
      <c r="H321" s="16"/>
    </row>
    <row r="322" spans="2:8">
      <c r="B322" s="5"/>
      <c r="H322" s="16"/>
    </row>
    <row r="323" spans="2:8">
      <c r="B323" s="5"/>
      <c r="H323" s="16"/>
    </row>
    <row r="324" spans="2:8">
      <c r="B324" s="5"/>
      <c r="H324" s="16"/>
    </row>
    <row r="325" spans="2:8">
      <c r="B325" s="5"/>
      <c r="H325" s="16"/>
    </row>
    <row r="326" spans="2:8">
      <c r="B326" s="5"/>
      <c r="H326" s="16"/>
    </row>
    <row r="327" spans="2:8">
      <c r="B327" s="5"/>
      <c r="H327" s="16"/>
    </row>
    <row r="328" spans="2:8">
      <c r="B328" s="5"/>
      <c r="H328" s="16"/>
    </row>
    <row r="329" spans="2:8">
      <c r="B329" s="5"/>
      <c r="H329" s="16"/>
    </row>
    <row r="330" spans="2:8">
      <c r="B330" s="5"/>
      <c r="H330" s="16"/>
    </row>
    <row r="331" spans="2:8">
      <c r="B331" s="5"/>
      <c r="H331" s="16"/>
    </row>
    <row r="332" spans="2:8">
      <c r="B332" s="5"/>
      <c r="H332" s="16"/>
    </row>
    <row r="333" spans="2:8">
      <c r="B333" s="5"/>
      <c r="H333" s="16"/>
    </row>
    <row r="334" spans="2:8">
      <c r="B334" s="5"/>
      <c r="H334" s="16"/>
    </row>
    <row r="335" spans="2:8">
      <c r="B335" s="5"/>
      <c r="H335" s="16"/>
    </row>
    <row r="336" spans="2:8">
      <c r="B336" s="5"/>
      <c r="H336" s="16"/>
    </row>
    <row r="337" spans="2:8">
      <c r="B337" s="5"/>
      <c r="H337" s="16"/>
    </row>
    <row r="338" spans="2:8">
      <c r="B338" s="5"/>
      <c r="H338" s="16"/>
    </row>
    <row r="339" spans="2:8">
      <c r="B339" s="5"/>
      <c r="H339" s="16"/>
    </row>
    <row r="340" spans="2:8">
      <c r="B340" s="5"/>
      <c r="H340" s="16"/>
    </row>
    <row r="341" spans="2:8">
      <c r="B341" s="5"/>
      <c r="H341" s="16"/>
    </row>
    <row r="342" spans="2:8">
      <c r="B342" s="5"/>
      <c r="H342" s="16"/>
    </row>
    <row r="343" spans="2:8">
      <c r="B343" s="5"/>
      <c r="H343" s="16"/>
    </row>
    <row r="344" spans="2:8">
      <c r="B344" s="5"/>
      <c r="H344" s="16"/>
    </row>
    <row r="345" spans="2:8">
      <c r="B345" s="5"/>
      <c r="H345" s="16"/>
    </row>
    <row r="346" spans="2:8">
      <c r="B346" s="5"/>
      <c r="H346" s="16"/>
    </row>
    <row r="347" spans="2:8">
      <c r="B347" s="5"/>
      <c r="H347" s="16"/>
    </row>
    <row r="348" spans="2:8">
      <c r="B348" s="5"/>
      <c r="H348" s="16"/>
    </row>
    <row r="349" spans="2:8">
      <c r="B349" s="5"/>
      <c r="H349" s="16"/>
    </row>
    <row r="350" spans="2:8">
      <c r="B350" s="5"/>
      <c r="H350" s="16"/>
    </row>
    <row r="351" spans="2:8">
      <c r="B351" s="5"/>
      <c r="H351" s="16"/>
    </row>
    <row r="352" spans="2:8">
      <c r="B352" s="5"/>
      <c r="H352" s="16"/>
    </row>
    <row r="353" spans="2:8">
      <c r="B353" s="5"/>
      <c r="H353" s="16"/>
    </row>
    <row r="354" spans="2:8">
      <c r="B354" s="5"/>
      <c r="H354" s="16"/>
    </row>
    <row r="355" spans="2:8">
      <c r="B355" s="5"/>
      <c r="H355" s="16"/>
    </row>
    <row r="356" spans="2:8">
      <c r="B356" s="5"/>
      <c r="H356" s="16"/>
    </row>
    <row r="357" spans="2:8">
      <c r="B357" s="5"/>
      <c r="H357" s="16"/>
    </row>
    <row r="358" spans="2:8">
      <c r="B358" s="5"/>
      <c r="H358" s="16"/>
    </row>
    <row r="359" spans="2:8">
      <c r="B359" s="5"/>
      <c r="H359" s="16"/>
    </row>
    <row r="360" spans="2:8">
      <c r="B360" s="5"/>
      <c r="H360" s="16"/>
    </row>
    <row r="361" spans="2:8">
      <c r="B361" s="5"/>
      <c r="H361" s="16"/>
    </row>
    <row r="362" spans="2:8">
      <c r="B362" s="5"/>
      <c r="H362" s="16"/>
    </row>
    <row r="363" spans="2:8">
      <c r="B363" s="5"/>
      <c r="H363" s="16"/>
    </row>
    <row r="364" spans="2:8">
      <c r="B364" s="5"/>
      <c r="H364" s="16"/>
    </row>
    <row r="365" spans="2:8">
      <c r="B365" s="5"/>
      <c r="H365" s="16"/>
    </row>
    <row r="366" spans="2:8">
      <c r="B366" s="5"/>
      <c r="H366" s="16"/>
    </row>
    <row r="367" spans="2:8">
      <c r="B367" s="5"/>
      <c r="H367" s="16"/>
    </row>
    <row r="368" spans="2:8">
      <c r="B368" s="5"/>
      <c r="H368" s="16"/>
    </row>
    <row r="369" spans="2:8">
      <c r="B369" s="5"/>
      <c r="H369" s="16"/>
    </row>
    <row r="370" spans="2:8">
      <c r="B370" s="5"/>
      <c r="H370" s="16"/>
    </row>
    <row r="371" spans="2:8">
      <c r="B371" s="5"/>
      <c r="H371" s="16"/>
    </row>
    <row r="372" spans="2:8">
      <c r="B372" s="5"/>
      <c r="H372" s="16"/>
    </row>
    <row r="373" spans="2:8">
      <c r="B373" s="5"/>
      <c r="H373" s="16"/>
    </row>
    <row r="374" spans="2:8">
      <c r="B374" s="5"/>
      <c r="H374" s="16"/>
    </row>
    <row r="375" spans="2:8">
      <c r="B375" s="5"/>
      <c r="H375" s="16"/>
    </row>
    <row r="376" spans="2:8">
      <c r="B376" s="5"/>
      <c r="H376" s="16"/>
    </row>
    <row r="377" spans="2:8">
      <c r="B377" s="5"/>
      <c r="H377" s="16"/>
    </row>
    <row r="378" spans="2:8">
      <c r="B378" s="5"/>
      <c r="H378" s="16"/>
    </row>
    <row r="379" spans="2:8">
      <c r="B379" s="5"/>
      <c r="H379" s="16"/>
    </row>
    <row r="380" spans="2:8">
      <c r="B380" s="5"/>
      <c r="H380" s="16"/>
    </row>
    <row r="381" spans="2:8">
      <c r="B381" s="5"/>
      <c r="H381" s="16"/>
    </row>
    <row r="382" spans="2:8">
      <c r="B382" s="5"/>
      <c r="H382" s="16"/>
    </row>
    <row r="383" spans="2:8">
      <c r="B383" s="5"/>
      <c r="H383" s="16"/>
    </row>
    <row r="384" spans="2:8">
      <c r="B384" s="5"/>
      <c r="H384" s="16"/>
    </row>
    <row r="385" spans="2:8">
      <c r="B385" s="5"/>
      <c r="H385" s="16"/>
    </row>
    <row r="386" spans="2:8">
      <c r="B386" s="5"/>
      <c r="H386" s="16"/>
    </row>
    <row r="387" spans="2:8">
      <c r="B387" s="5"/>
      <c r="H387" s="16"/>
    </row>
    <row r="388" spans="2:8">
      <c r="B388" s="5"/>
      <c r="H388" s="16"/>
    </row>
    <row r="389" spans="2:8">
      <c r="B389" s="5"/>
      <c r="H389" s="16"/>
    </row>
    <row r="390" spans="2:8">
      <c r="B390" s="5"/>
      <c r="H390" s="16"/>
    </row>
    <row r="391" spans="2:8">
      <c r="B391" s="5"/>
      <c r="H391" s="16"/>
    </row>
    <row r="392" spans="2:8">
      <c r="B392" s="5"/>
      <c r="H392" s="16"/>
    </row>
    <row r="393" spans="2:8">
      <c r="B393" s="5"/>
      <c r="H393" s="16"/>
    </row>
    <row r="394" spans="2:8">
      <c r="B394" s="5"/>
      <c r="H394" s="16"/>
    </row>
    <row r="395" spans="2:8">
      <c r="B395" s="5"/>
      <c r="H395" s="16"/>
    </row>
    <row r="396" spans="2:8">
      <c r="B396" s="5"/>
      <c r="H396" s="16"/>
    </row>
    <row r="397" spans="2:8">
      <c r="B397" s="5"/>
      <c r="H397" s="16"/>
    </row>
    <row r="398" spans="2:8">
      <c r="B398" s="5"/>
      <c r="H398" s="16"/>
    </row>
    <row r="399" spans="2:8">
      <c r="B399" s="5"/>
      <c r="H399" s="16"/>
    </row>
    <row r="400" spans="2:8">
      <c r="B400" s="5"/>
      <c r="H400" s="16"/>
    </row>
    <row r="401" spans="2:8">
      <c r="B401" s="5"/>
      <c r="H401" s="16"/>
    </row>
    <row r="402" spans="2:8">
      <c r="B402" s="5"/>
      <c r="H402" s="16"/>
    </row>
    <row r="403" spans="2:8">
      <c r="B403" s="5"/>
      <c r="H403" s="16"/>
    </row>
    <row r="404" spans="2:8">
      <c r="B404" s="5"/>
      <c r="H404" s="16"/>
    </row>
    <row r="405" spans="2:8">
      <c r="B405" s="5"/>
      <c r="H405" s="16"/>
    </row>
    <row r="406" spans="2:8">
      <c r="B406" s="5"/>
      <c r="H406" s="16"/>
    </row>
    <row r="407" spans="2:8">
      <c r="B407" s="5"/>
      <c r="H407" s="16"/>
    </row>
    <row r="408" spans="2:8">
      <c r="B408" s="5"/>
      <c r="H408" s="16"/>
    </row>
    <row r="409" spans="2:8">
      <c r="B409" s="5"/>
      <c r="H409" s="16"/>
    </row>
    <row r="410" spans="2:8">
      <c r="B410" s="5"/>
      <c r="H410" s="16"/>
    </row>
    <row r="411" spans="2:8">
      <c r="B411" s="5"/>
      <c r="H411" s="16"/>
    </row>
    <row r="412" spans="2:8">
      <c r="B412" s="5"/>
      <c r="H412" s="16"/>
    </row>
    <row r="413" spans="2:8">
      <c r="B413" s="5"/>
      <c r="H413" s="16"/>
    </row>
    <row r="414" spans="2:8">
      <c r="B414" s="5"/>
      <c r="H414" s="16"/>
    </row>
    <row r="415" spans="2:8">
      <c r="B415" s="5"/>
      <c r="H415" s="16"/>
    </row>
    <row r="416" spans="2:8">
      <c r="B416" s="5"/>
      <c r="H416" s="16"/>
    </row>
    <row r="417" spans="2:8">
      <c r="B417" s="5"/>
      <c r="H417" s="16"/>
    </row>
    <row r="418" spans="2:8">
      <c r="B418" s="5"/>
      <c r="H418" s="16"/>
    </row>
    <row r="419" spans="2:8">
      <c r="B419" s="5"/>
      <c r="H419" s="16"/>
    </row>
    <row r="420" spans="2:8">
      <c r="B420" s="5"/>
      <c r="H420" s="16"/>
    </row>
    <row r="421" spans="2:8">
      <c r="B421" s="5"/>
      <c r="H421" s="16"/>
    </row>
    <row r="422" spans="2:8">
      <c r="B422" s="5"/>
      <c r="H422" s="16"/>
    </row>
    <row r="423" spans="2:8">
      <c r="B423" s="5"/>
      <c r="H423" s="16"/>
    </row>
    <row r="424" spans="2:8">
      <c r="B424" s="5"/>
      <c r="H424" s="16"/>
    </row>
    <row r="425" spans="2:8">
      <c r="B425" s="5"/>
      <c r="H425" s="16"/>
    </row>
    <row r="426" spans="2:8">
      <c r="B426" s="5"/>
      <c r="H426" s="16"/>
    </row>
    <row r="427" spans="2:8">
      <c r="B427" s="5"/>
      <c r="H427" s="16"/>
    </row>
    <row r="428" spans="2:8">
      <c r="B428" s="5"/>
      <c r="H428" s="16"/>
    </row>
    <row r="429" spans="2:8">
      <c r="B429" s="5"/>
      <c r="H429" s="16"/>
    </row>
    <row r="430" spans="2:8">
      <c r="B430" s="5"/>
      <c r="H430" s="16"/>
    </row>
    <row r="431" spans="2:8">
      <c r="B431" s="5"/>
      <c r="H431" s="16"/>
    </row>
    <row r="432" spans="2:8">
      <c r="B432" s="5"/>
      <c r="H432" s="16"/>
    </row>
    <row r="433" spans="2:8">
      <c r="B433" s="5"/>
      <c r="H433" s="16"/>
    </row>
    <row r="434" spans="2:8">
      <c r="B434" s="5"/>
      <c r="H434" s="16"/>
    </row>
    <row r="435" spans="2:8">
      <c r="B435" s="5"/>
      <c r="H435" s="16"/>
    </row>
    <row r="436" spans="2:8">
      <c r="B436" s="5"/>
      <c r="H436" s="16"/>
    </row>
    <row r="437" spans="2:8">
      <c r="B437" s="5"/>
      <c r="H437" s="16"/>
    </row>
    <row r="438" spans="2:8">
      <c r="B438" s="5"/>
      <c r="H438" s="16"/>
    </row>
    <row r="439" spans="2:8">
      <c r="B439" s="5"/>
      <c r="H439" s="16"/>
    </row>
    <row r="440" spans="2:8">
      <c r="B440" s="5"/>
      <c r="H440" s="16"/>
    </row>
    <row r="441" spans="2:8">
      <c r="B441" s="5"/>
      <c r="H441" s="16"/>
    </row>
    <row r="442" spans="2:8">
      <c r="B442" s="5"/>
      <c r="H442" s="16"/>
    </row>
    <row r="443" spans="2:8">
      <c r="B443" s="5"/>
      <c r="H443" s="16"/>
    </row>
    <row r="444" spans="2:8">
      <c r="B444" s="5"/>
      <c r="H444" s="16"/>
    </row>
    <row r="445" spans="2:8">
      <c r="B445" s="5"/>
      <c r="H445" s="16"/>
    </row>
    <row r="446" spans="2:8">
      <c r="B446" s="5"/>
      <c r="H446" s="16"/>
    </row>
    <row r="447" spans="2:8">
      <c r="B447" s="5"/>
      <c r="H447" s="16"/>
    </row>
    <row r="448" spans="2:8">
      <c r="B448" s="5"/>
      <c r="H448" s="16"/>
    </row>
    <row r="449" spans="2:8">
      <c r="B449" s="5"/>
      <c r="H449" s="16"/>
    </row>
    <row r="450" spans="2:8">
      <c r="B450" s="5"/>
      <c r="H450" s="16"/>
    </row>
    <row r="451" spans="2:8">
      <c r="B451" s="5"/>
      <c r="H451" s="16"/>
    </row>
    <row r="452" spans="2:8">
      <c r="B452" s="5"/>
      <c r="H452" s="16"/>
    </row>
    <row r="453" spans="2:8">
      <c r="B453" s="5"/>
      <c r="H453" s="16"/>
    </row>
    <row r="454" spans="2:8">
      <c r="B454" s="5"/>
      <c r="H454" s="16"/>
    </row>
    <row r="455" spans="2:8">
      <c r="B455" s="5"/>
      <c r="H455" s="16"/>
    </row>
    <row r="456" spans="2:8">
      <c r="B456" s="5"/>
      <c r="H456" s="16"/>
    </row>
    <row r="457" spans="2:8">
      <c r="B457" s="5"/>
      <c r="H457" s="16"/>
    </row>
    <row r="458" spans="2:8">
      <c r="B458" s="5"/>
      <c r="H458" s="16"/>
    </row>
    <row r="459" spans="2:8">
      <c r="B459" s="5"/>
      <c r="H459" s="16"/>
    </row>
    <row r="460" spans="2:8">
      <c r="B460" s="5"/>
      <c r="H460" s="16"/>
    </row>
    <row r="461" spans="2:8">
      <c r="B461" s="5"/>
      <c r="H461" s="16"/>
    </row>
    <row r="462" spans="2:8">
      <c r="B462" s="5"/>
      <c r="H462" s="16"/>
    </row>
    <row r="463" spans="2:8">
      <c r="B463" s="5"/>
      <c r="H463" s="16"/>
    </row>
    <row r="464" spans="2:8">
      <c r="B464" s="5"/>
      <c r="H464" s="16"/>
    </row>
    <row r="465" spans="2:8">
      <c r="B465" s="5"/>
      <c r="H465" s="16"/>
    </row>
    <row r="466" spans="2:8">
      <c r="B466" s="5"/>
      <c r="H466" s="16"/>
    </row>
    <row r="467" spans="2:8">
      <c r="B467" s="5"/>
      <c r="H467" s="16"/>
    </row>
    <row r="468" spans="2:8">
      <c r="B468" s="5"/>
      <c r="H468" s="16"/>
    </row>
    <row r="469" spans="2:8">
      <c r="B469" s="5"/>
      <c r="H469" s="16"/>
    </row>
    <row r="470" spans="2:8">
      <c r="B470" s="5"/>
      <c r="H470" s="16"/>
    </row>
    <row r="471" spans="2:8">
      <c r="B471" s="5"/>
      <c r="H471" s="16"/>
    </row>
    <row r="472" spans="2:8">
      <c r="B472" s="5"/>
      <c r="H472" s="16"/>
    </row>
    <row r="473" spans="2:8">
      <c r="B473" s="5"/>
      <c r="H473" s="16"/>
    </row>
    <row r="474" spans="2:8">
      <c r="B474" s="5"/>
      <c r="H474" s="16"/>
    </row>
    <row r="475" spans="2:8">
      <c r="B475" s="5"/>
      <c r="H475" s="16"/>
    </row>
    <row r="476" spans="2:8">
      <c r="B476" s="5"/>
      <c r="H476" s="16"/>
    </row>
    <row r="477" spans="2:8">
      <c r="B477" s="5"/>
      <c r="H477" s="16"/>
    </row>
    <row r="478" spans="2:8">
      <c r="B478" s="5"/>
      <c r="H478" s="16"/>
    </row>
    <row r="479" spans="2:8">
      <c r="B479" s="5"/>
      <c r="H479" s="16"/>
    </row>
    <row r="480" spans="2:8">
      <c r="B480" s="5"/>
      <c r="H480" s="16"/>
    </row>
    <row r="481" spans="2:8">
      <c r="B481" s="5"/>
      <c r="H481" s="16"/>
    </row>
    <row r="482" spans="2:8">
      <c r="B482" s="5"/>
      <c r="H482" s="16"/>
    </row>
    <row r="483" spans="2:8">
      <c r="B483" s="5"/>
      <c r="H483" s="16"/>
    </row>
    <row r="484" spans="2:8">
      <c r="B484" s="5"/>
      <c r="H484" s="16"/>
    </row>
    <row r="485" spans="2:8">
      <c r="B485" s="5"/>
      <c r="H485" s="16"/>
    </row>
    <row r="486" spans="2:8">
      <c r="B486" s="5"/>
      <c r="H486" s="16"/>
    </row>
    <row r="487" spans="2:8">
      <c r="B487" s="5"/>
      <c r="H487" s="16"/>
    </row>
    <row r="488" spans="2:8">
      <c r="B488" s="5"/>
      <c r="H488" s="16"/>
    </row>
    <row r="489" spans="2:8">
      <c r="B489" s="5"/>
      <c r="H489" s="16"/>
    </row>
    <row r="490" spans="2:8">
      <c r="B490" s="5"/>
      <c r="H490" s="16"/>
    </row>
    <row r="491" spans="2:8">
      <c r="B491" s="5"/>
      <c r="H491" s="16"/>
    </row>
    <row r="492" spans="2:8">
      <c r="B492" s="5"/>
      <c r="H492" s="16"/>
    </row>
    <row r="493" spans="2:8">
      <c r="B493" s="5"/>
      <c r="H493" s="16"/>
    </row>
    <row r="494" spans="2:8">
      <c r="B494" s="5"/>
      <c r="H494" s="16"/>
    </row>
    <row r="495" spans="2:8">
      <c r="B495" s="5"/>
      <c r="H495" s="16"/>
    </row>
    <row r="496" spans="2:8">
      <c r="B496" s="5"/>
      <c r="H496" s="16"/>
    </row>
    <row r="497" spans="2:8">
      <c r="B497" s="5"/>
      <c r="H497" s="16"/>
    </row>
    <row r="498" spans="2:8">
      <c r="B498" s="5"/>
      <c r="H498" s="16"/>
    </row>
    <row r="499" spans="2:8">
      <c r="B499" s="5"/>
      <c r="H499" s="16"/>
    </row>
    <row r="500" spans="2:8">
      <c r="B500" s="5"/>
      <c r="H500" s="16"/>
    </row>
    <row r="501" spans="2:8">
      <c r="B501" s="5"/>
      <c r="H501" s="16"/>
    </row>
    <row r="502" spans="2:8">
      <c r="B502" s="5"/>
      <c r="H502" s="16"/>
    </row>
    <row r="503" spans="2:8">
      <c r="B503" s="5"/>
      <c r="H503" s="16"/>
    </row>
    <row r="504" spans="2:8">
      <c r="B504" s="5"/>
      <c r="H504" s="16"/>
    </row>
    <row r="505" spans="2:8">
      <c r="B505" s="5"/>
      <c r="H505" s="16"/>
    </row>
    <row r="506" spans="2:8">
      <c r="B506" s="5"/>
      <c r="H506" s="16"/>
    </row>
    <row r="507" spans="2:8">
      <c r="B507" s="5"/>
      <c r="H507" s="16"/>
    </row>
    <row r="508" spans="2:8">
      <c r="B508" s="5"/>
      <c r="H508" s="16"/>
    </row>
    <row r="509" spans="2:8">
      <c r="B509" s="5"/>
      <c r="H509" s="16"/>
    </row>
    <row r="510" spans="2:8">
      <c r="B510" s="5"/>
      <c r="H510" s="16"/>
    </row>
    <row r="511" spans="2:8">
      <c r="B511" s="5"/>
      <c r="H511" s="16"/>
    </row>
    <row r="512" spans="2:8">
      <c r="B512" s="5"/>
      <c r="H512" s="16"/>
    </row>
    <row r="513" spans="2:8">
      <c r="B513" s="5"/>
      <c r="H513" s="16"/>
    </row>
    <row r="514" spans="2:8">
      <c r="B514" s="5"/>
      <c r="H514" s="16"/>
    </row>
    <row r="515" spans="2:8">
      <c r="B515" s="5"/>
      <c r="H515" s="16"/>
    </row>
    <row r="516" spans="2:8">
      <c r="B516" s="5"/>
      <c r="H516" s="16"/>
    </row>
    <row r="517" spans="2:8">
      <c r="B517" s="5"/>
      <c r="H517" s="16"/>
    </row>
    <row r="518" spans="2:8">
      <c r="B518" s="5"/>
      <c r="H518" s="16"/>
    </row>
    <row r="519" spans="2:8">
      <c r="B519" s="5"/>
      <c r="H519" s="16"/>
    </row>
    <row r="520" spans="2:8">
      <c r="B520" s="5"/>
      <c r="H520" s="16"/>
    </row>
    <row r="521" spans="2:8">
      <c r="B521" s="5"/>
      <c r="H521" s="16"/>
    </row>
    <row r="522" spans="2:8">
      <c r="B522" s="5"/>
      <c r="H522" s="16"/>
    </row>
    <row r="523" spans="2:8">
      <c r="B523" s="5"/>
      <c r="H523" s="16"/>
    </row>
    <row r="524" spans="2:8">
      <c r="B524" s="5"/>
      <c r="H524" s="16"/>
    </row>
    <row r="525" spans="2:8">
      <c r="B525" s="5"/>
      <c r="H525" s="16"/>
    </row>
    <row r="526" spans="2:8">
      <c r="B526" s="5"/>
      <c r="H526" s="16"/>
    </row>
    <row r="527" spans="2:8">
      <c r="B527" s="5"/>
      <c r="H527" s="16"/>
    </row>
    <row r="528" spans="2:8">
      <c r="B528" s="5"/>
      <c r="H528" s="16"/>
    </row>
    <row r="529" spans="2:8">
      <c r="B529" s="5"/>
      <c r="H529" s="16"/>
    </row>
    <row r="530" spans="2:8">
      <c r="B530" s="5"/>
      <c r="H530" s="16"/>
    </row>
    <row r="531" spans="2:8">
      <c r="B531" s="5"/>
      <c r="H531" s="16"/>
    </row>
    <row r="532" spans="2:8">
      <c r="B532" s="5"/>
      <c r="H532" s="16"/>
    </row>
    <row r="533" spans="2:8">
      <c r="B533" s="5"/>
      <c r="H533" s="16"/>
    </row>
    <row r="534" spans="2:8">
      <c r="B534" s="5"/>
      <c r="H534" s="16"/>
    </row>
    <row r="535" spans="2:8">
      <c r="B535" s="5"/>
      <c r="H535" s="16"/>
    </row>
    <row r="536" spans="2:8">
      <c r="B536" s="5"/>
      <c r="H536" s="16"/>
    </row>
    <row r="537" spans="2:8">
      <c r="B537" s="5"/>
      <c r="H537" s="16"/>
    </row>
    <row r="538" spans="2:8">
      <c r="B538" s="5"/>
      <c r="H538" s="16"/>
    </row>
    <row r="539" spans="2:8">
      <c r="B539" s="5"/>
      <c r="H539" s="16"/>
    </row>
    <row r="540" spans="2:8">
      <c r="B540" s="5"/>
      <c r="H540" s="16"/>
    </row>
    <row r="541" spans="2:8">
      <c r="B541" s="5"/>
      <c r="H541" s="16"/>
    </row>
    <row r="542" spans="2:8">
      <c r="B542" s="5"/>
      <c r="H542" s="16"/>
    </row>
    <row r="543" spans="2:8">
      <c r="B543" s="5"/>
      <c r="H543" s="16"/>
    </row>
    <row r="544" spans="2:8">
      <c r="B544" s="5"/>
      <c r="H544" s="16"/>
    </row>
    <row r="545" spans="2:8">
      <c r="B545" s="5"/>
      <c r="H545" s="16"/>
    </row>
    <row r="546" spans="2:8">
      <c r="B546" s="5"/>
      <c r="H546" s="16"/>
    </row>
    <row r="547" spans="2:8">
      <c r="B547" s="5"/>
      <c r="H547" s="16"/>
    </row>
    <row r="548" spans="2:8">
      <c r="B548" s="5"/>
      <c r="H548" s="16"/>
    </row>
    <row r="549" spans="2:8">
      <c r="B549" s="5"/>
      <c r="H549" s="16"/>
    </row>
    <row r="550" spans="2:8">
      <c r="B550" s="5"/>
      <c r="H550" s="16"/>
    </row>
    <row r="551" spans="2:8">
      <c r="B551" s="5"/>
      <c r="H551" s="16"/>
    </row>
    <row r="552" spans="2:8">
      <c r="B552" s="5"/>
      <c r="H552" s="16"/>
    </row>
    <row r="553" spans="2:8">
      <c r="B553" s="5"/>
      <c r="H553" s="16"/>
    </row>
    <row r="554" spans="2:8">
      <c r="B554" s="5"/>
      <c r="H554" s="16"/>
    </row>
    <row r="555" spans="2:8">
      <c r="B555" s="5"/>
      <c r="H555" s="16"/>
    </row>
    <row r="556" spans="2:8">
      <c r="B556" s="5"/>
      <c r="H556" s="16"/>
    </row>
    <row r="557" spans="2:8">
      <c r="B557" s="5"/>
      <c r="H557" s="16"/>
    </row>
    <row r="558" spans="2:8">
      <c r="B558" s="5"/>
      <c r="H558" s="16"/>
    </row>
    <row r="559" spans="2:8">
      <c r="B559" s="5"/>
      <c r="H559" s="16"/>
    </row>
    <row r="560" spans="2:8">
      <c r="B560" s="5"/>
      <c r="H560" s="16"/>
    </row>
    <row r="561" spans="2:8">
      <c r="B561" s="5"/>
      <c r="H561" s="16"/>
    </row>
    <row r="562" spans="2:8">
      <c r="B562" s="5"/>
      <c r="H562" s="16"/>
    </row>
    <row r="563" spans="2:8">
      <c r="B563" s="5"/>
      <c r="H563" s="16"/>
    </row>
    <row r="564" spans="2:8">
      <c r="B564" s="5"/>
      <c r="H564" s="16"/>
    </row>
    <row r="565" spans="2:8">
      <c r="B565" s="5"/>
      <c r="H565" s="16"/>
    </row>
    <row r="566" spans="2:8">
      <c r="B566" s="5"/>
      <c r="H566" s="16"/>
    </row>
    <row r="567" spans="2:8">
      <c r="B567" s="5"/>
      <c r="H567" s="16"/>
    </row>
    <row r="568" spans="2:8">
      <c r="B568" s="5"/>
      <c r="H568" s="16"/>
    </row>
    <row r="569" spans="2:8">
      <c r="B569" s="5"/>
      <c r="H569" s="16"/>
    </row>
    <row r="570" spans="2:8">
      <c r="B570" s="5"/>
      <c r="H570" s="16"/>
    </row>
    <row r="571" spans="2:8">
      <c r="B571" s="5"/>
      <c r="H571" s="16"/>
    </row>
    <row r="572" spans="2:8">
      <c r="B572" s="5"/>
      <c r="H572" s="16"/>
    </row>
    <row r="573" spans="2:8">
      <c r="B573" s="5"/>
      <c r="H573" s="16"/>
    </row>
    <row r="574" spans="2:8">
      <c r="B574" s="5"/>
      <c r="H574" s="16"/>
    </row>
    <row r="575" spans="2:8">
      <c r="B575" s="5"/>
      <c r="H575" s="16"/>
    </row>
    <row r="576" spans="2:8">
      <c r="B576" s="5"/>
      <c r="H576" s="16"/>
    </row>
    <row r="577" spans="2:8">
      <c r="B577" s="5"/>
      <c r="H577" s="16"/>
    </row>
    <row r="578" spans="2:8">
      <c r="B578" s="5"/>
      <c r="H578" s="16"/>
    </row>
    <row r="579" spans="2:8">
      <c r="B579" s="5"/>
      <c r="H579" s="16"/>
    </row>
    <row r="580" spans="2:8">
      <c r="B580" s="5"/>
      <c r="H580" s="16"/>
    </row>
    <row r="581" spans="2:8">
      <c r="B581" s="5"/>
      <c r="H581" s="16"/>
    </row>
    <row r="582" spans="2:8">
      <c r="B582" s="5"/>
      <c r="H582" s="16"/>
    </row>
    <row r="583" spans="2:8">
      <c r="B583" s="5"/>
      <c r="H583" s="16"/>
    </row>
    <row r="584" spans="2:8">
      <c r="B584" s="5"/>
      <c r="H584" s="16"/>
    </row>
    <row r="585" spans="2:8">
      <c r="B585" s="5"/>
      <c r="H585" s="16"/>
    </row>
    <row r="586" spans="2:8">
      <c r="B586" s="5"/>
      <c r="H586" s="16"/>
    </row>
    <row r="587" spans="2:8">
      <c r="B587" s="5"/>
      <c r="H587" s="16"/>
    </row>
    <row r="588" spans="2:8">
      <c r="B588" s="5"/>
      <c r="H588" s="16"/>
    </row>
    <row r="589" spans="2:8">
      <c r="B589" s="5"/>
      <c r="H589" s="16"/>
    </row>
    <row r="590" spans="2:8">
      <c r="B590" s="5"/>
      <c r="H590" s="16"/>
    </row>
    <row r="591" spans="2:8">
      <c r="B591" s="5"/>
      <c r="H591" s="16"/>
    </row>
    <row r="592" spans="2:8">
      <c r="B592" s="5"/>
      <c r="H592" s="16"/>
    </row>
    <row r="593" spans="2:8">
      <c r="B593" s="5"/>
      <c r="H593" s="16"/>
    </row>
    <row r="594" spans="2:8">
      <c r="B594" s="5"/>
      <c r="H594" s="16"/>
    </row>
    <row r="595" spans="2:8">
      <c r="B595" s="5"/>
      <c r="H595" s="16"/>
    </row>
    <row r="596" spans="2:8">
      <c r="B596" s="5"/>
      <c r="H596" s="16"/>
    </row>
    <row r="597" spans="2:8">
      <c r="B597" s="5"/>
      <c r="H597" s="16"/>
    </row>
    <row r="598" spans="2:8">
      <c r="B598" s="5"/>
      <c r="H598" s="16"/>
    </row>
    <row r="599" spans="2:8">
      <c r="B599" s="5"/>
      <c r="H599" s="16"/>
    </row>
    <row r="600" spans="2:8">
      <c r="B600" s="5"/>
      <c r="H600" s="16"/>
    </row>
    <row r="601" spans="2:8">
      <c r="B601" s="5"/>
      <c r="H601" s="16"/>
    </row>
    <row r="602" spans="2:8">
      <c r="B602" s="5"/>
      <c r="H602" s="16"/>
    </row>
    <row r="603" spans="2:8">
      <c r="B603" s="5"/>
      <c r="H603" s="16"/>
    </row>
    <row r="604" spans="2:8">
      <c r="B604" s="5"/>
      <c r="H604" s="16"/>
    </row>
    <row r="605" spans="2:8">
      <c r="B605" s="5"/>
      <c r="H605" s="16"/>
    </row>
    <row r="606" spans="2:8">
      <c r="B606" s="5"/>
      <c r="H606" s="16"/>
    </row>
    <row r="607" spans="2:8">
      <c r="B607" s="5"/>
      <c r="H607" s="16"/>
    </row>
    <row r="608" spans="2:8">
      <c r="B608" s="5"/>
      <c r="H608" s="16"/>
    </row>
    <row r="609" spans="2:8">
      <c r="B609" s="5"/>
      <c r="H609" s="16"/>
    </row>
    <row r="610" spans="2:8">
      <c r="B610" s="5"/>
      <c r="H610" s="16"/>
    </row>
    <row r="611" spans="2:8">
      <c r="B611" s="5"/>
      <c r="H611" s="16"/>
    </row>
    <row r="612" spans="2:8">
      <c r="B612" s="5"/>
      <c r="H612" s="16"/>
    </row>
    <row r="613" spans="2:8">
      <c r="B613" s="5"/>
      <c r="H613" s="16"/>
    </row>
    <row r="614" spans="2:8">
      <c r="B614" s="5"/>
      <c r="H614" s="16"/>
    </row>
    <row r="615" spans="2:8">
      <c r="B615" s="5"/>
      <c r="H615" s="16"/>
    </row>
    <row r="616" spans="2:8">
      <c r="B616" s="5"/>
      <c r="H616" s="16"/>
    </row>
    <row r="617" spans="2:8">
      <c r="B617" s="5"/>
      <c r="H617" s="16"/>
    </row>
    <row r="618" spans="2:8">
      <c r="B618" s="5"/>
      <c r="H618" s="16"/>
    </row>
    <row r="619" spans="2:8">
      <c r="B619" s="5"/>
      <c r="H619" s="16"/>
    </row>
    <row r="620" spans="2:8">
      <c r="B620" s="5"/>
      <c r="H620" s="16"/>
    </row>
    <row r="621" spans="2:8">
      <c r="B621" s="5"/>
      <c r="H621" s="16"/>
    </row>
    <row r="622" spans="2:8">
      <c r="B622" s="5"/>
      <c r="H622" s="16"/>
    </row>
    <row r="623" spans="2:8">
      <c r="B623" s="5"/>
      <c r="H623" s="16"/>
    </row>
    <row r="624" spans="2:8">
      <c r="B624" s="5"/>
      <c r="H624" s="16"/>
    </row>
    <row r="625" spans="2:8">
      <c r="B625" s="5"/>
      <c r="H625" s="16"/>
    </row>
    <row r="626" spans="2:8">
      <c r="B626" s="5"/>
      <c r="H626" s="16"/>
    </row>
    <row r="627" spans="2:8">
      <c r="B627" s="5"/>
      <c r="H627" s="16"/>
    </row>
    <row r="628" spans="2:8">
      <c r="B628" s="5"/>
      <c r="H628" s="16"/>
    </row>
    <row r="629" spans="2:8">
      <c r="B629" s="5"/>
      <c r="H629" s="16"/>
    </row>
    <row r="630" spans="2:8">
      <c r="B630" s="5"/>
      <c r="H630" s="16"/>
    </row>
    <row r="631" spans="2:8">
      <c r="B631" s="5"/>
      <c r="H631" s="16"/>
    </row>
    <row r="632" spans="2:8">
      <c r="B632" s="5"/>
      <c r="H632" s="16"/>
    </row>
    <row r="633" spans="2:8">
      <c r="B633" s="5"/>
      <c r="H633" s="16"/>
    </row>
    <row r="634" spans="2:8">
      <c r="B634" s="5"/>
      <c r="H634" s="16"/>
    </row>
    <row r="635" spans="2:8">
      <c r="B635" s="5"/>
      <c r="H635" s="16"/>
    </row>
    <row r="636" spans="2:8">
      <c r="B636" s="5"/>
      <c r="H636" s="16"/>
    </row>
    <row r="637" spans="2:8">
      <c r="B637" s="5"/>
      <c r="H637" s="16"/>
    </row>
    <row r="638" spans="2:8">
      <c r="B638" s="5"/>
      <c r="H638" s="16"/>
    </row>
    <row r="639" spans="2:8">
      <c r="B639" s="5"/>
      <c r="H639" s="16"/>
    </row>
    <row r="640" spans="2:8">
      <c r="B640" s="5"/>
      <c r="H640" s="16"/>
    </row>
    <row r="641" spans="2:8">
      <c r="B641" s="5"/>
      <c r="H641" s="16"/>
    </row>
    <row r="642" spans="2:8">
      <c r="B642" s="5"/>
      <c r="H642" s="16"/>
    </row>
    <row r="643" spans="2:8">
      <c r="B643" s="5"/>
      <c r="H643" s="16"/>
    </row>
    <row r="644" spans="2:8">
      <c r="B644" s="5"/>
      <c r="H644" s="16"/>
    </row>
    <row r="645" spans="2:8">
      <c r="B645" s="5"/>
      <c r="H645" s="16"/>
    </row>
    <row r="646" spans="2:8">
      <c r="B646" s="5"/>
      <c r="H646" s="16"/>
    </row>
    <row r="647" spans="2:8">
      <c r="B647" s="5"/>
      <c r="H647" s="16"/>
    </row>
    <row r="648" spans="2:8">
      <c r="B648" s="5"/>
      <c r="H648" s="16"/>
    </row>
    <row r="649" spans="2:8">
      <c r="B649" s="5"/>
      <c r="H649" s="16"/>
    </row>
    <row r="650" spans="2:8">
      <c r="B650" s="5"/>
      <c r="H650" s="16"/>
    </row>
    <row r="651" spans="2:8">
      <c r="B651" s="5"/>
      <c r="H651" s="16"/>
    </row>
    <row r="652" spans="2:8">
      <c r="B652" s="5"/>
      <c r="H652" s="16"/>
    </row>
    <row r="653" spans="2:8">
      <c r="B653" s="5"/>
      <c r="H653" s="16"/>
    </row>
    <row r="654" spans="2:8">
      <c r="B654" s="5"/>
      <c r="H654" s="16"/>
    </row>
    <row r="655" spans="2:8">
      <c r="B655" s="5"/>
      <c r="H655" s="16"/>
    </row>
    <row r="656" spans="2:8">
      <c r="B656" s="5"/>
      <c r="H656" s="16"/>
    </row>
    <row r="657" spans="2:8">
      <c r="B657" s="5"/>
      <c r="H657" s="16"/>
    </row>
    <row r="658" spans="2:8">
      <c r="B658" s="5"/>
      <c r="H658" s="16"/>
    </row>
    <row r="659" spans="2:8">
      <c r="B659" s="5"/>
      <c r="H659" s="16"/>
    </row>
    <row r="660" spans="2:8">
      <c r="B660" s="5"/>
      <c r="H660" s="16"/>
    </row>
    <row r="661" spans="2:8">
      <c r="B661" s="5"/>
      <c r="H661" s="16"/>
    </row>
    <row r="662" spans="2:8">
      <c r="B662" s="5"/>
      <c r="H662" s="16"/>
    </row>
    <row r="663" spans="2:8">
      <c r="B663" s="5"/>
      <c r="H663" s="16"/>
    </row>
    <row r="664" spans="2:8">
      <c r="B664" s="5"/>
      <c r="H664" s="16"/>
    </row>
    <row r="665" spans="2:8">
      <c r="B665" s="5"/>
      <c r="H665" s="16"/>
    </row>
    <row r="666" spans="2:8">
      <c r="B666" s="5"/>
      <c r="H666" s="16"/>
    </row>
    <row r="667" spans="2:8">
      <c r="B667" s="5"/>
      <c r="H667" s="16"/>
    </row>
    <row r="668" spans="2:8">
      <c r="B668" s="5"/>
      <c r="H668" s="16"/>
    </row>
    <row r="669" spans="2:8">
      <c r="B669" s="5"/>
      <c r="H669" s="16"/>
    </row>
    <row r="670" spans="2:8">
      <c r="B670" s="5"/>
      <c r="H670" s="16"/>
    </row>
    <row r="671" spans="2:8">
      <c r="B671" s="5"/>
      <c r="H671" s="16"/>
    </row>
    <row r="672" spans="2:8">
      <c r="B672" s="5"/>
      <c r="H672" s="16"/>
    </row>
    <row r="673" spans="2:8">
      <c r="B673" s="5"/>
      <c r="H673" s="16"/>
    </row>
    <row r="674" spans="2:8">
      <c r="B674" s="5"/>
      <c r="H674" s="16"/>
    </row>
    <row r="675" spans="2:8">
      <c r="B675" s="5"/>
      <c r="H675" s="16"/>
    </row>
    <row r="676" spans="2:8">
      <c r="B676" s="5"/>
      <c r="H676" s="16"/>
    </row>
    <row r="677" spans="2:8">
      <c r="B677" s="5"/>
      <c r="H677" s="16"/>
    </row>
    <row r="678" spans="2:8">
      <c r="B678" s="5"/>
      <c r="H678" s="16"/>
    </row>
    <row r="679" spans="2:8">
      <c r="B679" s="5"/>
      <c r="H679" s="16"/>
    </row>
    <row r="680" spans="2:8">
      <c r="B680" s="5"/>
      <c r="H680" s="16"/>
    </row>
    <row r="681" spans="2:8">
      <c r="B681" s="5"/>
      <c r="H681" s="16"/>
    </row>
    <row r="682" spans="2:8">
      <c r="B682" s="5"/>
      <c r="H682" s="16"/>
    </row>
    <row r="683" spans="2:8">
      <c r="B683" s="5"/>
      <c r="H683" s="16"/>
    </row>
    <row r="684" spans="2:8">
      <c r="B684" s="5"/>
      <c r="H684" s="16"/>
    </row>
    <row r="685" spans="2:8">
      <c r="B685" s="5"/>
      <c r="H685" s="16"/>
    </row>
    <row r="686" spans="2:8">
      <c r="B686" s="5"/>
      <c r="H686" s="16"/>
    </row>
    <row r="687" spans="2:8">
      <c r="B687" s="5"/>
      <c r="H687" s="16"/>
    </row>
    <row r="688" spans="2:8">
      <c r="B688" s="5"/>
      <c r="H688" s="16"/>
    </row>
    <row r="689" spans="2:8">
      <c r="B689" s="5"/>
      <c r="H689" s="16"/>
    </row>
    <row r="690" spans="2:8">
      <c r="B690" s="5"/>
      <c r="H690" s="16"/>
    </row>
    <row r="691" spans="2:8">
      <c r="B691" s="5"/>
      <c r="H691" s="16"/>
    </row>
    <row r="692" spans="2:8">
      <c r="B692" s="5"/>
      <c r="H692" s="16"/>
    </row>
    <row r="693" spans="2:8">
      <c r="B693" s="5"/>
      <c r="H693" s="16"/>
    </row>
    <row r="694" spans="2:8">
      <c r="B694" s="5"/>
      <c r="H694" s="16"/>
    </row>
    <row r="695" spans="2:8">
      <c r="B695" s="5"/>
      <c r="H695" s="16"/>
    </row>
    <row r="696" spans="2:8">
      <c r="B696" s="5"/>
      <c r="H696" s="16"/>
    </row>
    <row r="697" spans="2:8">
      <c r="B697" s="5"/>
      <c r="H697" s="16"/>
    </row>
    <row r="698" spans="2:8">
      <c r="B698" s="5"/>
      <c r="H698" s="16"/>
    </row>
    <row r="699" spans="2:8">
      <c r="B699" s="5"/>
      <c r="H699" s="16"/>
    </row>
    <row r="700" spans="2:8">
      <c r="B700" s="5"/>
      <c r="H700" s="16"/>
    </row>
    <row r="701" spans="2:8">
      <c r="B701" s="5"/>
      <c r="H701" s="16"/>
    </row>
    <row r="702" spans="2:8">
      <c r="B702" s="5"/>
      <c r="H702" s="16"/>
    </row>
    <row r="703" spans="2:8">
      <c r="B703" s="5"/>
      <c r="H703" s="16"/>
    </row>
    <row r="704" spans="2:8">
      <c r="B704" s="5"/>
      <c r="H704" s="16"/>
    </row>
    <row r="705" spans="2:8">
      <c r="B705" s="5"/>
      <c r="H705" s="16"/>
    </row>
    <row r="706" spans="2:8">
      <c r="B706" s="5"/>
      <c r="H706" s="16"/>
    </row>
    <row r="707" spans="2:8">
      <c r="B707" s="5"/>
      <c r="H707" s="16"/>
    </row>
    <row r="708" spans="2:8">
      <c r="B708" s="5"/>
      <c r="H708" s="16"/>
    </row>
    <row r="709" spans="2:8">
      <c r="B709" s="5"/>
      <c r="H709" s="16"/>
    </row>
    <row r="710" spans="2:8">
      <c r="B710" s="5"/>
      <c r="H710" s="16"/>
    </row>
    <row r="711" spans="2:8">
      <c r="B711" s="5"/>
      <c r="H711" s="16"/>
    </row>
    <row r="712" spans="2:8">
      <c r="B712" s="5"/>
      <c r="H712" s="16"/>
    </row>
    <row r="713" spans="2:8">
      <c r="B713" s="5"/>
      <c r="H713" s="16"/>
    </row>
    <row r="714" spans="2:8">
      <c r="B714" s="5"/>
      <c r="H714" s="16"/>
    </row>
    <row r="715" spans="2:8">
      <c r="B715" s="5"/>
      <c r="H715" s="16"/>
    </row>
    <row r="716" spans="2:8">
      <c r="B716" s="5"/>
      <c r="H716" s="16"/>
    </row>
    <row r="717" spans="2:8">
      <c r="B717" s="5"/>
      <c r="H717" s="16"/>
    </row>
    <row r="718" spans="2:8">
      <c r="B718" s="5"/>
      <c r="H718" s="16"/>
    </row>
    <row r="719" spans="2:8">
      <c r="B719" s="5"/>
      <c r="H719" s="16"/>
    </row>
    <row r="720" spans="2:8">
      <c r="B720" s="5"/>
      <c r="H720" s="16"/>
    </row>
    <row r="721" spans="2:8">
      <c r="B721" s="5"/>
      <c r="H721" s="16"/>
    </row>
    <row r="722" spans="2:8">
      <c r="B722" s="5"/>
      <c r="H722" s="16"/>
    </row>
    <row r="723" spans="2:8">
      <c r="B723" s="5"/>
      <c r="H723" s="16"/>
    </row>
    <row r="724" spans="2:8">
      <c r="B724" s="5"/>
      <c r="H724" s="16"/>
    </row>
    <row r="725" spans="2:8">
      <c r="B725" s="5"/>
      <c r="H725" s="16"/>
    </row>
    <row r="726" spans="2:8">
      <c r="B726" s="5"/>
      <c r="H726" s="16"/>
    </row>
    <row r="727" spans="2:8">
      <c r="B727" s="5"/>
      <c r="H727" s="16"/>
    </row>
    <row r="728" spans="2:8">
      <c r="B728" s="5"/>
      <c r="H728" s="16"/>
    </row>
    <row r="729" spans="2:8">
      <c r="B729" s="5"/>
      <c r="H729" s="16"/>
    </row>
    <row r="730" spans="2:8">
      <c r="B730" s="5"/>
      <c r="H730" s="16"/>
    </row>
    <row r="731" spans="2:8">
      <c r="B731" s="5"/>
      <c r="H731" s="16"/>
    </row>
    <row r="732" spans="2:8">
      <c r="B732" s="5"/>
      <c r="H732" s="16"/>
    </row>
    <row r="733" spans="2:8">
      <c r="B733" s="5"/>
      <c r="H733" s="16"/>
    </row>
    <row r="734" spans="2:8">
      <c r="B734" s="5"/>
      <c r="H734" s="16"/>
    </row>
    <row r="735" spans="2:8">
      <c r="B735" s="5"/>
      <c r="H735" s="16"/>
    </row>
    <row r="736" spans="2:8">
      <c r="B736" s="5"/>
      <c r="H736" s="16"/>
    </row>
    <row r="737" spans="2:8">
      <c r="B737" s="5"/>
      <c r="H737" s="16"/>
    </row>
    <row r="738" spans="2:8">
      <c r="B738" s="5"/>
      <c r="H738" s="16"/>
    </row>
    <row r="739" spans="2:8">
      <c r="B739" s="5"/>
      <c r="H739" s="16"/>
    </row>
    <row r="740" spans="2:8">
      <c r="B740" s="5"/>
      <c r="H740" s="16"/>
    </row>
    <row r="741" spans="2:8">
      <c r="B741" s="5"/>
      <c r="H741" s="16"/>
    </row>
    <row r="742" spans="2:8">
      <c r="B742" s="5"/>
      <c r="H742" s="16"/>
    </row>
    <row r="743" spans="2:8">
      <c r="B743" s="5"/>
      <c r="H743" s="16"/>
    </row>
    <row r="744" spans="2:8">
      <c r="B744" s="5"/>
      <c r="H744" s="16"/>
    </row>
    <row r="745" spans="2:8">
      <c r="B745" s="5"/>
      <c r="H745" s="16"/>
    </row>
    <row r="746" spans="2:8">
      <c r="B746" s="5"/>
      <c r="H746" s="16"/>
    </row>
    <row r="747" spans="2:8">
      <c r="B747" s="5"/>
      <c r="H747" s="16"/>
    </row>
    <row r="748" spans="2:8">
      <c r="B748" s="5"/>
      <c r="H748" s="16"/>
    </row>
    <row r="749" spans="2:8">
      <c r="B749" s="5"/>
      <c r="H749" s="16"/>
    </row>
    <row r="750" spans="2:8">
      <c r="B750" s="5"/>
      <c r="H750" s="16"/>
    </row>
    <row r="751" spans="2:8">
      <c r="B751" s="5"/>
      <c r="H751" s="16"/>
    </row>
    <row r="752" spans="2:8">
      <c r="B752" s="5"/>
      <c r="H752" s="16"/>
    </row>
    <row r="753" spans="2:8">
      <c r="B753" s="5"/>
      <c r="H753" s="16"/>
    </row>
    <row r="754" spans="2:8">
      <c r="B754" s="5"/>
      <c r="H754" s="16"/>
    </row>
    <row r="755" spans="2:8">
      <c r="B755" s="5"/>
      <c r="H755" s="16"/>
    </row>
    <row r="756" spans="2:8">
      <c r="B756" s="5"/>
      <c r="H756" s="16"/>
    </row>
    <row r="757" spans="2:8">
      <c r="B757" s="5"/>
      <c r="H757" s="16"/>
    </row>
    <row r="758" spans="2:8">
      <c r="B758" s="5"/>
      <c r="H758" s="16"/>
    </row>
    <row r="759" spans="2:8">
      <c r="B759" s="5"/>
      <c r="H759" s="16"/>
    </row>
    <row r="760" spans="2:8">
      <c r="B760" s="5"/>
      <c r="H760" s="16"/>
    </row>
    <row r="761" spans="2:8">
      <c r="B761" s="5"/>
      <c r="H761" s="16"/>
    </row>
    <row r="762" spans="2:8">
      <c r="B762" s="5"/>
      <c r="H762" s="16"/>
    </row>
    <row r="763" spans="2:8">
      <c r="B763" s="5"/>
      <c r="H763" s="16"/>
    </row>
    <row r="764" spans="2:8">
      <c r="B764" s="5"/>
      <c r="H764" s="16"/>
    </row>
    <row r="765" spans="2:8">
      <c r="B765" s="5"/>
      <c r="H765" s="16"/>
    </row>
    <row r="766" spans="2:8">
      <c r="B766" s="5"/>
      <c r="H766" s="16"/>
    </row>
    <row r="767" spans="2:8">
      <c r="B767" s="5"/>
      <c r="H767" s="16"/>
    </row>
    <row r="768" spans="2:8">
      <c r="B768" s="5"/>
      <c r="H768" s="16"/>
    </row>
    <row r="769" spans="2:8">
      <c r="B769" s="5"/>
      <c r="H769" s="16"/>
    </row>
    <row r="770" spans="2:8">
      <c r="B770" s="5"/>
      <c r="H770" s="16"/>
    </row>
    <row r="771" spans="2:8">
      <c r="B771" s="5"/>
      <c r="H771" s="16"/>
    </row>
    <row r="772" spans="2:8">
      <c r="B772" s="5"/>
      <c r="H772" s="16"/>
    </row>
    <row r="773" spans="2:8">
      <c r="B773" s="5"/>
      <c r="H773" s="16"/>
    </row>
    <row r="774" spans="2:8">
      <c r="B774" s="5"/>
      <c r="H774" s="16"/>
    </row>
    <row r="775" spans="2:8">
      <c r="B775" s="5"/>
      <c r="H775" s="16"/>
    </row>
    <row r="776" spans="2:8">
      <c r="B776" s="5"/>
      <c r="H776" s="16"/>
    </row>
    <row r="777" spans="2:8">
      <c r="B777" s="5"/>
      <c r="H777" s="16"/>
    </row>
    <row r="778" spans="2:8">
      <c r="B778" s="5"/>
      <c r="H778" s="16"/>
    </row>
    <row r="779" spans="2:8">
      <c r="B779" s="5"/>
      <c r="H779" s="16"/>
    </row>
    <row r="780" spans="2:8">
      <c r="B780" s="5"/>
      <c r="H780" s="16"/>
    </row>
    <row r="781" spans="2:8">
      <c r="B781" s="5"/>
      <c r="H781" s="16"/>
    </row>
    <row r="782" spans="2:8">
      <c r="B782" s="5"/>
      <c r="H782" s="16"/>
    </row>
    <row r="783" spans="2:8">
      <c r="B783" s="5"/>
      <c r="H783" s="16"/>
    </row>
    <row r="784" spans="2:8">
      <c r="B784" s="5"/>
      <c r="H784" s="16"/>
    </row>
    <row r="785" spans="2:8">
      <c r="B785" s="5"/>
      <c r="H785" s="16"/>
    </row>
    <row r="786" spans="2:8">
      <c r="B786" s="5"/>
      <c r="H786" s="16"/>
    </row>
    <row r="787" spans="2:8">
      <c r="B787" s="5"/>
      <c r="H787" s="16"/>
    </row>
    <row r="788" spans="2:8">
      <c r="B788" s="5"/>
      <c r="H788" s="16"/>
    </row>
    <row r="789" spans="2:8">
      <c r="B789" s="5"/>
      <c r="H789" s="16"/>
    </row>
    <row r="790" spans="2:8">
      <c r="B790" s="5"/>
      <c r="H790" s="16"/>
    </row>
    <row r="791" spans="2:8">
      <c r="B791" s="5"/>
      <c r="H791" s="16"/>
    </row>
    <row r="792" spans="2:8">
      <c r="B792" s="5"/>
      <c r="H792" s="16"/>
    </row>
    <row r="793" spans="2:8">
      <c r="B793" s="5"/>
      <c r="H793" s="16"/>
    </row>
    <row r="794" spans="2:8">
      <c r="B794" s="5"/>
      <c r="H794" s="16"/>
    </row>
    <row r="795" spans="2:8">
      <c r="B795" s="5"/>
      <c r="H795" s="16"/>
    </row>
    <row r="796" spans="2:8">
      <c r="B796" s="5"/>
      <c r="H796" s="16"/>
    </row>
    <row r="797" spans="2:8">
      <c r="B797" s="5"/>
      <c r="H797" s="16"/>
    </row>
    <row r="798" spans="2:8">
      <c r="B798" s="5"/>
      <c r="H798" s="16"/>
    </row>
    <row r="799" spans="2:8">
      <c r="B799" s="5"/>
      <c r="H799" s="16"/>
    </row>
    <row r="800" spans="2:8">
      <c r="B800" s="5"/>
      <c r="H800" s="16"/>
    </row>
    <row r="801" spans="2:8">
      <c r="B801" s="5"/>
      <c r="H801" s="16"/>
    </row>
    <row r="802" spans="2:8">
      <c r="B802" s="5"/>
      <c r="H802" s="16"/>
    </row>
    <row r="803" spans="2:8">
      <c r="B803" s="5"/>
      <c r="H803" s="16"/>
    </row>
    <row r="804" spans="2:8">
      <c r="B804" s="5"/>
      <c r="H804" s="16"/>
    </row>
    <row r="805" spans="2:8">
      <c r="B805" s="5"/>
      <c r="H805" s="16"/>
    </row>
    <row r="806" spans="2:8">
      <c r="B806" s="5"/>
      <c r="H806" s="16"/>
    </row>
    <row r="807" spans="2:8">
      <c r="B807" s="5"/>
      <c r="H807" s="16"/>
    </row>
    <row r="808" spans="2:8">
      <c r="B808" s="5"/>
      <c r="H808" s="16"/>
    </row>
    <row r="809" spans="2:8">
      <c r="B809" s="5"/>
      <c r="H809" s="16"/>
    </row>
    <row r="810" spans="2:8">
      <c r="B810" s="5"/>
      <c r="H810" s="16"/>
    </row>
    <row r="811" spans="2:8">
      <c r="B811" s="5"/>
      <c r="H811" s="16"/>
    </row>
    <row r="812" spans="2:8">
      <c r="B812" s="5"/>
      <c r="H812" s="16"/>
    </row>
    <row r="813" spans="2:8">
      <c r="B813" s="5"/>
      <c r="H813" s="16"/>
    </row>
    <row r="814" spans="2:8">
      <c r="B814" s="5"/>
      <c r="H814" s="16"/>
    </row>
    <row r="815" spans="2:8">
      <c r="B815" s="5"/>
      <c r="H815" s="16"/>
    </row>
    <row r="816" spans="2:8">
      <c r="B816" s="5"/>
      <c r="H816" s="16"/>
    </row>
    <row r="817" spans="2:8">
      <c r="B817" s="5"/>
      <c r="H817" s="16"/>
    </row>
    <row r="818" spans="2:8">
      <c r="B818" s="5"/>
      <c r="H818" s="16"/>
    </row>
    <row r="819" spans="2:8">
      <c r="B819" s="5"/>
      <c r="H819" s="16"/>
    </row>
    <row r="820" spans="2:8">
      <c r="B820" s="5"/>
      <c r="H820" s="16"/>
    </row>
    <row r="821" spans="2:8">
      <c r="B821" s="5"/>
      <c r="H821" s="16"/>
    </row>
    <row r="822" spans="2:8">
      <c r="B822" s="5"/>
      <c r="H822" s="16"/>
    </row>
    <row r="823" spans="2:8">
      <c r="B823" s="5"/>
      <c r="H823" s="16"/>
    </row>
    <row r="824" spans="2:8">
      <c r="B824" s="5"/>
      <c r="H824" s="16"/>
    </row>
    <row r="825" spans="2:8">
      <c r="B825" s="5"/>
      <c r="H825" s="16"/>
    </row>
    <row r="826" spans="2:8">
      <c r="B826" s="5"/>
      <c r="H826" s="16"/>
    </row>
    <row r="827" spans="2:8">
      <c r="B827" s="5"/>
      <c r="H827" s="16"/>
    </row>
    <row r="828" spans="2:8">
      <c r="B828" s="5"/>
      <c r="H828" s="16"/>
    </row>
    <row r="829" spans="2:8">
      <c r="B829" s="5"/>
      <c r="H829" s="16"/>
    </row>
    <row r="830" spans="2:8">
      <c r="B830" s="5"/>
      <c r="H830" s="16"/>
    </row>
    <row r="831" spans="2:8">
      <c r="B831" s="5"/>
      <c r="H831" s="16"/>
    </row>
    <row r="832" spans="2:8">
      <c r="B832" s="5"/>
      <c r="H832" s="16"/>
    </row>
    <row r="833" spans="2:8">
      <c r="B833" s="5"/>
      <c r="H833" s="16"/>
    </row>
    <row r="834" spans="2:8">
      <c r="B834" s="5"/>
      <c r="H834" s="16"/>
    </row>
    <row r="835" spans="2:8">
      <c r="B835" s="5"/>
      <c r="H835" s="16"/>
    </row>
    <row r="836" spans="2:8">
      <c r="B836" s="5"/>
      <c r="H836" s="16"/>
    </row>
    <row r="837" spans="2:8">
      <c r="B837" s="5"/>
      <c r="H837" s="16"/>
    </row>
    <row r="838" spans="2:8">
      <c r="B838" s="5"/>
      <c r="H838" s="16"/>
    </row>
    <row r="839" spans="2:8">
      <c r="B839" s="5"/>
      <c r="H839" s="16"/>
    </row>
    <row r="840" spans="2:8">
      <c r="B840" s="5"/>
      <c r="H840" s="16"/>
    </row>
    <row r="841" spans="2:8">
      <c r="B841" s="5"/>
      <c r="H841" s="16"/>
    </row>
    <row r="842" spans="2:8">
      <c r="B842" s="5"/>
      <c r="H842" s="16"/>
    </row>
    <row r="843" spans="2:8">
      <c r="B843" s="5"/>
      <c r="H843" s="16"/>
    </row>
    <row r="844" spans="2:8">
      <c r="B844" s="5"/>
      <c r="H844" s="16"/>
    </row>
    <row r="845" spans="2:8">
      <c r="B845" s="5"/>
      <c r="H845" s="16"/>
    </row>
    <row r="846" spans="2:8">
      <c r="B846" s="5"/>
      <c r="H846" s="16"/>
    </row>
    <row r="847" spans="2:8">
      <c r="B847" s="5"/>
      <c r="H847" s="16"/>
    </row>
    <row r="848" spans="2:8">
      <c r="B848" s="5"/>
      <c r="H848" s="16"/>
    </row>
    <row r="849" spans="2:8">
      <c r="B849" s="5"/>
      <c r="H849" s="16"/>
    </row>
    <row r="850" spans="2:8">
      <c r="B850" s="5"/>
      <c r="H850" s="16"/>
    </row>
    <row r="851" spans="2:8">
      <c r="B851" s="5"/>
      <c r="H851" s="16"/>
    </row>
    <row r="852" spans="2:8">
      <c r="B852" s="5"/>
      <c r="H852" s="16"/>
    </row>
    <row r="853" spans="2:8">
      <c r="B853" s="5"/>
      <c r="H853" s="16"/>
    </row>
    <row r="854" spans="2:8">
      <c r="B854" s="5"/>
      <c r="H854" s="16"/>
    </row>
    <row r="855" spans="2:8">
      <c r="B855" s="5"/>
      <c r="H855" s="16"/>
    </row>
    <row r="856" spans="2:8">
      <c r="B856" s="5"/>
      <c r="H856" s="16"/>
    </row>
    <row r="857" spans="2:8">
      <c r="B857" s="5"/>
      <c r="H857" s="16"/>
    </row>
    <row r="858" spans="2:8">
      <c r="B858" s="5"/>
      <c r="H858" s="16"/>
    </row>
    <row r="859" spans="2:8">
      <c r="B859" s="5"/>
      <c r="H859" s="16"/>
    </row>
    <row r="860" spans="2:8">
      <c r="B860" s="5"/>
      <c r="H860" s="16"/>
    </row>
    <row r="861" spans="2:8">
      <c r="B861" s="5"/>
      <c r="H861" s="16"/>
    </row>
    <row r="862" spans="2:8">
      <c r="B862" s="5"/>
      <c r="H862" s="16"/>
    </row>
    <row r="863" spans="2:8">
      <c r="B863" s="5"/>
      <c r="H863" s="16"/>
    </row>
    <row r="864" spans="2:8">
      <c r="B864" s="5"/>
      <c r="H864" s="16"/>
    </row>
    <row r="865" spans="2:8">
      <c r="B865" s="5"/>
      <c r="H865" s="16"/>
    </row>
    <row r="866" spans="2:8">
      <c r="B866" s="5"/>
      <c r="H866" s="16"/>
    </row>
    <row r="867" spans="2:8">
      <c r="B867" s="5"/>
      <c r="H867" s="16"/>
    </row>
    <row r="868" spans="2:8">
      <c r="B868" s="5"/>
      <c r="H868" s="16"/>
    </row>
    <row r="869" spans="2:8">
      <c r="B869" s="5"/>
      <c r="H869" s="16"/>
    </row>
    <row r="870" spans="2:8">
      <c r="B870" s="5"/>
      <c r="H870" s="16"/>
    </row>
    <row r="871" spans="2:8">
      <c r="B871" s="5"/>
      <c r="H871" s="16"/>
    </row>
    <row r="872" spans="2:8">
      <c r="B872" s="5"/>
      <c r="H872" s="16"/>
    </row>
    <row r="873" spans="2:8">
      <c r="B873" s="5"/>
      <c r="H873" s="16"/>
    </row>
    <row r="874" spans="2:8">
      <c r="B874" s="5"/>
      <c r="H874" s="16"/>
    </row>
    <row r="875" spans="2:8">
      <c r="B875" s="5"/>
      <c r="H875" s="16"/>
    </row>
    <row r="876" spans="2:8">
      <c r="B876" s="5"/>
      <c r="H876" s="16"/>
    </row>
    <row r="877" spans="2:8">
      <c r="B877" s="5"/>
      <c r="H877" s="16"/>
    </row>
    <row r="878" spans="2:8">
      <c r="B878" s="5"/>
      <c r="H878" s="16"/>
    </row>
    <row r="879" spans="2:8">
      <c r="B879" s="5"/>
      <c r="H879" s="16"/>
    </row>
    <row r="880" spans="2:8">
      <c r="B880" s="5"/>
      <c r="H880" s="16"/>
    </row>
    <row r="881" spans="2:8">
      <c r="B881" s="5"/>
      <c r="H881" s="16"/>
    </row>
    <row r="882" spans="2:8">
      <c r="B882" s="5"/>
      <c r="H882" s="16"/>
    </row>
    <row r="883" spans="2:8">
      <c r="B883" s="5"/>
      <c r="H883" s="16"/>
    </row>
    <row r="884" spans="2:8">
      <c r="B884" s="5"/>
      <c r="H884" s="16"/>
    </row>
    <row r="885" spans="2:8">
      <c r="B885" s="5"/>
      <c r="H885" s="16"/>
    </row>
    <row r="886" spans="2:8">
      <c r="B886" s="5"/>
      <c r="H886" s="16"/>
    </row>
    <row r="887" spans="2:8">
      <c r="B887" s="5"/>
      <c r="H887" s="16"/>
    </row>
    <row r="888" spans="2:8">
      <c r="B888" s="5"/>
      <c r="H888" s="16"/>
    </row>
    <row r="889" spans="2:8">
      <c r="B889" s="5"/>
      <c r="H889" s="16"/>
    </row>
    <row r="890" spans="2:8">
      <c r="B890" s="5"/>
      <c r="H890" s="16"/>
    </row>
    <row r="891" spans="2:8">
      <c r="B891" s="5"/>
      <c r="H891" s="16"/>
    </row>
    <row r="892" spans="2:8">
      <c r="B892" s="5"/>
      <c r="H892" s="16"/>
    </row>
  </sheetData>
  <mergeCells count="27">
    <mergeCell ref="C50:F50"/>
    <mergeCell ref="G50:H50"/>
    <mergeCell ref="C47:F47"/>
    <mergeCell ref="G47:H47"/>
    <mergeCell ref="C48:F48"/>
    <mergeCell ref="G48:H48"/>
    <mergeCell ref="C49:F49"/>
    <mergeCell ref="G49:H49"/>
    <mergeCell ref="C44:F44"/>
    <mergeCell ref="G44:H44"/>
    <mergeCell ref="C45:F45"/>
    <mergeCell ref="G45:H45"/>
    <mergeCell ref="C46:F46"/>
    <mergeCell ref="G46:H46"/>
    <mergeCell ref="C43:F43"/>
    <mergeCell ref="G43:H43"/>
    <mergeCell ref="A4:H4"/>
    <mergeCell ref="A10:F10"/>
    <mergeCell ref="A17:F17"/>
    <mergeCell ref="A23:F23"/>
    <mergeCell ref="A29:F29"/>
    <mergeCell ref="A35:F35"/>
    <mergeCell ref="A38:F38"/>
    <mergeCell ref="C41:F41"/>
    <mergeCell ref="G41:H41"/>
    <mergeCell ref="C42:F42"/>
    <mergeCell ref="G42:H42"/>
  </mergeCells>
  <phoneticPr fontId="24" type="noConversion"/>
  <dataValidations count="1">
    <dataValidation type="list" allowBlank="1" showInputMessage="1" showErrorMessage="1" sqref="B42:B48" xr:uid="{CDAA71DB-0FB5-4FFA-8177-C7CFE11B7E74}">
      <formula1>$L$41:$L$45</formula1>
    </dataValidation>
  </dataValidations>
  <pageMargins left="0.7" right="0.7" top="0.75" bottom="0.75" header="0.3" footer="0.3"/>
  <pageSetup scale="52"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EC344-692D-4B6F-8D8E-FF80E383245D}">
  <sheetPr>
    <pageSetUpPr fitToPage="1"/>
  </sheetPr>
  <dimension ref="A1:L892"/>
  <sheetViews>
    <sheetView showZeros="0" view="pageBreakPreview" zoomScale="60" zoomScaleNormal="70" workbookViewId="0">
      <selection activeCell="A11" sqref="A11"/>
    </sheetView>
  </sheetViews>
  <sheetFormatPr defaultColWidth="10.875" defaultRowHeight="18.75"/>
  <cols>
    <col min="1" max="1" width="35.625" customWidth="1"/>
    <col min="2" max="2" width="14.625" style="16" customWidth="1"/>
    <col min="3" max="7" width="15.875" style="5" customWidth="1"/>
    <col min="8" max="8" width="15.875" style="17" customWidth="1"/>
    <col min="9" max="9" width="9" style="5"/>
    <col min="10" max="12" width="0" style="5" hidden="1" customWidth="1"/>
    <col min="13" max="16384" width="10.875" style="5"/>
  </cols>
  <sheetData>
    <row r="1" spans="1:10" customFormat="1" ht="15.75">
      <c r="A1" s="41"/>
      <c r="B1" s="42"/>
      <c r="C1" s="43"/>
      <c r="D1" s="43"/>
      <c r="E1" s="45" t="s">
        <v>25</v>
      </c>
      <c r="F1" s="43"/>
      <c r="G1" s="45" t="s">
        <v>26</v>
      </c>
      <c r="H1" s="44">
        <v>6</v>
      </c>
    </row>
    <row r="2" spans="1:10">
      <c r="A2" s="30"/>
      <c r="B2" s="18" t="s">
        <v>27</v>
      </c>
      <c r="C2" s="19" t="s">
        <v>28</v>
      </c>
      <c r="D2" s="19" t="s">
        <v>29</v>
      </c>
      <c r="E2" s="18" t="s">
        <v>30</v>
      </c>
      <c r="F2" s="18" t="s">
        <v>31</v>
      </c>
      <c r="G2" s="18" t="s">
        <v>32</v>
      </c>
      <c r="H2" s="18" t="s">
        <v>33</v>
      </c>
    </row>
    <row r="3" spans="1:10" ht="21" customHeight="1">
      <c r="A3" s="31" t="s">
        <v>7</v>
      </c>
      <c r="B3" s="6">
        <f>'Week. 3 Spring '!H3+1</f>
        <v>46145</v>
      </c>
      <c r="C3" s="6">
        <f>B3+1</f>
        <v>46146</v>
      </c>
      <c r="D3" s="6">
        <f t="shared" ref="D3:H3" si="0">C3+1</f>
        <v>46147</v>
      </c>
      <c r="E3" s="6">
        <f t="shared" si="0"/>
        <v>46148</v>
      </c>
      <c r="F3" s="6">
        <f t="shared" si="0"/>
        <v>46149</v>
      </c>
      <c r="G3" s="6">
        <f t="shared" si="0"/>
        <v>46150</v>
      </c>
      <c r="H3" s="6">
        <f t="shared" si="0"/>
        <v>46151</v>
      </c>
    </row>
    <row r="4" spans="1:10" s="7" customFormat="1">
      <c r="A4" s="181" t="s">
        <v>135</v>
      </c>
      <c r="B4" s="181"/>
      <c r="C4" s="181"/>
      <c r="D4" s="181"/>
      <c r="E4" s="181"/>
      <c r="F4" s="181"/>
      <c r="G4" s="181"/>
      <c r="H4" s="181"/>
    </row>
    <row r="5" spans="1:10" s="7" customFormat="1" ht="26.1" customHeight="1">
      <c r="A5" s="32" t="s">
        <v>8</v>
      </c>
      <c r="B5" s="27"/>
      <c r="C5" s="27"/>
      <c r="D5" s="27"/>
      <c r="E5" s="27"/>
      <c r="F5" s="27"/>
      <c r="G5" s="27"/>
      <c r="H5" s="27"/>
    </row>
    <row r="6" spans="1:10" s="7" customFormat="1" ht="26.1" customHeight="1">
      <c r="A6" s="4" t="s">
        <v>23</v>
      </c>
      <c r="B6" s="62"/>
      <c r="C6" s="62"/>
      <c r="D6" s="62"/>
      <c r="E6" s="62"/>
      <c r="F6" s="62"/>
      <c r="G6" s="62"/>
      <c r="H6" s="62"/>
    </row>
    <row r="7" spans="1:10" s="7" customFormat="1" ht="21.95" customHeight="1">
      <c r="A7" s="32" t="s">
        <v>35</v>
      </c>
      <c r="B7" s="27"/>
      <c r="C7" s="28"/>
      <c r="D7" s="28"/>
      <c r="E7" s="28"/>
      <c r="F7" s="28"/>
      <c r="G7" s="28"/>
      <c r="H7" s="27"/>
    </row>
    <row r="8" spans="1:10" s="7" customFormat="1" ht="24.95" customHeight="1">
      <c r="A8" s="83" t="s">
        <v>36</v>
      </c>
      <c r="B8" s="84">
        <f t="shared" ref="B8:H8" si="1">B5+B6+B7</f>
        <v>0</v>
      </c>
      <c r="C8" s="84">
        <f t="shared" si="1"/>
        <v>0</v>
      </c>
      <c r="D8" s="84">
        <f t="shared" si="1"/>
        <v>0</v>
      </c>
      <c r="E8" s="84">
        <f t="shared" si="1"/>
        <v>0</v>
      </c>
      <c r="F8" s="84">
        <f t="shared" si="1"/>
        <v>0</v>
      </c>
      <c r="G8" s="84">
        <f t="shared" si="1"/>
        <v>0</v>
      </c>
      <c r="H8" s="84">
        <f t="shared" si="1"/>
        <v>0</v>
      </c>
    </row>
    <row r="9" spans="1:10" s="7" customFormat="1" ht="24.95" customHeight="1">
      <c r="A9" s="33"/>
      <c r="B9" s="29"/>
      <c r="C9" s="29"/>
      <c r="D9" s="29"/>
      <c r="E9" s="29"/>
      <c r="F9" s="29"/>
      <c r="G9" s="63" t="s">
        <v>37</v>
      </c>
      <c r="H9" s="64">
        <f>SUM(B8:H8)</f>
        <v>0</v>
      </c>
    </row>
    <row r="10" spans="1:10" s="7" customFormat="1">
      <c r="A10" s="182" t="s">
        <v>136</v>
      </c>
      <c r="B10" s="183"/>
      <c r="C10" s="183"/>
      <c r="D10" s="183"/>
      <c r="E10" s="183"/>
      <c r="F10" s="183"/>
      <c r="G10" s="65" t="s">
        <v>39</v>
      </c>
      <c r="H10" s="66">
        <v>-0.15</v>
      </c>
      <c r="I10" s="5"/>
      <c r="J10" s="26"/>
    </row>
    <row r="11" spans="1:10" s="7" customFormat="1" ht="30" customHeight="1">
      <c r="A11" s="39" t="s">
        <v>8</v>
      </c>
      <c r="B11" s="9"/>
      <c r="C11" s="9"/>
      <c r="D11" s="67"/>
      <c r="E11" s="67"/>
      <c r="F11" s="9"/>
      <c r="G11" s="68"/>
      <c r="H11" s="69"/>
    </row>
    <row r="12" spans="1:10" s="7" customFormat="1" ht="30" customHeight="1">
      <c r="A12" s="70" t="s">
        <v>23</v>
      </c>
      <c r="B12" s="59"/>
      <c r="C12" s="58"/>
      <c r="D12" s="58"/>
      <c r="E12" s="58"/>
      <c r="F12" s="58"/>
      <c r="G12" s="58"/>
      <c r="H12" s="58"/>
    </row>
    <row r="13" spans="1:10" s="7" customFormat="1" ht="30" customHeight="1">
      <c r="A13" s="3" t="s">
        <v>35</v>
      </c>
      <c r="B13" s="8"/>
      <c r="C13" s="8"/>
      <c r="D13" s="8"/>
      <c r="E13" s="8"/>
      <c r="F13" s="8"/>
      <c r="G13" s="8"/>
      <c r="H13" s="8"/>
    </row>
    <row r="14" spans="1:10" s="7" customFormat="1" ht="27" customHeight="1">
      <c r="A14" s="85" t="s">
        <v>36</v>
      </c>
      <c r="B14" s="87">
        <f t="shared" ref="B14:H14" si="2">B11+B12+B13</f>
        <v>0</v>
      </c>
      <c r="C14" s="87">
        <f t="shared" si="2"/>
        <v>0</v>
      </c>
      <c r="D14" s="87">
        <f t="shared" si="2"/>
        <v>0</v>
      </c>
      <c r="E14" s="87">
        <f t="shared" si="2"/>
        <v>0</v>
      </c>
      <c r="F14" s="87">
        <f t="shared" si="2"/>
        <v>0</v>
      </c>
      <c r="G14" s="87">
        <f t="shared" si="2"/>
        <v>0</v>
      </c>
      <c r="H14" s="87">
        <f t="shared" si="2"/>
        <v>0</v>
      </c>
    </row>
    <row r="15" spans="1:10" s="7" customFormat="1" ht="24.95" customHeight="1">
      <c r="A15" s="86" t="s">
        <v>40</v>
      </c>
      <c r="B15" s="92" t="e">
        <f t="shared" ref="B15:H15" si="3">(B14-B8)/B8</f>
        <v>#DIV/0!</v>
      </c>
      <c r="C15" s="93" t="e">
        <f t="shared" si="3"/>
        <v>#DIV/0!</v>
      </c>
      <c r="D15" s="93" t="e">
        <f t="shared" si="3"/>
        <v>#DIV/0!</v>
      </c>
      <c r="E15" s="93" t="e">
        <f t="shared" si="3"/>
        <v>#DIV/0!</v>
      </c>
      <c r="F15" s="93" t="e">
        <f t="shared" si="3"/>
        <v>#DIV/0!</v>
      </c>
      <c r="G15" s="93" t="e">
        <f t="shared" si="3"/>
        <v>#DIV/0!</v>
      </c>
      <c r="H15" s="94" t="e">
        <f t="shared" si="3"/>
        <v>#DIV/0!</v>
      </c>
      <c r="I15" s="71"/>
    </row>
    <row r="16" spans="1:10" ht="30" customHeight="1">
      <c r="B16" s="88"/>
      <c r="C16" s="88"/>
      <c r="D16" s="88"/>
      <c r="E16" s="88"/>
      <c r="F16" s="89"/>
      <c r="G16" s="90" t="s">
        <v>37</v>
      </c>
      <c r="H16" s="91">
        <f>SUM(B14:H14)</f>
        <v>0</v>
      </c>
    </row>
    <row r="17" spans="1:8" s="7" customFormat="1">
      <c r="A17" s="184" t="s">
        <v>41</v>
      </c>
      <c r="B17" s="185"/>
      <c r="C17" s="185"/>
      <c r="D17" s="185"/>
      <c r="E17" s="185"/>
      <c r="F17" s="185"/>
      <c r="G17" s="72" t="s">
        <v>42</v>
      </c>
      <c r="H17" s="66" t="e">
        <f>(H16-H9)/H9</f>
        <v>#DIV/0!</v>
      </c>
    </row>
    <row r="18" spans="1:8" s="7" customFormat="1" ht="30" customHeight="1">
      <c r="A18" s="35" t="s">
        <v>43</v>
      </c>
      <c r="B18" s="12"/>
      <c r="C18" s="12"/>
      <c r="D18" s="73"/>
      <c r="E18" s="73"/>
      <c r="F18" s="12"/>
      <c r="G18" s="24"/>
      <c r="H18" s="74"/>
    </row>
    <row r="19" spans="1:8" s="7" customFormat="1" ht="30" customHeight="1">
      <c r="A19" s="35" t="str">
        <f>'Week. 3 Spring '!A31</f>
        <v>Non Meal Plan Meals</v>
      </c>
      <c r="B19" s="12"/>
      <c r="C19" s="12"/>
      <c r="D19" s="73"/>
      <c r="E19" s="73"/>
      <c r="F19" s="12"/>
      <c r="G19" s="24"/>
      <c r="H19" s="74"/>
    </row>
    <row r="20" spans="1:8" s="7" customFormat="1" ht="30" customHeight="1">
      <c r="A20" s="35" t="str">
        <f>'Week. 3 Spring '!A32</f>
        <v xml:space="preserve">Meal numbers </v>
      </c>
      <c r="B20" s="95"/>
      <c r="C20" s="95"/>
      <c r="D20" s="67"/>
      <c r="E20" s="67"/>
      <c r="F20" s="95"/>
      <c r="G20" s="95"/>
      <c r="H20" s="75"/>
    </row>
    <row r="21" spans="1:8" s="7" customFormat="1" ht="24.95" customHeight="1">
      <c r="A21" s="36" t="s">
        <v>45</v>
      </c>
      <c r="B21" s="77">
        <f t="shared" ref="B21:G21" si="4">B18+B20</f>
        <v>0</v>
      </c>
      <c r="C21" s="77">
        <f t="shared" si="4"/>
        <v>0</v>
      </c>
      <c r="D21" s="96"/>
      <c r="E21" s="96"/>
      <c r="F21" s="77">
        <f t="shared" si="4"/>
        <v>0</v>
      </c>
      <c r="G21" s="77">
        <f t="shared" si="4"/>
        <v>0</v>
      </c>
      <c r="H21" s="77">
        <f>H18+H20</f>
        <v>0</v>
      </c>
    </row>
    <row r="22" spans="1:8" s="7" customFormat="1" ht="24.95" customHeight="1">
      <c r="A22" s="34" t="s">
        <v>40</v>
      </c>
      <c r="B22" s="92" t="e">
        <f>(B21-B5)/B5</f>
        <v>#DIV/0!</v>
      </c>
      <c r="C22" s="93" t="e">
        <f>(C21-C5)/C5</f>
        <v>#DIV/0!</v>
      </c>
      <c r="D22" s="99"/>
      <c r="E22" s="99"/>
      <c r="F22" s="93" t="e">
        <f>(F21-F5)/F5</f>
        <v>#DIV/0!</v>
      </c>
      <c r="G22" s="93" t="e">
        <f>(G21-G5)/G5</f>
        <v>#DIV/0!</v>
      </c>
      <c r="H22" s="94" t="e">
        <f>(H21-H5)/H5</f>
        <v>#DIV/0!</v>
      </c>
    </row>
    <row r="23" spans="1:8" s="7" customFormat="1">
      <c r="A23" s="186" t="s">
        <v>46</v>
      </c>
      <c r="B23" s="187"/>
      <c r="C23" s="187"/>
      <c r="D23" s="187"/>
      <c r="E23" s="187"/>
      <c r="F23" s="188" t="s">
        <v>47</v>
      </c>
      <c r="G23" s="97"/>
      <c r="H23" s="98"/>
    </row>
    <row r="24" spans="1:8" s="7" customFormat="1" ht="30" customHeight="1">
      <c r="A24" s="35" t="s">
        <v>43</v>
      </c>
      <c r="B24" s="11"/>
      <c r="C24" s="12"/>
      <c r="D24" s="12"/>
      <c r="E24" s="12"/>
      <c r="F24" s="12"/>
      <c r="G24" s="12"/>
      <c r="H24" s="11"/>
    </row>
    <row r="25" spans="1:8" s="7" customFormat="1" ht="30" customHeight="1">
      <c r="A25" s="35" t="str">
        <f>A19</f>
        <v>Non Meal Plan Meals</v>
      </c>
      <c r="B25" s="117"/>
      <c r="C25" s="117"/>
      <c r="D25" s="117"/>
      <c r="E25" s="117"/>
      <c r="F25" s="117"/>
      <c r="G25" s="117"/>
      <c r="H25" s="117"/>
    </row>
    <row r="26" spans="1:8" s="7" customFormat="1" ht="30" customHeight="1">
      <c r="A26" s="35" t="str">
        <f>A20</f>
        <v xml:space="preserve">Meal numbers </v>
      </c>
      <c r="B26" s="11"/>
      <c r="C26" s="11"/>
      <c r="D26" s="11"/>
      <c r="E26" s="11"/>
      <c r="F26" s="11"/>
      <c r="G26" s="11"/>
      <c r="H26" s="11"/>
    </row>
    <row r="27" spans="1:8" s="7" customFormat="1" ht="27.95" customHeight="1">
      <c r="A27" s="36" t="s">
        <v>50</v>
      </c>
      <c r="B27" s="100">
        <f>B24+B25+B26</f>
        <v>0</v>
      </c>
      <c r="C27" s="100">
        <f t="shared" ref="C27:G27" si="5">C24+C25+C26</f>
        <v>0</v>
      </c>
      <c r="D27" s="100">
        <f t="shared" si="5"/>
        <v>0</v>
      </c>
      <c r="E27" s="100">
        <f t="shared" si="5"/>
        <v>0</v>
      </c>
      <c r="F27" s="100">
        <f t="shared" si="5"/>
        <v>0</v>
      </c>
      <c r="G27" s="100">
        <f t="shared" si="5"/>
        <v>0</v>
      </c>
      <c r="H27" s="100">
        <f>H24+H25+H26</f>
        <v>0</v>
      </c>
    </row>
    <row r="28" spans="1:8" s="7" customFormat="1" ht="24.95" customHeight="1">
      <c r="A28" s="34" t="s">
        <v>40</v>
      </c>
      <c r="B28" s="92" t="e">
        <f t="shared" ref="B28:H28" si="6">(B27-B6)/B6</f>
        <v>#DIV/0!</v>
      </c>
      <c r="C28" s="93" t="e">
        <f t="shared" si="6"/>
        <v>#DIV/0!</v>
      </c>
      <c r="D28" s="93" t="e">
        <f t="shared" si="6"/>
        <v>#DIV/0!</v>
      </c>
      <c r="E28" s="93" t="e">
        <f t="shared" si="6"/>
        <v>#DIV/0!</v>
      </c>
      <c r="F28" s="93" t="e">
        <f t="shared" si="6"/>
        <v>#DIV/0!</v>
      </c>
      <c r="G28" s="93" t="e">
        <f t="shared" si="6"/>
        <v>#DIV/0!</v>
      </c>
      <c r="H28" s="94" t="e">
        <f t="shared" si="6"/>
        <v>#DIV/0!</v>
      </c>
    </row>
    <row r="29" spans="1:8" s="7" customFormat="1">
      <c r="A29" s="189" t="s">
        <v>51</v>
      </c>
      <c r="B29" s="190"/>
      <c r="C29" s="190"/>
      <c r="D29" s="190"/>
      <c r="E29" s="190"/>
      <c r="F29" s="191" t="s">
        <v>35</v>
      </c>
      <c r="G29" s="101"/>
      <c r="H29" s="102"/>
    </row>
    <row r="30" spans="1:8" s="7" customFormat="1" ht="30" customHeight="1">
      <c r="A30" s="35" t="s">
        <v>43</v>
      </c>
      <c r="B30" s="10"/>
      <c r="C30" s="9"/>
      <c r="D30" s="9"/>
      <c r="E30" s="9"/>
      <c r="F30" s="9"/>
      <c r="G30" s="9"/>
      <c r="H30" s="10"/>
    </row>
    <row r="31" spans="1:8" s="7" customFormat="1" ht="30" customHeight="1">
      <c r="A31" s="35" t="str">
        <f>A25</f>
        <v>Non Meal Plan Meals</v>
      </c>
      <c r="B31" s="60"/>
      <c r="C31" s="60"/>
      <c r="D31" s="60"/>
      <c r="E31" s="60"/>
      <c r="F31" s="60"/>
      <c r="G31" s="60"/>
      <c r="H31" s="60"/>
    </row>
    <row r="32" spans="1:8" s="7" customFormat="1" ht="30" customHeight="1">
      <c r="A32" s="35" t="str">
        <f>A26</f>
        <v xml:space="preserve">Meal numbers </v>
      </c>
      <c r="B32" s="10"/>
      <c r="C32" s="10"/>
      <c r="D32" s="10"/>
      <c r="E32" s="10"/>
      <c r="F32" s="10"/>
      <c r="G32" s="10"/>
      <c r="H32" s="10"/>
    </row>
    <row r="33" spans="1:12" s="7" customFormat="1" ht="30.95" customHeight="1">
      <c r="A33" s="36" t="s">
        <v>53</v>
      </c>
      <c r="B33" s="103">
        <f>B30+B31+B32</f>
        <v>0</v>
      </c>
      <c r="C33" s="103">
        <f t="shared" ref="C33:G33" si="7">C30+C31+C32</f>
        <v>0</v>
      </c>
      <c r="D33" s="103">
        <f t="shared" si="7"/>
        <v>0</v>
      </c>
      <c r="E33" s="103">
        <f t="shared" si="7"/>
        <v>0</v>
      </c>
      <c r="F33" s="103">
        <f t="shared" si="7"/>
        <v>0</v>
      </c>
      <c r="G33" s="103">
        <f t="shared" si="7"/>
        <v>0</v>
      </c>
      <c r="H33" s="103">
        <f>H30+H31+H32</f>
        <v>0</v>
      </c>
    </row>
    <row r="34" spans="1:12" s="7" customFormat="1" ht="24.95" customHeight="1">
      <c r="A34" s="34" t="s">
        <v>40</v>
      </c>
      <c r="B34" s="92" t="e">
        <f t="shared" ref="B34:H34" si="8">(B33-B7)/B7</f>
        <v>#DIV/0!</v>
      </c>
      <c r="C34" s="93" t="e">
        <f t="shared" si="8"/>
        <v>#DIV/0!</v>
      </c>
      <c r="D34" s="93" t="e">
        <f t="shared" si="8"/>
        <v>#DIV/0!</v>
      </c>
      <c r="E34" s="93" t="e">
        <f t="shared" si="8"/>
        <v>#DIV/0!</v>
      </c>
      <c r="F34" s="93" t="e">
        <f t="shared" si="8"/>
        <v>#DIV/0!</v>
      </c>
      <c r="G34" s="93" t="e">
        <f t="shared" si="8"/>
        <v>#DIV/0!</v>
      </c>
      <c r="H34" s="94" t="e">
        <f t="shared" si="8"/>
        <v>#DIV/0!</v>
      </c>
    </row>
    <row r="35" spans="1:12" s="7" customFormat="1">
      <c r="A35" s="192" t="s">
        <v>54</v>
      </c>
      <c r="B35" s="193"/>
      <c r="C35" s="193"/>
      <c r="D35" s="193"/>
      <c r="E35" s="193"/>
      <c r="F35" s="194" t="s">
        <v>35</v>
      </c>
      <c r="G35" s="104"/>
      <c r="H35" s="105"/>
    </row>
    <row r="36" spans="1:12" s="7" customFormat="1" ht="30.95" customHeight="1">
      <c r="A36" s="78" t="s">
        <v>55</v>
      </c>
      <c r="B36" s="77">
        <f>B33+B27+B21</f>
        <v>0</v>
      </c>
      <c r="C36" s="77">
        <f t="shared" ref="C36:H36" si="9">C33+C27+C21</f>
        <v>0</v>
      </c>
      <c r="D36" s="77">
        <f t="shared" si="9"/>
        <v>0</v>
      </c>
      <c r="E36" s="77">
        <f t="shared" si="9"/>
        <v>0</v>
      </c>
      <c r="F36" s="77">
        <f t="shared" si="9"/>
        <v>0</v>
      </c>
      <c r="G36" s="77">
        <f t="shared" si="9"/>
        <v>0</v>
      </c>
      <c r="H36" s="77">
        <f t="shared" si="9"/>
        <v>0</v>
      </c>
    </row>
    <row r="37" spans="1:12" s="7" customFormat="1" ht="24.95" customHeight="1">
      <c r="A37" s="34" t="s">
        <v>40</v>
      </c>
      <c r="B37" s="92" t="e">
        <f t="shared" ref="B37:H37" si="10">(B36-B8)/B8</f>
        <v>#DIV/0!</v>
      </c>
      <c r="C37" s="93" t="e">
        <f t="shared" si="10"/>
        <v>#DIV/0!</v>
      </c>
      <c r="D37" s="93" t="e">
        <f t="shared" si="10"/>
        <v>#DIV/0!</v>
      </c>
      <c r="E37" s="93" t="e">
        <f t="shared" si="10"/>
        <v>#DIV/0!</v>
      </c>
      <c r="F37" s="93" t="e">
        <f t="shared" si="10"/>
        <v>#DIV/0!</v>
      </c>
      <c r="G37" s="93" t="e">
        <f t="shared" si="10"/>
        <v>#DIV/0!</v>
      </c>
      <c r="H37" s="94" t="e">
        <f t="shared" si="10"/>
        <v>#DIV/0!</v>
      </c>
    </row>
    <row r="38" spans="1:12" ht="30" customHeight="1">
      <c r="A38" s="195"/>
      <c r="B38" s="196"/>
      <c r="C38" s="196"/>
      <c r="D38" s="196"/>
      <c r="E38" s="196"/>
      <c r="F38" s="196"/>
      <c r="G38" s="106" t="s">
        <v>37</v>
      </c>
      <c r="H38" s="107">
        <f>SUM(B36:H36)</f>
        <v>0</v>
      </c>
    </row>
    <row r="39" spans="1:12" s="7" customFormat="1" ht="24.95" customHeight="1">
      <c r="A39" s="37"/>
      <c r="B39" s="25"/>
      <c r="C39" s="25"/>
      <c r="D39" s="25"/>
      <c r="E39" s="25"/>
      <c r="F39" s="25"/>
      <c r="G39" s="79" t="s">
        <v>40</v>
      </c>
      <c r="H39" s="80" t="e">
        <f>(H38-H9)/H9</f>
        <v>#DIV/0!</v>
      </c>
    </row>
    <row r="40" spans="1:12" s="7" customFormat="1" ht="24.95" customHeight="1">
      <c r="A40" s="37"/>
      <c r="B40" s="25"/>
      <c r="C40" s="25"/>
      <c r="D40" s="25"/>
      <c r="E40" s="25"/>
      <c r="F40" s="25"/>
      <c r="G40" s="81" t="s">
        <v>56</v>
      </c>
      <c r="H40" s="82" t="e">
        <f>(H38-H16)/H16</f>
        <v>#DIV/0!</v>
      </c>
    </row>
    <row r="41" spans="1:12" s="46" customFormat="1" ht="23.1" customHeight="1">
      <c r="A41" s="40"/>
      <c r="B41" s="47" t="s">
        <v>57</v>
      </c>
      <c r="C41" s="197" t="s">
        <v>58</v>
      </c>
      <c r="D41" s="197"/>
      <c r="E41" s="197"/>
      <c r="F41" s="197"/>
      <c r="G41" s="198">
        <v>2022</v>
      </c>
      <c r="H41" s="199"/>
    </row>
    <row r="42" spans="1:12" ht="30" customHeight="1">
      <c r="A42" s="1" t="s">
        <v>60</v>
      </c>
      <c r="B42" s="57" t="s">
        <v>59</v>
      </c>
      <c r="C42" s="180"/>
      <c r="D42" s="180"/>
      <c r="E42" s="180"/>
      <c r="F42" s="180"/>
      <c r="G42" s="178"/>
      <c r="H42" s="179"/>
      <c r="L42" s="7" t="s">
        <v>61</v>
      </c>
    </row>
    <row r="43" spans="1:12" ht="30" customHeight="1">
      <c r="A43" s="1" t="s">
        <v>1</v>
      </c>
      <c r="B43" s="57" t="s">
        <v>59</v>
      </c>
      <c r="C43" s="180"/>
      <c r="D43" s="180"/>
      <c r="E43" s="180"/>
      <c r="F43" s="180"/>
      <c r="G43" s="178"/>
      <c r="H43" s="179"/>
      <c r="L43" s="5" t="s">
        <v>62</v>
      </c>
    </row>
    <row r="44" spans="1:12" ht="30" customHeight="1">
      <c r="A44" s="1" t="s">
        <v>2</v>
      </c>
      <c r="B44" s="57" t="s">
        <v>59</v>
      </c>
      <c r="C44" s="175"/>
      <c r="D44" s="175"/>
      <c r="E44" s="175"/>
      <c r="F44" s="175"/>
      <c r="G44" s="176"/>
      <c r="H44" s="177"/>
      <c r="L44" s="5" t="s">
        <v>63</v>
      </c>
    </row>
    <row r="45" spans="1:12" ht="30" customHeight="1">
      <c r="A45" s="1" t="s">
        <v>3</v>
      </c>
      <c r="B45" s="57" t="s">
        <v>59</v>
      </c>
      <c r="C45" s="175"/>
      <c r="D45" s="175"/>
      <c r="E45" s="175"/>
      <c r="F45" s="175"/>
      <c r="G45" s="176"/>
      <c r="H45" s="177"/>
      <c r="L45" s="5" t="s">
        <v>64</v>
      </c>
    </row>
    <row r="46" spans="1:12" ht="30.95" customHeight="1">
      <c r="A46" s="1" t="s">
        <v>4</v>
      </c>
      <c r="B46" s="57" t="s">
        <v>59</v>
      </c>
      <c r="C46" s="175"/>
      <c r="D46" s="175"/>
      <c r="E46" s="175"/>
      <c r="F46" s="175"/>
      <c r="G46" s="176"/>
      <c r="H46" s="177"/>
    </row>
    <row r="47" spans="1:12" ht="30" customHeight="1">
      <c r="A47" s="1" t="s">
        <v>5</v>
      </c>
      <c r="B47" s="57" t="s">
        <v>59</v>
      </c>
      <c r="C47" s="175"/>
      <c r="D47" s="175"/>
      <c r="E47" s="175"/>
      <c r="F47" s="175"/>
      <c r="G47" s="176"/>
      <c r="H47" s="177"/>
    </row>
    <row r="48" spans="1:12" ht="30" customHeight="1">
      <c r="A48" s="1" t="s">
        <v>6</v>
      </c>
      <c r="B48" s="57" t="s">
        <v>59</v>
      </c>
      <c r="C48" s="175"/>
      <c r="D48" s="175"/>
      <c r="E48" s="175"/>
      <c r="F48" s="175"/>
      <c r="G48" s="176"/>
      <c r="H48" s="177"/>
    </row>
    <row r="49" spans="1:8" ht="30" customHeight="1">
      <c r="A49" s="1"/>
      <c r="B49" s="14"/>
      <c r="C49" s="175"/>
      <c r="D49" s="175"/>
      <c r="E49" s="175"/>
      <c r="F49" s="175"/>
      <c r="G49" s="176"/>
      <c r="H49" s="177"/>
    </row>
    <row r="50" spans="1:8" ht="30" customHeight="1">
      <c r="A50" s="2"/>
      <c r="B50" s="14"/>
      <c r="C50" s="175"/>
      <c r="D50" s="175"/>
      <c r="E50" s="175"/>
      <c r="F50" s="175"/>
      <c r="G50" s="176"/>
      <c r="H50" s="177"/>
    </row>
    <row r="51" spans="1:8">
      <c r="A51" s="30"/>
      <c r="B51" s="18" t="s">
        <v>27</v>
      </c>
      <c r="C51" s="18" t="s">
        <v>28</v>
      </c>
      <c r="D51" s="18" t="s">
        <v>65</v>
      </c>
      <c r="E51" s="18" t="s">
        <v>30</v>
      </c>
      <c r="F51" s="18" t="s">
        <v>66</v>
      </c>
      <c r="G51" s="18" t="s">
        <v>32</v>
      </c>
      <c r="H51" s="18" t="s">
        <v>33</v>
      </c>
    </row>
    <row r="52" spans="1:8">
      <c r="A52" s="38" t="s">
        <v>67</v>
      </c>
      <c r="B52" s="15"/>
      <c r="C52" s="20"/>
      <c r="D52" s="20"/>
      <c r="E52" s="20"/>
      <c r="F52" s="20"/>
      <c r="G52" s="20"/>
      <c r="H52" s="15"/>
    </row>
    <row r="53" spans="1:8" customFormat="1" ht="15.75">
      <c r="A53" s="48" t="s">
        <v>68</v>
      </c>
      <c r="B53" s="22"/>
      <c r="C53" s="21"/>
      <c r="D53" s="21"/>
      <c r="E53" s="21"/>
      <c r="F53" s="21"/>
      <c r="G53" s="23" t="s">
        <v>37</v>
      </c>
      <c r="H53" s="23">
        <f>SUM(B52:H52)</f>
        <v>0</v>
      </c>
    </row>
    <row r="54" spans="1:8">
      <c r="A54" s="30"/>
      <c r="B54" s="18" t="s">
        <v>27</v>
      </c>
      <c r="C54" s="18" t="s">
        <v>28</v>
      </c>
      <c r="D54" s="18" t="s">
        <v>65</v>
      </c>
      <c r="E54" s="18" t="s">
        <v>30</v>
      </c>
      <c r="F54" s="18" t="s">
        <v>66</v>
      </c>
      <c r="G54" s="18" t="s">
        <v>32</v>
      </c>
      <c r="H54" s="18" t="s">
        <v>33</v>
      </c>
    </row>
    <row r="55" spans="1:8">
      <c r="A55" s="38" t="s">
        <v>69</v>
      </c>
      <c r="B55" s="51"/>
      <c r="C55" s="52"/>
      <c r="D55" s="52"/>
      <c r="E55" s="52"/>
      <c r="F55" s="52"/>
      <c r="G55" s="20"/>
      <c r="H55" s="15"/>
    </row>
    <row r="56" spans="1:8" customFormat="1" ht="15.75">
      <c r="A56" s="49" t="s">
        <v>70</v>
      </c>
      <c r="B56" s="53"/>
      <c r="C56" s="53" t="s">
        <v>71</v>
      </c>
      <c r="D56" s="54"/>
      <c r="E56" s="54"/>
      <c r="F56" s="55"/>
      <c r="G56" s="50" t="s">
        <v>37</v>
      </c>
      <c r="H56" s="23"/>
    </row>
    <row r="57" spans="1:8">
      <c r="H57" s="16"/>
    </row>
    <row r="58" spans="1:8">
      <c r="H58" s="16"/>
    </row>
    <row r="59" spans="1:8">
      <c r="H59" s="16"/>
    </row>
    <row r="60" spans="1:8">
      <c r="H60" s="16"/>
    </row>
    <row r="61" spans="1:8">
      <c r="H61" s="16"/>
    </row>
    <row r="62" spans="1:8">
      <c r="H62" s="16"/>
    </row>
    <row r="63" spans="1:8">
      <c r="H63" s="16"/>
    </row>
    <row r="64" spans="1:8">
      <c r="B64" s="5"/>
      <c r="H64" s="16"/>
    </row>
    <row r="65" spans="2:8">
      <c r="B65" s="5"/>
      <c r="H65" s="16"/>
    </row>
    <row r="66" spans="2:8">
      <c r="B66" s="5"/>
      <c r="H66" s="16"/>
    </row>
    <row r="67" spans="2:8">
      <c r="B67" s="5"/>
      <c r="H67" s="16"/>
    </row>
    <row r="68" spans="2:8">
      <c r="B68" s="5"/>
      <c r="H68" s="16"/>
    </row>
    <row r="69" spans="2:8">
      <c r="B69" s="5"/>
      <c r="H69" s="16"/>
    </row>
    <row r="70" spans="2:8">
      <c r="B70" s="5"/>
      <c r="H70" s="16"/>
    </row>
    <row r="71" spans="2:8">
      <c r="B71" s="5"/>
      <c r="H71" s="16"/>
    </row>
    <row r="72" spans="2:8">
      <c r="B72" s="5"/>
      <c r="H72" s="16"/>
    </row>
    <row r="73" spans="2:8">
      <c r="B73" s="5"/>
      <c r="H73" s="16"/>
    </row>
    <row r="74" spans="2:8">
      <c r="B74" s="5"/>
      <c r="H74" s="16"/>
    </row>
    <row r="75" spans="2:8">
      <c r="B75" s="5"/>
      <c r="H75" s="16"/>
    </row>
    <row r="76" spans="2:8">
      <c r="B76" s="5"/>
      <c r="H76" s="16"/>
    </row>
    <row r="77" spans="2:8">
      <c r="B77" s="5"/>
      <c r="H77" s="16"/>
    </row>
    <row r="78" spans="2:8">
      <c r="B78" s="5"/>
      <c r="H78" s="16"/>
    </row>
    <row r="79" spans="2:8">
      <c r="B79" s="5"/>
      <c r="H79" s="16"/>
    </row>
    <row r="80" spans="2:8">
      <c r="B80" s="5"/>
      <c r="H80" s="16"/>
    </row>
    <row r="81" spans="2:8">
      <c r="B81" s="5"/>
      <c r="H81" s="16"/>
    </row>
    <row r="82" spans="2:8">
      <c r="B82" s="5"/>
      <c r="H82" s="16"/>
    </row>
    <row r="83" spans="2:8">
      <c r="B83" s="5"/>
      <c r="H83" s="16"/>
    </row>
    <row r="84" spans="2:8">
      <c r="B84" s="5"/>
      <c r="H84" s="16"/>
    </row>
    <row r="85" spans="2:8">
      <c r="B85" s="5"/>
      <c r="H85" s="16"/>
    </row>
    <row r="86" spans="2:8">
      <c r="B86" s="5"/>
      <c r="H86" s="16"/>
    </row>
    <row r="87" spans="2:8">
      <c r="B87" s="5"/>
      <c r="H87" s="16"/>
    </row>
    <row r="88" spans="2:8">
      <c r="B88" s="5"/>
      <c r="H88" s="16"/>
    </row>
    <row r="89" spans="2:8">
      <c r="B89" s="5"/>
      <c r="H89" s="16"/>
    </row>
    <row r="90" spans="2:8">
      <c r="B90" s="5"/>
      <c r="H90" s="16"/>
    </row>
    <row r="91" spans="2:8">
      <c r="B91" s="5"/>
      <c r="H91" s="16"/>
    </row>
    <row r="92" spans="2:8">
      <c r="B92" s="5"/>
      <c r="H92" s="16"/>
    </row>
    <row r="93" spans="2:8">
      <c r="B93" s="5"/>
      <c r="H93" s="16"/>
    </row>
    <row r="94" spans="2:8">
      <c r="B94" s="5"/>
      <c r="H94" s="16"/>
    </row>
    <row r="95" spans="2:8">
      <c r="B95" s="5"/>
      <c r="H95" s="16"/>
    </row>
    <row r="96" spans="2:8">
      <c r="B96" s="5"/>
      <c r="H96" s="16"/>
    </row>
    <row r="97" spans="2:8">
      <c r="B97" s="5"/>
      <c r="H97" s="16"/>
    </row>
    <row r="98" spans="2:8">
      <c r="B98" s="5"/>
      <c r="H98" s="16"/>
    </row>
    <row r="99" spans="2:8">
      <c r="B99" s="5"/>
      <c r="H99" s="16"/>
    </row>
    <row r="100" spans="2:8">
      <c r="B100" s="5"/>
      <c r="H100" s="16"/>
    </row>
    <row r="101" spans="2:8">
      <c r="B101" s="5"/>
      <c r="H101" s="16"/>
    </row>
    <row r="102" spans="2:8">
      <c r="B102" s="5"/>
      <c r="H102" s="16"/>
    </row>
    <row r="103" spans="2:8">
      <c r="B103" s="5"/>
      <c r="H103" s="16"/>
    </row>
    <row r="104" spans="2:8">
      <c r="B104" s="5"/>
      <c r="H104" s="16"/>
    </row>
    <row r="105" spans="2:8">
      <c r="B105" s="5"/>
      <c r="H105" s="16"/>
    </row>
    <row r="106" spans="2:8">
      <c r="B106" s="5"/>
      <c r="H106" s="16"/>
    </row>
    <row r="107" spans="2:8">
      <c r="B107" s="5"/>
      <c r="H107" s="16"/>
    </row>
    <row r="108" spans="2:8">
      <c r="B108" s="5"/>
      <c r="H108" s="16"/>
    </row>
    <row r="109" spans="2:8">
      <c r="B109" s="5"/>
      <c r="H109" s="16"/>
    </row>
    <row r="110" spans="2:8">
      <c r="B110" s="5"/>
      <c r="H110" s="16"/>
    </row>
    <row r="111" spans="2:8">
      <c r="B111" s="5"/>
      <c r="H111" s="16"/>
    </row>
    <row r="112" spans="2:8">
      <c r="B112" s="5"/>
      <c r="H112" s="16"/>
    </row>
    <row r="113" spans="2:8">
      <c r="B113" s="5"/>
      <c r="H113" s="16"/>
    </row>
    <row r="114" spans="2:8">
      <c r="B114" s="5"/>
      <c r="H114" s="16"/>
    </row>
    <row r="115" spans="2:8">
      <c r="B115" s="5"/>
      <c r="H115" s="16"/>
    </row>
    <row r="116" spans="2:8">
      <c r="B116" s="5"/>
      <c r="H116" s="16"/>
    </row>
    <row r="117" spans="2:8">
      <c r="B117" s="5"/>
      <c r="H117" s="16"/>
    </row>
    <row r="118" spans="2:8">
      <c r="B118" s="5"/>
      <c r="H118" s="16"/>
    </row>
    <row r="119" spans="2:8">
      <c r="B119" s="5"/>
      <c r="H119" s="16"/>
    </row>
    <row r="120" spans="2:8">
      <c r="B120" s="5"/>
      <c r="H120" s="16"/>
    </row>
    <row r="121" spans="2:8">
      <c r="B121" s="5"/>
      <c r="H121" s="16"/>
    </row>
    <row r="122" spans="2:8">
      <c r="B122" s="5"/>
      <c r="H122" s="16"/>
    </row>
    <row r="123" spans="2:8">
      <c r="B123" s="5"/>
      <c r="H123" s="16"/>
    </row>
    <row r="124" spans="2:8">
      <c r="B124" s="5"/>
      <c r="H124" s="16"/>
    </row>
    <row r="125" spans="2:8">
      <c r="B125" s="5"/>
      <c r="H125" s="16"/>
    </row>
    <row r="126" spans="2:8">
      <c r="B126" s="5"/>
      <c r="H126" s="16"/>
    </row>
    <row r="127" spans="2:8">
      <c r="B127" s="5"/>
      <c r="H127" s="16"/>
    </row>
    <row r="128" spans="2:8">
      <c r="B128" s="5"/>
      <c r="H128" s="16"/>
    </row>
    <row r="129" spans="2:8">
      <c r="B129" s="5"/>
      <c r="H129" s="16"/>
    </row>
    <row r="130" spans="2:8">
      <c r="B130" s="5"/>
      <c r="H130" s="16"/>
    </row>
    <row r="131" spans="2:8">
      <c r="B131" s="5"/>
      <c r="H131" s="16"/>
    </row>
    <row r="132" spans="2:8">
      <c r="B132" s="5"/>
      <c r="H132" s="16"/>
    </row>
    <row r="133" spans="2:8">
      <c r="B133" s="5"/>
      <c r="H133" s="16"/>
    </row>
    <row r="134" spans="2:8">
      <c r="B134" s="5"/>
      <c r="H134" s="16"/>
    </row>
    <row r="135" spans="2:8">
      <c r="B135" s="5"/>
      <c r="H135" s="16"/>
    </row>
    <row r="136" spans="2:8">
      <c r="B136" s="5"/>
      <c r="H136" s="16"/>
    </row>
    <row r="137" spans="2:8">
      <c r="B137" s="5"/>
      <c r="H137" s="16"/>
    </row>
    <row r="138" spans="2:8">
      <c r="B138" s="5"/>
      <c r="H138" s="16"/>
    </row>
    <row r="139" spans="2:8">
      <c r="B139" s="5"/>
      <c r="H139" s="16"/>
    </row>
    <row r="140" spans="2:8">
      <c r="B140" s="5"/>
      <c r="H140" s="16"/>
    </row>
    <row r="141" spans="2:8">
      <c r="B141" s="5"/>
      <c r="H141" s="16"/>
    </row>
    <row r="142" spans="2:8">
      <c r="B142" s="5"/>
      <c r="H142" s="16"/>
    </row>
    <row r="143" spans="2:8">
      <c r="B143" s="5"/>
      <c r="H143" s="16"/>
    </row>
    <row r="144" spans="2:8">
      <c r="B144" s="5"/>
      <c r="H144" s="16"/>
    </row>
    <row r="145" spans="2:8">
      <c r="B145" s="5"/>
      <c r="H145" s="16"/>
    </row>
    <row r="146" spans="2:8">
      <c r="B146" s="5"/>
      <c r="H146" s="16"/>
    </row>
    <row r="147" spans="2:8">
      <c r="B147" s="5"/>
      <c r="H147" s="16"/>
    </row>
    <row r="148" spans="2:8">
      <c r="B148" s="5"/>
      <c r="H148" s="16"/>
    </row>
    <row r="149" spans="2:8">
      <c r="B149" s="5"/>
      <c r="H149" s="16"/>
    </row>
    <row r="150" spans="2:8">
      <c r="B150" s="5"/>
      <c r="H150" s="16"/>
    </row>
    <row r="151" spans="2:8">
      <c r="B151" s="5"/>
      <c r="H151" s="16"/>
    </row>
    <row r="152" spans="2:8">
      <c r="B152" s="5"/>
      <c r="H152" s="16"/>
    </row>
    <row r="153" spans="2:8">
      <c r="B153" s="5"/>
      <c r="H153" s="16"/>
    </row>
    <row r="154" spans="2:8">
      <c r="B154" s="5"/>
      <c r="H154" s="16"/>
    </row>
    <row r="155" spans="2:8">
      <c r="B155" s="5"/>
      <c r="H155" s="16"/>
    </row>
    <row r="156" spans="2:8">
      <c r="B156" s="5"/>
      <c r="H156" s="16"/>
    </row>
    <row r="157" spans="2:8">
      <c r="B157" s="5"/>
      <c r="H157" s="16"/>
    </row>
    <row r="158" spans="2:8">
      <c r="B158" s="5"/>
      <c r="H158" s="16"/>
    </row>
    <row r="159" spans="2:8">
      <c r="B159" s="5"/>
      <c r="H159" s="16"/>
    </row>
    <row r="160" spans="2:8">
      <c r="B160" s="5"/>
      <c r="H160" s="16"/>
    </row>
    <row r="161" spans="2:8">
      <c r="B161" s="5"/>
      <c r="H161" s="16"/>
    </row>
    <row r="162" spans="2:8">
      <c r="B162" s="5"/>
      <c r="H162" s="16"/>
    </row>
    <row r="163" spans="2:8">
      <c r="B163" s="5"/>
      <c r="H163" s="16"/>
    </row>
    <row r="164" spans="2:8">
      <c r="B164" s="5"/>
      <c r="H164" s="16"/>
    </row>
    <row r="165" spans="2:8">
      <c r="B165" s="5"/>
      <c r="H165" s="16"/>
    </row>
    <row r="166" spans="2:8">
      <c r="B166" s="5"/>
      <c r="H166" s="16"/>
    </row>
    <row r="167" spans="2:8">
      <c r="B167" s="5"/>
      <c r="H167" s="16"/>
    </row>
    <row r="168" spans="2:8">
      <c r="B168" s="5"/>
      <c r="H168" s="16"/>
    </row>
    <row r="169" spans="2:8">
      <c r="B169" s="5"/>
      <c r="H169" s="16"/>
    </row>
    <row r="170" spans="2:8">
      <c r="B170" s="5"/>
      <c r="H170" s="16"/>
    </row>
    <row r="171" spans="2:8">
      <c r="B171" s="5"/>
      <c r="H171" s="16"/>
    </row>
    <row r="172" spans="2:8">
      <c r="B172" s="5"/>
      <c r="H172" s="16"/>
    </row>
    <row r="173" spans="2:8">
      <c r="B173" s="5"/>
      <c r="H173" s="16"/>
    </row>
    <row r="174" spans="2:8">
      <c r="B174" s="5"/>
      <c r="H174" s="16"/>
    </row>
    <row r="175" spans="2:8">
      <c r="B175" s="5"/>
      <c r="H175" s="16"/>
    </row>
    <row r="176" spans="2:8">
      <c r="B176" s="5"/>
      <c r="H176" s="16"/>
    </row>
    <row r="177" spans="2:8">
      <c r="B177" s="5"/>
      <c r="H177" s="16"/>
    </row>
    <row r="178" spans="2:8">
      <c r="B178" s="5"/>
      <c r="H178" s="16"/>
    </row>
    <row r="179" spans="2:8">
      <c r="B179" s="5"/>
      <c r="H179" s="16"/>
    </row>
    <row r="180" spans="2:8">
      <c r="B180" s="5"/>
      <c r="H180" s="16"/>
    </row>
    <row r="181" spans="2:8">
      <c r="B181" s="5"/>
      <c r="H181" s="16"/>
    </row>
    <row r="182" spans="2:8">
      <c r="B182" s="5"/>
      <c r="H182" s="16"/>
    </row>
    <row r="183" spans="2:8">
      <c r="B183" s="5"/>
      <c r="H183" s="16"/>
    </row>
    <row r="184" spans="2:8">
      <c r="B184" s="5"/>
      <c r="H184" s="16"/>
    </row>
    <row r="185" spans="2:8">
      <c r="B185" s="5"/>
      <c r="H185" s="16"/>
    </row>
    <row r="186" spans="2:8">
      <c r="B186" s="5"/>
      <c r="H186" s="16"/>
    </row>
    <row r="187" spans="2:8">
      <c r="B187" s="5"/>
      <c r="H187" s="16"/>
    </row>
    <row r="188" spans="2:8">
      <c r="B188" s="5"/>
      <c r="H188" s="16"/>
    </row>
    <row r="189" spans="2:8">
      <c r="B189" s="5"/>
      <c r="H189" s="16"/>
    </row>
    <row r="190" spans="2:8">
      <c r="B190" s="5"/>
      <c r="H190" s="16"/>
    </row>
    <row r="191" spans="2:8">
      <c r="B191" s="5"/>
      <c r="H191" s="16"/>
    </row>
    <row r="192" spans="2:8">
      <c r="B192" s="5"/>
      <c r="H192" s="16"/>
    </row>
    <row r="193" spans="2:8">
      <c r="B193" s="5"/>
      <c r="H193" s="16"/>
    </row>
    <row r="194" spans="2:8">
      <c r="B194" s="5"/>
      <c r="H194" s="16"/>
    </row>
    <row r="195" spans="2:8">
      <c r="B195" s="5"/>
      <c r="H195" s="16"/>
    </row>
    <row r="196" spans="2:8">
      <c r="B196" s="5"/>
      <c r="H196" s="16"/>
    </row>
    <row r="197" spans="2:8">
      <c r="B197" s="5"/>
      <c r="H197" s="16"/>
    </row>
    <row r="198" spans="2:8">
      <c r="B198" s="5"/>
      <c r="H198" s="16"/>
    </row>
    <row r="199" spans="2:8">
      <c r="B199" s="5"/>
      <c r="H199" s="16"/>
    </row>
    <row r="200" spans="2:8">
      <c r="B200" s="5"/>
      <c r="H200" s="16"/>
    </row>
    <row r="201" spans="2:8">
      <c r="B201" s="5"/>
      <c r="H201" s="16"/>
    </row>
    <row r="202" spans="2:8">
      <c r="B202" s="5"/>
      <c r="H202" s="16"/>
    </row>
    <row r="203" spans="2:8">
      <c r="B203" s="5"/>
      <c r="H203" s="16"/>
    </row>
    <row r="204" spans="2:8">
      <c r="B204" s="5"/>
      <c r="H204" s="16"/>
    </row>
    <row r="205" spans="2:8">
      <c r="B205" s="5"/>
      <c r="H205" s="16"/>
    </row>
    <row r="206" spans="2:8">
      <c r="B206" s="5"/>
      <c r="H206" s="16"/>
    </row>
    <row r="207" spans="2:8">
      <c r="B207" s="5"/>
      <c r="H207" s="16"/>
    </row>
    <row r="208" spans="2:8">
      <c r="B208" s="5"/>
      <c r="H208" s="16"/>
    </row>
    <row r="209" spans="2:8">
      <c r="B209" s="5"/>
      <c r="H209" s="16"/>
    </row>
    <row r="210" spans="2:8">
      <c r="B210" s="5"/>
      <c r="H210" s="16"/>
    </row>
    <row r="211" spans="2:8">
      <c r="B211" s="5"/>
      <c r="H211" s="16"/>
    </row>
    <row r="212" spans="2:8">
      <c r="B212" s="5"/>
      <c r="H212" s="16"/>
    </row>
    <row r="213" spans="2:8">
      <c r="B213" s="5"/>
      <c r="H213" s="16"/>
    </row>
    <row r="214" spans="2:8">
      <c r="B214" s="5"/>
      <c r="H214" s="16"/>
    </row>
    <row r="215" spans="2:8">
      <c r="B215" s="5"/>
      <c r="H215" s="16"/>
    </row>
    <row r="216" spans="2:8">
      <c r="B216" s="5"/>
      <c r="H216" s="16"/>
    </row>
    <row r="217" spans="2:8">
      <c r="B217" s="5"/>
      <c r="H217" s="16"/>
    </row>
    <row r="218" spans="2:8">
      <c r="B218" s="5"/>
      <c r="H218" s="16"/>
    </row>
    <row r="219" spans="2:8">
      <c r="B219" s="5"/>
      <c r="H219" s="16"/>
    </row>
    <row r="220" spans="2:8">
      <c r="B220" s="5"/>
      <c r="H220" s="16"/>
    </row>
    <row r="221" spans="2:8">
      <c r="B221" s="5"/>
      <c r="H221" s="16"/>
    </row>
    <row r="222" spans="2:8">
      <c r="B222" s="5"/>
      <c r="H222" s="16"/>
    </row>
    <row r="223" spans="2:8">
      <c r="B223" s="5"/>
      <c r="H223" s="16"/>
    </row>
    <row r="224" spans="2:8">
      <c r="B224" s="5"/>
      <c r="H224" s="16"/>
    </row>
    <row r="225" spans="2:8">
      <c r="B225" s="5"/>
      <c r="H225" s="16"/>
    </row>
    <row r="226" spans="2:8">
      <c r="B226" s="5"/>
      <c r="H226" s="16"/>
    </row>
    <row r="227" spans="2:8">
      <c r="B227" s="5"/>
      <c r="H227" s="16"/>
    </row>
    <row r="228" spans="2:8">
      <c r="B228" s="5"/>
      <c r="H228" s="16"/>
    </row>
    <row r="229" spans="2:8">
      <c r="B229" s="5"/>
      <c r="H229" s="16"/>
    </row>
    <row r="230" spans="2:8">
      <c r="B230" s="5"/>
      <c r="H230" s="16"/>
    </row>
    <row r="231" spans="2:8">
      <c r="B231" s="5"/>
      <c r="H231" s="16"/>
    </row>
    <row r="232" spans="2:8">
      <c r="B232" s="5"/>
      <c r="H232" s="16"/>
    </row>
    <row r="233" spans="2:8">
      <c r="B233" s="5"/>
      <c r="H233" s="16"/>
    </row>
    <row r="234" spans="2:8">
      <c r="B234" s="5"/>
      <c r="H234" s="16"/>
    </row>
    <row r="235" spans="2:8">
      <c r="B235" s="5"/>
      <c r="H235" s="16"/>
    </row>
    <row r="236" spans="2:8">
      <c r="B236" s="5"/>
      <c r="H236" s="16"/>
    </row>
    <row r="237" spans="2:8">
      <c r="B237" s="5"/>
      <c r="H237" s="16"/>
    </row>
    <row r="238" spans="2:8">
      <c r="B238" s="5"/>
      <c r="H238" s="16"/>
    </row>
    <row r="239" spans="2:8">
      <c r="B239" s="5"/>
      <c r="H239" s="16"/>
    </row>
    <row r="240" spans="2:8">
      <c r="B240" s="5"/>
      <c r="H240" s="16"/>
    </row>
    <row r="241" spans="2:8">
      <c r="B241" s="5"/>
      <c r="H241" s="16"/>
    </row>
    <row r="242" spans="2:8">
      <c r="B242" s="5"/>
      <c r="H242" s="16"/>
    </row>
    <row r="243" spans="2:8">
      <c r="B243" s="5"/>
      <c r="H243" s="16"/>
    </row>
    <row r="244" spans="2:8">
      <c r="B244" s="5"/>
      <c r="H244" s="16"/>
    </row>
    <row r="245" spans="2:8">
      <c r="B245" s="5"/>
      <c r="H245" s="16"/>
    </row>
    <row r="246" spans="2:8">
      <c r="B246" s="5"/>
      <c r="H246" s="16"/>
    </row>
    <row r="247" spans="2:8">
      <c r="B247" s="5"/>
      <c r="H247" s="16"/>
    </row>
    <row r="248" spans="2:8">
      <c r="B248" s="5"/>
      <c r="H248" s="16"/>
    </row>
    <row r="249" spans="2:8">
      <c r="B249" s="5"/>
      <c r="H249" s="16"/>
    </row>
    <row r="250" spans="2:8">
      <c r="B250" s="5"/>
      <c r="H250" s="16"/>
    </row>
    <row r="251" spans="2:8">
      <c r="B251" s="5"/>
      <c r="H251" s="16"/>
    </row>
    <row r="252" spans="2:8">
      <c r="B252" s="5"/>
      <c r="H252" s="16"/>
    </row>
    <row r="253" spans="2:8">
      <c r="B253" s="5"/>
      <c r="H253" s="16"/>
    </row>
    <row r="254" spans="2:8">
      <c r="B254" s="5"/>
      <c r="H254" s="16"/>
    </row>
    <row r="255" spans="2:8">
      <c r="B255" s="5"/>
      <c r="H255" s="16"/>
    </row>
    <row r="256" spans="2:8">
      <c r="B256" s="5"/>
      <c r="H256" s="16"/>
    </row>
    <row r="257" spans="2:8">
      <c r="B257" s="5"/>
      <c r="H257" s="16"/>
    </row>
    <row r="258" spans="2:8">
      <c r="B258" s="5"/>
      <c r="H258" s="16"/>
    </row>
    <row r="259" spans="2:8">
      <c r="B259" s="5"/>
      <c r="H259" s="16"/>
    </row>
    <row r="260" spans="2:8">
      <c r="B260" s="5"/>
      <c r="H260" s="16"/>
    </row>
    <row r="261" spans="2:8">
      <c r="B261" s="5"/>
      <c r="H261" s="16"/>
    </row>
    <row r="262" spans="2:8">
      <c r="B262" s="5"/>
      <c r="H262" s="16"/>
    </row>
    <row r="263" spans="2:8">
      <c r="B263" s="5"/>
      <c r="H263" s="16"/>
    </row>
    <row r="264" spans="2:8">
      <c r="B264" s="5"/>
      <c r="H264" s="16"/>
    </row>
    <row r="265" spans="2:8">
      <c r="B265" s="5"/>
      <c r="H265" s="16"/>
    </row>
    <row r="266" spans="2:8">
      <c r="B266" s="5"/>
      <c r="H266" s="16"/>
    </row>
    <row r="267" spans="2:8">
      <c r="B267" s="5"/>
      <c r="H267" s="16"/>
    </row>
    <row r="268" spans="2:8">
      <c r="B268" s="5"/>
      <c r="H268" s="16"/>
    </row>
    <row r="269" spans="2:8">
      <c r="B269" s="5"/>
      <c r="H269" s="16"/>
    </row>
    <row r="270" spans="2:8">
      <c r="B270" s="5"/>
      <c r="H270" s="16"/>
    </row>
    <row r="271" spans="2:8">
      <c r="B271" s="5"/>
      <c r="H271" s="16"/>
    </row>
    <row r="272" spans="2:8">
      <c r="B272" s="5"/>
      <c r="H272" s="16"/>
    </row>
    <row r="273" spans="2:8">
      <c r="B273" s="5"/>
      <c r="H273" s="16"/>
    </row>
    <row r="274" spans="2:8">
      <c r="B274" s="5"/>
      <c r="H274" s="16"/>
    </row>
    <row r="275" spans="2:8">
      <c r="B275" s="5"/>
      <c r="H275" s="16"/>
    </row>
    <row r="276" spans="2:8">
      <c r="B276" s="5"/>
      <c r="H276" s="16"/>
    </row>
    <row r="277" spans="2:8">
      <c r="B277" s="5"/>
      <c r="H277" s="16"/>
    </row>
    <row r="278" spans="2:8">
      <c r="B278" s="5"/>
      <c r="H278" s="16"/>
    </row>
    <row r="279" spans="2:8">
      <c r="B279" s="5"/>
      <c r="H279" s="16"/>
    </row>
    <row r="280" spans="2:8">
      <c r="B280" s="5"/>
      <c r="H280" s="16"/>
    </row>
    <row r="281" spans="2:8">
      <c r="B281" s="5"/>
      <c r="H281" s="16"/>
    </row>
    <row r="282" spans="2:8">
      <c r="B282" s="5"/>
      <c r="H282" s="16"/>
    </row>
    <row r="283" spans="2:8">
      <c r="B283" s="5"/>
      <c r="H283" s="16"/>
    </row>
    <row r="284" spans="2:8">
      <c r="B284" s="5"/>
      <c r="H284" s="16"/>
    </row>
    <row r="285" spans="2:8">
      <c r="B285" s="5"/>
      <c r="H285" s="16"/>
    </row>
    <row r="286" spans="2:8">
      <c r="B286" s="5"/>
      <c r="H286" s="16"/>
    </row>
    <row r="287" spans="2:8">
      <c r="B287" s="5"/>
      <c r="H287" s="16"/>
    </row>
    <row r="288" spans="2:8">
      <c r="B288" s="5"/>
      <c r="H288" s="16"/>
    </row>
    <row r="289" spans="2:8">
      <c r="B289" s="5"/>
      <c r="H289" s="16"/>
    </row>
    <row r="290" spans="2:8">
      <c r="B290" s="5"/>
      <c r="H290" s="16"/>
    </row>
    <row r="291" spans="2:8">
      <c r="B291" s="5"/>
      <c r="H291" s="16"/>
    </row>
    <row r="292" spans="2:8">
      <c r="B292" s="5"/>
      <c r="H292" s="16"/>
    </row>
    <row r="293" spans="2:8">
      <c r="B293" s="5"/>
      <c r="H293" s="16"/>
    </row>
    <row r="294" spans="2:8">
      <c r="B294" s="5"/>
      <c r="H294" s="16"/>
    </row>
    <row r="295" spans="2:8">
      <c r="B295" s="5"/>
      <c r="H295" s="16"/>
    </row>
    <row r="296" spans="2:8">
      <c r="B296" s="5"/>
      <c r="H296" s="16"/>
    </row>
    <row r="297" spans="2:8">
      <c r="B297" s="5"/>
      <c r="H297" s="16"/>
    </row>
    <row r="298" spans="2:8">
      <c r="B298" s="5"/>
      <c r="H298" s="16"/>
    </row>
    <row r="299" spans="2:8">
      <c r="B299" s="5"/>
      <c r="H299" s="16"/>
    </row>
    <row r="300" spans="2:8">
      <c r="B300" s="5"/>
      <c r="H300" s="16"/>
    </row>
    <row r="301" spans="2:8">
      <c r="B301" s="5"/>
      <c r="H301" s="16"/>
    </row>
    <row r="302" spans="2:8">
      <c r="B302" s="5"/>
      <c r="H302" s="16"/>
    </row>
    <row r="303" spans="2:8">
      <c r="B303" s="5"/>
      <c r="H303" s="16"/>
    </row>
    <row r="304" spans="2:8">
      <c r="B304" s="5"/>
      <c r="H304" s="16"/>
    </row>
    <row r="305" spans="2:8">
      <c r="B305" s="5"/>
      <c r="H305" s="16"/>
    </row>
    <row r="306" spans="2:8">
      <c r="B306" s="5"/>
      <c r="H306" s="16"/>
    </row>
    <row r="307" spans="2:8">
      <c r="B307" s="5"/>
      <c r="H307" s="16"/>
    </row>
    <row r="308" spans="2:8">
      <c r="B308" s="5"/>
      <c r="H308" s="16"/>
    </row>
    <row r="309" spans="2:8">
      <c r="B309" s="5"/>
      <c r="H309" s="16"/>
    </row>
    <row r="310" spans="2:8">
      <c r="B310" s="5"/>
      <c r="H310" s="16"/>
    </row>
    <row r="311" spans="2:8">
      <c r="B311" s="5"/>
      <c r="H311" s="16"/>
    </row>
    <row r="312" spans="2:8">
      <c r="B312" s="5"/>
      <c r="H312" s="16"/>
    </row>
    <row r="313" spans="2:8">
      <c r="B313" s="5"/>
      <c r="H313" s="16"/>
    </row>
    <row r="314" spans="2:8">
      <c r="B314" s="5"/>
      <c r="H314" s="16"/>
    </row>
    <row r="315" spans="2:8">
      <c r="B315" s="5"/>
      <c r="H315" s="16"/>
    </row>
    <row r="316" spans="2:8">
      <c r="B316" s="5"/>
      <c r="H316" s="16"/>
    </row>
    <row r="317" spans="2:8">
      <c r="B317" s="5"/>
      <c r="H317" s="16"/>
    </row>
    <row r="318" spans="2:8">
      <c r="B318" s="5"/>
      <c r="H318" s="16"/>
    </row>
    <row r="319" spans="2:8">
      <c r="B319" s="5"/>
      <c r="H319" s="16"/>
    </row>
    <row r="320" spans="2:8">
      <c r="B320" s="5"/>
      <c r="H320" s="16"/>
    </row>
    <row r="321" spans="2:8">
      <c r="B321" s="5"/>
      <c r="H321" s="16"/>
    </row>
    <row r="322" spans="2:8">
      <c r="B322" s="5"/>
      <c r="H322" s="16"/>
    </row>
    <row r="323" spans="2:8">
      <c r="B323" s="5"/>
      <c r="H323" s="16"/>
    </row>
    <row r="324" spans="2:8">
      <c r="B324" s="5"/>
      <c r="H324" s="16"/>
    </row>
    <row r="325" spans="2:8">
      <c r="B325" s="5"/>
      <c r="H325" s="16"/>
    </row>
    <row r="326" spans="2:8">
      <c r="B326" s="5"/>
      <c r="H326" s="16"/>
    </row>
    <row r="327" spans="2:8">
      <c r="B327" s="5"/>
      <c r="H327" s="16"/>
    </row>
    <row r="328" spans="2:8">
      <c r="B328" s="5"/>
      <c r="H328" s="16"/>
    </row>
    <row r="329" spans="2:8">
      <c r="B329" s="5"/>
      <c r="H329" s="16"/>
    </row>
    <row r="330" spans="2:8">
      <c r="B330" s="5"/>
      <c r="H330" s="16"/>
    </row>
    <row r="331" spans="2:8">
      <c r="B331" s="5"/>
      <c r="H331" s="16"/>
    </row>
    <row r="332" spans="2:8">
      <c r="B332" s="5"/>
      <c r="H332" s="16"/>
    </row>
    <row r="333" spans="2:8">
      <c r="B333" s="5"/>
      <c r="H333" s="16"/>
    </row>
    <row r="334" spans="2:8">
      <c r="B334" s="5"/>
      <c r="H334" s="16"/>
    </row>
    <row r="335" spans="2:8">
      <c r="B335" s="5"/>
      <c r="H335" s="16"/>
    </row>
    <row r="336" spans="2:8">
      <c r="B336" s="5"/>
      <c r="H336" s="16"/>
    </row>
    <row r="337" spans="2:8">
      <c r="B337" s="5"/>
      <c r="H337" s="16"/>
    </row>
    <row r="338" spans="2:8">
      <c r="B338" s="5"/>
      <c r="H338" s="16"/>
    </row>
    <row r="339" spans="2:8">
      <c r="B339" s="5"/>
      <c r="H339" s="16"/>
    </row>
    <row r="340" spans="2:8">
      <c r="B340" s="5"/>
      <c r="H340" s="16"/>
    </row>
    <row r="341" spans="2:8">
      <c r="B341" s="5"/>
      <c r="H341" s="16"/>
    </row>
    <row r="342" spans="2:8">
      <c r="B342" s="5"/>
      <c r="H342" s="16"/>
    </row>
    <row r="343" spans="2:8">
      <c r="B343" s="5"/>
      <c r="H343" s="16"/>
    </row>
    <row r="344" spans="2:8">
      <c r="B344" s="5"/>
      <c r="H344" s="16"/>
    </row>
    <row r="345" spans="2:8">
      <c r="B345" s="5"/>
      <c r="H345" s="16"/>
    </row>
    <row r="346" spans="2:8">
      <c r="B346" s="5"/>
      <c r="H346" s="16"/>
    </row>
    <row r="347" spans="2:8">
      <c r="B347" s="5"/>
      <c r="H347" s="16"/>
    </row>
    <row r="348" spans="2:8">
      <c r="B348" s="5"/>
      <c r="H348" s="16"/>
    </row>
    <row r="349" spans="2:8">
      <c r="B349" s="5"/>
      <c r="H349" s="16"/>
    </row>
    <row r="350" spans="2:8">
      <c r="B350" s="5"/>
      <c r="H350" s="16"/>
    </row>
    <row r="351" spans="2:8">
      <c r="B351" s="5"/>
      <c r="H351" s="16"/>
    </row>
    <row r="352" spans="2:8">
      <c r="B352" s="5"/>
      <c r="H352" s="16"/>
    </row>
    <row r="353" spans="2:8">
      <c r="B353" s="5"/>
      <c r="H353" s="16"/>
    </row>
    <row r="354" spans="2:8">
      <c r="B354" s="5"/>
      <c r="H354" s="16"/>
    </row>
    <row r="355" spans="2:8">
      <c r="B355" s="5"/>
      <c r="H355" s="16"/>
    </row>
    <row r="356" spans="2:8">
      <c r="B356" s="5"/>
      <c r="H356" s="16"/>
    </row>
    <row r="357" spans="2:8">
      <c r="B357" s="5"/>
      <c r="H357" s="16"/>
    </row>
    <row r="358" spans="2:8">
      <c r="B358" s="5"/>
      <c r="H358" s="16"/>
    </row>
    <row r="359" spans="2:8">
      <c r="B359" s="5"/>
      <c r="H359" s="16"/>
    </row>
    <row r="360" spans="2:8">
      <c r="B360" s="5"/>
      <c r="H360" s="16"/>
    </row>
    <row r="361" spans="2:8">
      <c r="B361" s="5"/>
      <c r="H361" s="16"/>
    </row>
    <row r="362" spans="2:8">
      <c r="B362" s="5"/>
      <c r="H362" s="16"/>
    </row>
    <row r="363" spans="2:8">
      <c r="B363" s="5"/>
      <c r="H363" s="16"/>
    </row>
    <row r="364" spans="2:8">
      <c r="B364" s="5"/>
      <c r="H364" s="16"/>
    </row>
    <row r="365" spans="2:8">
      <c r="B365" s="5"/>
      <c r="H365" s="16"/>
    </row>
    <row r="366" spans="2:8">
      <c r="B366" s="5"/>
      <c r="H366" s="16"/>
    </row>
    <row r="367" spans="2:8">
      <c r="B367" s="5"/>
      <c r="H367" s="16"/>
    </row>
    <row r="368" spans="2:8">
      <c r="B368" s="5"/>
      <c r="H368" s="16"/>
    </row>
    <row r="369" spans="2:8">
      <c r="B369" s="5"/>
      <c r="H369" s="16"/>
    </row>
    <row r="370" spans="2:8">
      <c r="B370" s="5"/>
      <c r="H370" s="16"/>
    </row>
    <row r="371" spans="2:8">
      <c r="B371" s="5"/>
      <c r="H371" s="16"/>
    </row>
    <row r="372" spans="2:8">
      <c r="B372" s="5"/>
      <c r="H372" s="16"/>
    </row>
    <row r="373" spans="2:8">
      <c r="B373" s="5"/>
      <c r="H373" s="16"/>
    </row>
    <row r="374" spans="2:8">
      <c r="B374" s="5"/>
      <c r="H374" s="16"/>
    </row>
    <row r="375" spans="2:8">
      <c r="B375" s="5"/>
      <c r="H375" s="16"/>
    </row>
    <row r="376" spans="2:8">
      <c r="B376" s="5"/>
      <c r="H376" s="16"/>
    </row>
    <row r="377" spans="2:8">
      <c r="B377" s="5"/>
      <c r="H377" s="16"/>
    </row>
    <row r="378" spans="2:8">
      <c r="B378" s="5"/>
      <c r="H378" s="16"/>
    </row>
    <row r="379" spans="2:8">
      <c r="B379" s="5"/>
      <c r="H379" s="16"/>
    </row>
    <row r="380" spans="2:8">
      <c r="B380" s="5"/>
      <c r="H380" s="16"/>
    </row>
    <row r="381" spans="2:8">
      <c r="B381" s="5"/>
      <c r="H381" s="16"/>
    </row>
    <row r="382" spans="2:8">
      <c r="B382" s="5"/>
      <c r="H382" s="16"/>
    </row>
    <row r="383" spans="2:8">
      <c r="B383" s="5"/>
      <c r="H383" s="16"/>
    </row>
    <row r="384" spans="2:8">
      <c r="B384" s="5"/>
      <c r="H384" s="16"/>
    </row>
    <row r="385" spans="2:8">
      <c r="B385" s="5"/>
      <c r="H385" s="16"/>
    </row>
    <row r="386" spans="2:8">
      <c r="B386" s="5"/>
      <c r="H386" s="16"/>
    </row>
    <row r="387" spans="2:8">
      <c r="B387" s="5"/>
      <c r="H387" s="16"/>
    </row>
    <row r="388" spans="2:8">
      <c r="B388" s="5"/>
      <c r="H388" s="16"/>
    </row>
    <row r="389" spans="2:8">
      <c r="B389" s="5"/>
      <c r="H389" s="16"/>
    </row>
    <row r="390" spans="2:8">
      <c r="B390" s="5"/>
      <c r="H390" s="16"/>
    </row>
    <row r="391" spans="2:8">
      <c r="B391" s="5"/>
      <c r="H391" s="16"/>
    </row>
    <row r="392" spans="2:8">
      <c r="B392" s="5"/>
      <c r="H392" s="16"/>
    </row>
    <row r="393" spans="2:8">
      <c r="B393" s="5"/>
      <c r="H393" s="16"/>
    </row>
    <row r="394" spans="2:8">
      <c r="B394" s="5"/>
      <c r="H394" s="16"/>
    </row>
    <row r="395" spans="2:8">
      <c r="B395" s="5"/>
      <c r="H395" s="16"/>
    </row>
    <row r="396" spans="2:8">
      <c r="B396" s="5"/>
      <c r="H396" s="16"/>
    </row>
    <row r="397" spans="2:8">
      <c r="B397" s="5"/>
      <c r="H397" s="16"/>
    </row>
    <row r="398" spans="2:8">
      <c r="B398" s="5"/>
      <c r="H398" s="16"/>
    </row>
    <row r="399" spans="2:8">
      <c r="B399" s="5"/>
      <c r="H399" s="16"/>
    </row>
    <row r="400" spans="2:8">
      <c r="B400" s="5"/>
      <c r="H400" s="16"/>
    </row>
    <row r="401" spans="2:8">
      <c r="B401" s="5"/>
      <c r="H401" s="16"/>
    </row>
    <row r="402" spans="2:8">
      <c r="B402" s="5"/>
      <c r="H402" s="16"/>
    </row>
    <row r="403" spans="2:8">
      <c r="B403" s="5"/>
      <c r="H403" s="16"/>
    </row>
    <row r="404" spans="2:8">
      <c r="B404" s="5"/>
      <c r="H404" s="16"/>
    </row>
    <row r="405" spans="2:8">
      <c r="B405" s="5"/>
      <c r="H405" s="16"/>
    </row>
    <row r="406" spans="2:8">
      <c r="B406" s="5"/>
      <c r="H406" s="16"/>
    </row>
    <row r="407" spans="2:8">
      <c r="B407" s="5"/>
      <c r="H407" s="16"/>
    </row>
    <row r="408" spans="2:8">
      <c r="B408" s="5"/>
      <c r="H408" s="16"/>
    </row>
    <row r="409" spans="2:8">
      <c r="B409" s="5"/>
      <c r="H409" s="16"/>
    </row>
    <row r="410" spans="2:8">
      <c r="B410" s="5"/>
      <c r="H410" s="16"/>
    </row>
    <row r="411" spans="2:8">
      <c r="B411" s="5"/>
      <c r="H411" s="16"/>
    </row>
    <row r="412" spans="2:8">
      <c r="B412" s="5"/>
      <c r="H412" s="16"/>
    </row>
    <row r="413" spans="2:8">
      <c r="B413" s="5"/>
      <c r="H413" s="16"/>
    </row>
    <row r="414" spans="2:8">
      <c r="B414" s="5"/>
      <c r="H414" s="16"/>
    </row>
    <row r="415" spans="2:8">
      <c r="B415" s="5"/>
      <c r="H415" s="16"/>
    </row>
    <row r="416" spans="2:8">
      <c r="B416" s="5"/>
      <c r="H416" s="16"/>
    </row>
    <row r="417" spans="2:8">
      <c r="B417" s="5"/>
      <c r="H417" s="16"/>
    </row>
    <row r="418" spans="2:8">
      <c r="B418" s="5"/>
      <c r="H418" s="16"/>
    </row>
    <row r="419" spans="2:8">
      <c r="B419" s="5"/>
      <c r="H419" s="16"/>
    </row>
    <row r="420" spans="2:8">
      <c r="B420" s="5"/>
      <c r="H420" s="16"/>
    </row>
    <row r="421" spans="2:8">
      <c r="B421" s="5"/>
      <c r="H421" s="16"/>
    </row>
    <row r="422" spans="2:8">
      <c r="B422" s="5"/>
      <c r="H422" s="16"/>
    </row>
    <row r="423" spans="2:8">
      <c r="B423" s="5"/>
      <c r="H423" s="16"/>
    </row>
    <row r="424" spans="2:8">
      <c r="B424" s="5"/>
      <c r="H424" s="16"/>
    </row>
    <row r="425" spans="2:8">
      <c r="B425" s="5"/>
      <c r="H425" s="16"/>
    </row>
    <row r="426" spans="2:8">
      <c r="B426" s="5"/>
      <c r="H426" s="16"/>
    </row>
    <row r="427" spans="2:8">
      <c r="B427" s="5"/>
      <c r="H427" s="16"/>
    </row>
    <row r="428" spans="2:8">
      <c r="B428" s="5"/>
      <c r="H428" s="16"/>
    </row>
    <row r="429" spans="2:8">
      <c r="B429" s="5"/>
      <c r="H429" s="16"/>
    </row>
    <row r="430" spans="2:8">
      <c r="B430" s="5"/>
      <c r="H430" s="16"/>
    </row>
    <row r="431" spans="2:8">
      <c r="B431" s="5"/>
      <c r="H431" s="16"/>
    </row>
    <row r="432" spans="2:8">
      <c r="B432" s="5"/>
      <c r="H432" s="16"/>
    </row>
    <row r="433" spans="2:8">
      <c r="B433" s="5"/>
      <c r="H433" s="16"/>
    </row>
    <row r="434" spans="2:8">
      <c r="B434" s="5"/>
      <c r="H434" s="16"/>
    </row>
    <row r="435" spans="2:8">
      <c r="B435" s="5"/>
      <c r="H435" s="16"/>
    </row>
    <row r="436" spans="2:8">
      <c r="B436" s="5"/>
      <c r="H436" s="16"/>
    </row>
    <row r="437" spans="2:8">
      <c r="B437" s="5"/>
      <c r="H437" s="16"/>
    </row>
    <row r="438" spans="2:8">
      <c r="B438" s="5"/>
      <c r="H438" s="16"/>
    </row>
    <row r="439" spans="2:8">
      <c r="B439" s="5"/>
      <c r="H439" s="16"/>
    </row>
    <row r="440" spans="2:8">
      <c r="B440" s="5"/>
      <c r="H440" s="16"/>
    </row>
    <row r="441" spans="2:8">
      <c r="B441" s="5"/>
      <c r="H441" s="16"/>
    </row>
    <row r="442" spans="2:8">
      <c r="B442" s="5"/>
      <c r="H442" s="16"/>
    </row>
    <row r="443" spans="2:8">
      <c r="B443" s="5"/>
      <c r="H443" s="16"/>
    </row>
    <row r="444" spans="2:8">
      <c r="B444" s="5"/>
      <c r="H444" s="16"/>
    </row>
    <row r="445" spans="2:8">
      <c r="B445" s="5"/>
      <c r="H445" s="16"/>
    </row>
    <row r="446" spans="2:8">
      <c r="B446" s="5"/>
      <c r="H446" s="16"/>
    </row>
    <row r="447" spans="2:8">
      <c r="B447" s="5"/>
      <c r="H447" s="16"/>
    </row>
    <row r="448" spans="2:8">
      <c r="B448" s="5"/>
      <c r="H448" s="16"/>
    </row>
    <row r="449" spans="2:8">
      <c r="B449" s="5"/>
      <c r="H449" s="16"/>
    </row>
    <row r="450" spans="2:8">
      <c r="B450" s="5"/>
      <c r="H450" s="16"/>
    </row>
    <row r="451" spans="2:8">
      <c r="B451" s="5"/>
      <c r="H451" s="16"/>
    </row>
    <row r="452" spans="2:8">
      <c r="B452" s="5"/>
      <c r="H452" s="16"/>
    </row>
    <row r="453" spans="2:8">
      <c r="B453" s="5"/>
      <c r="H453" s="16"/>
    </row>
    <row r="454" spans="2:8">
      <c r="B454" s="5"/>
      <c r="H454" s="16"/>
    </row>
    <row r="455" spans="2:8">
      <c r="B455" s="5"/>
      <c r="H455" s="16"/>
    </row>
    <row r="456" spans="2:8">
      <c r="B456" s="5"/>
      <c r="H456" s="16"/>
    </row>
    <row r="457" spans="2:8">
      <c r="B457" s="5"/>
      <c r="H457" s="16"/>
    </row>
    <row r="458" spans="2:8">
      <c r="B458" s="5"/>
      <c r="H458" s="16"/>
    </row>
    <row r="459" spans="2:8">
      <c r="B459" s="5"/>
      <c r="H459" s="16"/>
    </row>
    <row r="460" spans="2:8">
      <c r="B460" s="5"/>
      <c r="H460" s="16"/>
    </row>
    <row r="461" spans="2:8">
      <c r="B461" s="5"/>
      <c r="H461" s="16"/>
    </row>
    <row r="462" spans="2:8">
      <c r="B462" s="5"/>
      <c r="H462" s="16"/>
    </row>
    <row r="463" spans="2:8">
      <c r="B463" s="5"/>
      <c r="H463" s="16"/>
    </row>
    <row r="464" spans="2:8">
      <c r="B464" s="5"/>
      <c r="H464" s="16"/>
    </row>
    <row r="465" spans="2:8">
      <c r="B465" s="5"/>
      <c r="H465" s="16"/>
    </row>
    <row r="466" spans="2:8">
      <c r="B466" s="5"/>
      <c r="H466" s="16"/>
    </row>
    <row r="467" spans="2:8">
      <c r="B467" s="5"/>
      <c r="H467" s="16"/>
    </row>
    <row r="468" spans="2:8">
      <c r="B468" s="5"/>
      <c r="H468" s="16"/>
    </row>
    <row r="469" spans="2:8">
      <c r="B469" s="5"/>
      <c r="H469" s="16"/>
    </row>
    <row r="470" spans="2:8">
      <c r="B470" s="5"/>
      <c r="H470" s="16"/>
    </row>
    <row r="471" spans="2:8">
      <c r="B471" s="5"/>
      <c r="H471" s="16"/>
    </row>
    <row r="472" spans="2:8">
      <c r="B472" s="5"/>
      <c r="H472" s="16"/>
    </row>
    <row r="473" spans="2:8">
      <c r="B473" s="5"/>
      <c r="H473" s="16"/>
    </row>
    <row r="474" spans="2:8">
      <c r="B474" s="5"/>
      <c r="H474" s="16"/>
    </row>
    <row r="475" spans="2:8">
      <c r="B475" s="5"/>
      <c r="H475" s="16"/>
    </row>
    <row r="476" spans="2:8">
      <c r="B476" s="5"/>
      <c r="H476" s="16"/>
    </row>
    <row r="477" spans="2:8">
      <c r="B477" s="5"/>
      <c r="H477" s="16"/>
    </row>
    <row r="478" spans="2:8">
      <c r="B478" s="5"/>
      <c r="H478" s="16"/>
    </row>
    <row r="479" spans="2:8">
      <c r="B479" s="5"/>
      <c r="H479" s="16"/>
    </row>
    <row r="480" spans="2:8">
      <c r="B480" s="5"/>
      <c r="H480" s="16"/>
    </row>
    <row r="481" spans="2:8">
      <c r="B481" s="5"/>
      <c r="H481" s="16"/>
    </row>
    <row r="482" spans="2:8">
      <c r="B482" s="5"/>
      <c r="H482" s="16"/>
    </row>
    <row r="483" spans="2:8">
      <c r="B483" s="5"/>
      <c r="H483" s="16"/>
    </row>
    <row r="484" spans="2:8">
      <c r="B484" s="5"/>
      <c r="H484" s="16"/>
    </row>
    <row r="485" spans="2:8">
      <c r="B485" s="5"/>
      <c r="H485" s="16"/>
    </row>
    <row r="486" spans="2:8">
      <c r="B486" s="5"/>
      <c r="H486" s="16"/>
    </row>
    <row r="487" spans="2:8">
      <c r="B487" s="5"/>
      <c r="H487" s="16"/>
    </row>
    <row r="488" spans="2:8">
      <c r="B488" s="5"/>
      <c r="H488" s="16"/>
    </row>
    <row r="489" spans="2:8">
      <c r="B489" s="5"/>
      <c r="H489" s="16"/>
    </row>
    <row r="490" spans="2:8">
      <c r="B490" s="5"/>
      <c r="H490" s="16"/>
    </row>
    <row r="491" spans="2:8">
      <c r="B491" s="5"/>
      <c r="H491" s="16"/>
    </row>
    <row r="492" spans="2:8">
      <c r="B492" s="5"/>
      <c r="H492" s="16"/>
    </row>
    <row r="493" spans="2:8">
      <c r="B493" s="5"/>
      <c r="H493" s="16"/>
    </row>
    <row r="494" spans="2:8">
      <c r="B494" s="5"/>
      <c r="H494" s="16"/>
    </row>
    <row r="495" spans="2:8">
      <c r="B495" s="5"/>
      <c r="H495" s="16"/>
    </row>
    <row r="496" spans="2:8">
      <c r="B496" s="5"/>
      <c r="H496" s="16"/>
    </row>
    <row r="497" spans="2:8">
      <c r="B497" s="5"/>
      <c r="H497" s="16"/>
    </row>
    <row r="498" spans="2:8">
      <c r="B498" s="5"/>
      <c r="H498" s="16"/>
    </row>
    <row r="499" spans="2:8">
      <c r="B499" s="5"/>
      <c r="H499" s="16"/>
    </row>
    <row r="500" spans="2:8">
      <c r="B500" s="5"/>
      <c r="H500" s="16"/>
    </row>
    <row r="501" spans="2:8">
      <c r="B501" s="5"/>
      <c r="H501" s="16"/>
    </row>
    <row r="502" spans="2:8">
      <c r="B502" s="5"/>
      <c r="H502" s="16"/>
    </row>
    <row r="503" spans="2:8">
      <c r="B503" s="5"/>
      <c r="H503" s="16"/>
    </row>
    <row r="504" spans="2:8">
      <c r="B504" s="5"/>
      <c r="H504" s="16"/>
    </row>
    <row r="505" spans="2:8">
      <c r="B505" s="5"/>
      <c r="H505" s="16"/>
    </row>
    <row r="506" spans="2:8">
      <c r="B506" s="5"/>
      <c r="H506" s="16"/>
    </row>
    <row r="507" spans="2:8">
      <c r="B507" s="5"/>
      <c r="H507" s="16"/>
    </row>
    <row r="508" spans="2:8">
      <c r="B508" s="5"/>
      <c r="H508" s="16"/>
    </row>
    <row r="509" spans="2:8">
      <c r="B509" s="5"/>
      <c r="H509" s="16"/>
    </row>
    <row r="510" spans="2:8">
      <c r="B510" s="5"/>
      <c r="H510" s="16"/>
    </row>
    <row r="511" spans="2:8">
      <c r="B511" s="5"/>
      <c r="H511" s="16"/>
    </row>
    <row r="512" spans="2:8">
      <c r="B512" s="5"/>
      <c r="H512" s="16"/>
    </row>
    <row r="513" spans="2:8">
      <c r="B513" s="5"/>
      <c r="H513" s="16"/>
    </row>
    <row r="514" spans="2:8">
      <c r="B514" s="5"/>
      <c r="H514" s="16"/>
    </row>
    <row r="515" spans="2:8">
      <c r="B515" s="5"/>
      <c r="H515" s="16"/>
    </row>
    <row r="516" spans="2:8">
      <c r="B516" s="5"/>
      <c r="H516" s="16"/>
    </row>
    <row r="517" spans="2:8">
      <c r="B517" s="5"/>
      <c r="H517" s="16"/>
    </row>
    <row r="518" spans="2:8">
      <c r="B518" s="5"/>
      <c r="H518" s="16"/>
    </row>
    <row r="519" spans="2:8">
      <c r="B519" s="5"/>
      <c r="H519" s="16"/>
    </row>
    <row r="520" spans="2:8">
      <c r="B520" s="5"/>
      <c r="H520" s="16"/>
    </row>
    <row r="521" spans="2:8">
      <c r="B521" s="5"/>
      <c r="H521" s="16"/>
    </row>
    <row r="522" spans="2:8">
      <c r="B522" s="5"/>
      <c r="H522" s="16"/>
    </row>
    <row r="523" spans="2:8">
      <c r="B523" s="5"/>
      <c r="H523" s="16"/>
    </row>
    <row r="524" spans="2:8">
      <c r="B524" s="5"/>
      <c r="H524" s="16"/>
    </row>
    <row r="525" spans="2:8">
      <c r="B525" s="5"/>
      <c r="H525" s="16"/>
    </row>
    <row r="526" spans="2:8">
      <c r="B526" s="5"/>
      <c r="H526" s="16"/>
    </row>
    <row r="527" spans="2:8">
      <c r="B527" s="5"/>
      <c r="H527" s="16"/>
    </row>
    <row r="528" spans="2:8">
      <c r="B528" s="5"/>
      <c r="H528" s="16"/>
    </row>
    <row r="529" spans="2:8">
      <c r="B529" s="5"/>
      <c r="H529" s="16"/>
    </row>
    <row r="530" spans="2:8">
      <c r="B530" s="5"/>
      <c r="H530" s="16"/>
    </row>
    <row r="531" spans="2:8">
      <c r="B531" s="5"/>
      <c r="H531" s="16"/>
    </row>
    <row r="532" spans="2:8">
      <c r="B532" s="5"/>
      <c r="H532" s="16"/>
    </row>
    <row r="533" spans="2:8">
      <c r="B533" s="5"/>
      <c r="H533" s="16"/>
    </row>
    <row r="534" spans="2:8">
      <c r="B534" s="5"/>
      <c r="H534" s="16"/>
    </row>
    <row r="535" spans="2:8">
      <c r="B535" s="5"/>
      <c r="H535" s="16"/>
    </row>
    <row r="536" spans="2:8">
      <c r="B536" s="5"/>
      <c r="H536" s="16"/>
    </row>
    <row r="537" spans="2:8">
      <c r="B537" s="5"/>
      <c r="H537" s="16"/>
    </row>
    <row r="538" spans="2:8">
      <c r="B538" s="5"/>
      <c r="H538" s="16"/>
    </row>
    <row r="539" spans="2:8">
      <c r="B539" s="5"/>
      <c r="H539" s="16"/>
    </row>
    <row r="540" spans="2:8">
      <c r="B540" s="5"/>
      <c r="H540" s="16"/>
    </row>
    <row r="541" spans="2:8">
      <c r="B541" s="5"/>
      <c r="H541" s="16"/>
    </row>
    <row r="542" spans="2:8">
      <c r="B542" s="5"/>
      <c r="H542" s="16"/>
    </row>
    <row r="543" spans="2:8">
      <c r="B543" s="5"/>
      <c r="H543" s="16"/>
    </row>
    <row r="544" spans="2:8">
      <c r="B544" s="5"/>
      <c r="H544" s="16"/>
    </row>
    <row r="545" spans="2:8">
      <c r="B545" s="5"/>
      <c r="H545" s="16"/>
    </row>
    <row r="546" spans="2:8">
      <c r="B546" s="5"/>
      <c r="H546" s="16"/>
    </row>
    <row r="547" spans="2:8">
      <c r="B547" s="5"/>
      <c r="H547" s="16"/>
    </row>
    <row r="548" spans="2:8">
      <c r="B548" s="5"/>
      <c r="H548" s="16"/>
    </row>
    <row r="549" spans="2:8">
      <c r="B549" s="5"/>
      <c r="H549" s="16"/>
    </row>
    <row r="550" spans="2:8">
      <c r="B550" s="5"/>
      <c r="H550" s="16"/>
    </row>
    <row r="551" spans="2:8">
      <c r="B551" s="5"/>
      <c r="H551" s="16"/>
    </row>
    <row r="552" spans="2:8">
      <c r="B552" s="5"/>
      <c r="H552" s="16"/>
    </row>
    <row r="553" spans="2:8">
      <c r="B553" s="5"/>
      <c r="H553" s="16"/>
    </row>
    <row r="554" spans="2:8">
      <c r="B554" s="5"/>
      <c r="H554" s="16"/>
    </row>
    <row r="555" spans="2:8">
      <c r="B555" s="5"/>
      <c r="H555" s="16"/>
    </row>
    <row r="556" spans="2:8">
      <c r="B556" s="5"/>
      <c r="H556" s="16"/>
    </row>
    <row r="557" spans="2:8">
      <c r="B557" s="5"/>
      <c r="H557" s="16"/>
    </row>
    <row r="558" spans="2:8">
      <c r="B558" s="5"/>
      <c r="H558" s="16"/>
    </row>
    <row r="559" spans="2:8">
      <c r="B559" s="5"/>
      <c r="H559" s="16"/>
    </row>
    <row r="560" spans="2:8">
      <c r="B560" s="5"/>
      <c r="H560" s="16"/>
    </row>
    <row r="561" spans="2:8">
      <c r="B561" s="5"/>
      <c r="H561" s="16"/>
    </row>
    <row r="562" spans="2:8">
      <c r="B562" s="5"/>
      <c r="H562" s="16"/>
    </row>
    <row r="563" spans="2:8">
      <c r="B563" s="5"/>
      <c r="H563" s="16"/>
    </row>
    <row r="564" spans="2:8">
      <c r="B564" s="5"/>
      <c r="H564" s="16"/>
    </row>
    <row r="565" spans="2:8">
      <c r="B565" s="5"/>
      <c r="H565" s="16"/>
    </row>
    <row r="566" spans="2:8">
      <c r="B566" s="5"/>
      <c r="H566" s="16"/>
    </row>
    <row r="567" spans="2:8">
      <c r="B567" s="5"/>
      <c r="H567" s="16"/>
    </row>
    <row r="568" spans="2:8">
      <c r="B568" s="5"/>
      <c r="H568" s="16"/>
    </row>
    <row r="569" spans="2:8">
      <c r="B569" s="5"/>
      <c r="H569" s="16"/>
    </row>
    <row r="570" spans="2:8">
      <c r="B570" s="5"/>
      <c r="H570" s="16"/>
    </row>
    <row r="571" spans="2:8">
      <c r="B571" s="5"/>
      <c r="H571" s="16"/>
    </row>
    <row r="572" spans="2:8">
      <c r="B572" s="5"/>
      <c r="H572" s="16"/>
    </row>
    <row r="573" spans="2:8">
      <c r="B573" s="5"/>
      <c r="H573" s="16"/>
    </row>
    <row r="574" spans="2:8">
      <c r="B574" s="5"/>
      <c r="H574" s="16"/>
    </row>
    <row r="575" spans="2:8">
      <c r="B575" s="5"/>
      <c r="H575" s="16"/>
    </row>
    <row r="576" spans="2:8">
      <c r="B576" s="5"/>
      <c r="H576" s="16"/>
    </row>
    <row r="577" spans="2:8">
      <c r="B577" s="5"/>
      <c r="H577" s="16"/>
    </row>
    <row r="578" spans="2:8">
      <c r="B578" s="5"/>
      <c r="H578" s="16"/>
    </row>
    <row r="579" spans="2:8">
      <c r="B579" s="5"/>
      <c r="H579" s="16"/>
    </row>
    <row r="580" spans="2:8">
      <c r="B580" s="5"/>
      <c r="H580" s="16"/>
    </row>
    <row r="581" spans="2:8">
      <c r="B581" s="5"/>
      <c r="H581" s="16"/>
    </row>
    <row r="582" spans="2:8">
      <c r="B582" s="5"/>
      <c r="H582" s="16"/>
    </row>
    <row r="583" spans="2:8">
      <c r="B583" s="5"/>
      <c r="H583" s="16"/>
    </row>
    <row r="584" spans="2:8">
      <c r="B584" s="5"/>
      <c r="H584" s="16"/>
    </row>
    <row r="585" spans="2:8">
      <c r="B585" s="5"/>
      <c r="H585" s="16"/>
    </row>
    <row r="586" spans="2:8">
      <c r="B586" s="5"/>
      <c r="H586" s="16"/>
    </row>
    <row r="587" spans="2:8">
      <c r="B587" s="5"/>
      <c r="H587" s="16"/>
    </row>
    <row r="588" spans="2:8">
      <c r="B588" s="5"/>
      <c r="H588" s="16"/>
    </row>
    <row r="589" spans="2:8">
      <c r="B589" s="5"/>
      <c r="H589" s="16"/>
    </row>
    <row r="590" spans="2:8">
      <c r="B590" s="5"/>
      <c r="H590" s="16"/>
    </row>
    <row r="591" spans="2:8">
      <c r="B591" s="5"/>
      <c r="H591" s="16"/>
    </row>
    <row r="592" spans="2:8">
      <c r="B592" s="5"/>
      <c r="H592" s="16"/>
    </row>
    <row r="593" spans="2:8">
      <c r="B593" s="5"/>
      <c r="H593" s="16"/>
    </row>
    <row r="594" spans="2:8">
      <c r="B594" s="5"/>
      <c r="H594" s="16"/>
    </row>
    <row r="595" spans="2:8">
      <c r="B595" s="5"/>
      <c r="H595" s="16"/>
    </row>
    <row r="596" spans="2:8">
      <c r="B596" s="5"/>
      <c r="H596" s="16"/>
    </row>
    <row r="597" spans="2:8">
      <c r="B597" s="5"/>
      <c r="H597" s="16"/>
    </row>
    <row r="598" spans="2:8">
      <c r="B598" s="5"/>
      <c r="H598" s="16"/>
    </row>
    <row r="599" spans="2:8">
      <c r="B599" s="5"/>
      <c r="H599" s="16"/>
    </row>
    <row r="600" spans="2:8">
      <c r="B600" s="5"/>
      <c r="H600" s="16"/>
    </row>
    <row r="601" spans="2:8">
      <c r="B601" s="5"/>
      <c r="H601" s="16"/>
    </row>
    <row r="602" spans="2:8">
      <c r="B602" s="5"/>
      <c r="H602" s="16"/>
    </row>
    <row r="603" spans="2:8">
      <c r="B603" s="5"/>
      <c r="H603" s="16"/>
    </row>
    <row r="604" spans="2:8">
      <c r="B604" s="5"/>
      <c r="H604" s="16"/>
    </row>
    <row r="605" spans="2:8">
      <c r="B605" s="5"/>
      <c r="H605" s="16"/>
    </row>
    <row r="606" spans="2:8">
      <c r="B606" s="5"/>
      <c r="H606" s="16"/>
    </row>
    <row r="607" spans="2:8">
      <c r="B607" s="5"/>
      <c r="H607" s="16"/>
    </row>
    <row r="608" spans="2:8">
      <c r="B608" s="5"/>
      <c r="H608" s="16"/>
    </row>
    <row r="609" spans="2:8">
      <c r="B609" s="5"/>
      <c r="H609" s="16"/>
    </row>
    <row r="610" spans="2:8">
      <c r="B610" s="5"/>
      <c r="H610" s="16"/>
    </row>
    <row r="611" spans="2:8">
      <c r="B611" s="5"/>
      <c r="H611" s="16"/>
    </row>
    <row r="612" spans="2:8">
      <c r="B612" s="5"/>
      <c r="H612" s="16"/>
    </row>
    <row r="613" spans="2:8">
      <c r="B613" s="5"/>
      <c r="H613" s="16"/>
    </row>
    <row r="614" spans="2:8">
      <c r="B614" s="5"/>
      <c r="H614" s="16"/>
    </row>
    <row r="615" spans="2:8">
      <c r="B615" s="5"/>
      <c r="H615" s="16"/>
    </row>
    <row r="616" spans="2:8">
      <c r="B616" s="5"/>
      <c r="H616" s="16"/>
    </row>
    <row r="617" spans="2:8">
      <c r="B617" s="5"/>
      <c r="H617" s="16"/>
    </row>
    <row r="618" spans="2:8">
      <c r="B618" s="5"/>
      <c r="H618" s="16"/>
    </row>
    <row r="619" spans="2:8">
      <c r="B619" s="5"/>
      <c r="H619" s="16"/>
    </row>
    <row r="620" spans="2:8">
      <c r="B620" s="5"/>
      <c r="H620" s="16"/>
    </row>
    <row r="621" spans="2:8">
      <c r="B621" s="5"/>
      <c r="H621" s="16"/>
    </row>
    <row r="622" spans="2:8">
      <c r="B622" s="5"/>
      <c r="H622" s="16"/>
    </row>
    <row r="623" spans="2:8">
      <c r="B623" s="5"/>
      <c r="H623" s="16"/>
    </row>
    <row r="624" spans="2:8">
      <c r="B624" s="5"/>
      <c r="H624" s="16"/>
    </row>
    <row r="625" spans="2:8">
      <c r="B625" s="5"/>
      <c r="H625" s="16"/>
    </row>
    <row r="626" spans="2:8">
      <c r="B626" s="5"/>
      <c r="H626" s="16"/>
    </row>
    <row r="627" spans="2:8">
      <c r="B627" s="5"/>
      <c r="H627" s="16"/>
    </row>
    <row r="628" spans="2:8">
      <c r="B628" s="5"/>
      <c r="H628" s="16"/>
    </row>
    <row r="629" spans="2:8">
      <c r="B629" s="5"/>
      <c r="H629" s="16"/>
    </row>
    <row r="630" spans="2:8">
      <c r="B630" s="5"/>
      <c r="H630" s="16"/>
    </row>
    <row r="631" spans="2:8">
      <c r="B631" s="5"/>
      <c r="H631" s="16"/>
    </row>
    <row r="632" spans="2:8">
      <c r="B632" s="5"/>
      <c r="H632" s="16"/>
    </row>
    <row r="633" spans="2:8">
      <c r="B633" s="5"/>
      <c r="H633" s="16"/>
    </row>
    <row r="634" spans="2:8">
      <c r="B634" s="5"/>
      <c r="H634" s="16"/>
    </row>
    <row r="635" spans="2:8">
      <c r="B635" s="5"/>
      <c r="H635" s="16"/>
    </row>
    <row r="636" spans="2:8">
      <c r="B636" s="5"/>
      <c r="H636" s="16"/>
    </row>
    <row r="637" spans="2:8">
      <c r="B637" s="5"/>
      <c r="H637" s="16"/>
    </row>
    <row r="638" spans="2:8">
      <c r="B638" s="5"/>
      <c r="H638" s="16"/>
    </row>
    <row r="639" spans="2:8">
      <c r="B639" s="5"/>
      <c r="H639" s="16"/>
    </row>
    <row r="640" spans="2:8">
      <c r="B640" s="5"/>
      <c r="H640" s="16"/>
    </row>
    <row r="641" spans="2:8">
      <c r="B641" s="5"/>
      <c r="H641" s="16"/>
    </row>
    <row r="642" spans="2:8">
      <c r="B642" s="5"/>
      <c r="H642" s="16"/>
    </row>
    <row r="643" spans="2:8">
      <c r="B643" s="5"/>
      <c r="H643" s="16"/>
    </row>
    <row r="644" spans="2:8">
      <c r="B644" s="5"/>
      <c r="H644" s="16"/>
    </row>
    <row r="645" spans="2:8">
      <c r="B645" s="5"/>
      <c r="H645" s="16"/>
    </row>
    <row r="646" spans="2:8">
      <c r="B646" s="5"/>
      <c r="H646" s="16"/>
    </row>
    <row r="647" spans="2:8">
      <c r="B647" s="5"/>
      <c r="H647" s="16"/>
    </row>
    <row r="648" spans="2:8">
      <c r="B648" s="5"/>
      <c r="H648" s="16"/>
    </row>
    <row r="649" spans="2:8">
      <c r="B649" s="5"/>
      <c r="H649" s="16"/>
    </row>
    <row r="650" spans="2:8">
      <c r="B650" s="5"/>
      <c r="H650" s="16"/>
    </row>
    <row r="651" spans="2:8">
      <c r="B651" s="5"/>
      <c r="H651" s="16"/>
    </row>
    <row r="652" spans="2:8">
      <c r="B652" s="5"/>
      <c r="H652" s="16"/>
    </row>
    <row r="653" spans="2:8">
      <c r="B653" s="5"/>
      <c r="H653" s="16"/>
    </row>
    <row r="654" spans="2:8">
      <c r="B654" s="5"/>
      <c r="H654" s="16"/>
    </row>
    <row r="655" spans="2:8">
      <c r="B655" s="5"/>
      <c r="H655" s="16"/>
    </row>
    <row r="656" spans="2:8">
      <c r="B656" s="5"/>
      <c r="H656" s="16"/>
    </row>
    <row r="657" spans="2:8">
      <c r="B657" s="5"/>
      <c r="H657" s="16"/>
    </row>
    <row r="658" spans="2:8">
      <c r="B658" s="5"/>
      <c r="H658" s="16"/>
    </row>
    <row r="659" spans="2:8">
      <c r="B659" s="5"/>
      <c r="H659" s="16"/>
    </row>
    <row r="660" spans="2:8">
      <c r="B660" s="5"/>
      <c r="H660" s="16"/>
    </row>
    <row r="661" spans="2:8">
      <c r="B661" s="5"/>
      <c r="H661" s="16"/>
    </row>
    <row r="662" spans="2:8">
      <c r="B662" s="5"/>
      <c r="H662" s="16"/>
    </row>
    <row r="663" spans="2:8">
      <c r="B663" s="5"/>
      <c r="H663" s="16"/>
    </row>
    <row r="664" spans="2:8">
      <c r="B664" s="5"/>
      <c r="H664" s="16"/>
    </row>
    <row r="665" spans="2:8">
      <c r="B665" s="5"/>
      <c r="H665" s="16"/>
    </row>
    <row r="666" spans="2:8">
      <c r="B666" s="5"/>
      <c r="H666" s="16"/>
    </row>
    <row r="667" spans="2:8">
      <c r="B667" s="5"/>
      <c r="H667" s="16"/>
    </row>
    <row r="668" spans="2:8">
      <c r="B668" s="5"/>
      <c r="H668" s="16"/>
    </row>
    <row r="669" spans="2:8">
      <c r="B669" s="5"/>
      <c r="H669" s="16"/>
    </row>
    <row r="670" spans="2:8">
      <c r="B670" s="5"/>
      <c r="H670" s="16"/>
    </row>
    <row r="671" spans="2:8">
      <c r="B671" s="5"/>
      <c r="H671" s="16"/>
    </row>
    <row r="672" spans="2:8">
      <c r="B672" s="5"/>
      <c r="H672" s="16"/>
    </row>
    <row r="673" spans="2:8">
      <c r="B673" s="5"/>
      <c r="H673" s="16"/>
    </row>
    <row r="674" spans="2:8">
      <c r="B674" s="5"/>
      <c r="H674" s="16"/>
    </row>
    <row r="675" spans="2:8">
      <c r="B675" s="5"/>
      <c r="H675" s="16"/>
    </row>
    <row r="676" spans="2:8">
      <c r="B676" s="5"/>
      <c r="H676" s="16"/>
    </row>
    <row r="677" spans="2:8">
      <c r="B677" s="5"/>
      <c r="H677" s="16"/>
    </row>
    <row r="678" spans="2:8">
      <c r="B678" s="5"/>
      <c r="H678" s="16"/>
    </row>
    <row r="679" spans="2:8">
      <c r="B679" s="5"/>
      <c r="H679" s="16"/>
    </row>
    <row r="680" spans="2:8">
      <c r="B680" s="5"/>
      <c r="H680" s="16"/>
    </row>
    <row r="681" spans="2:8">
      <c r="B681" s="5"/>
      <c r="H681" s="16"/>
    </row>
    <row r="682" spans="2:8">
      <c r="B682" s="5"/>
      <c r="H682" s="16"/>
    </row>
    <row r="683" spans="2:8">
      <c r="B683" s="5"/>
      <c r="H683" s="16"/>
    </row>
    <row r="684" spans="2:8">
      <c r="B684" s="5"/>
      <c r="H684" s="16"/>
    </row>
    <row r="685" spans="2:8">
      <c r="B685" s="5"/>
      <c r="H685" s="16"/>
    </row>
    <row r="686" spans="2:8">
      <c r="B686" s="5"/>
      <c r="H686" s="16"/>
    </row>
    <row r="687" spans="2:8">
      <c r="B687" s="5"/>
      <c r="H687" s="16"/>
    </row>
    <row r="688" spans="2:8">
      <c r="B688" s="5"/>
      <c r="H688" s="16"/>
    </row>
    <row r="689" spans="2:8">
      <c r="B689" s="5"/>
      <c r="H689" s="16"/>
    </row>
    <row r="690" spans="2:8">
      <c r="B690" s="5"/>
      <c r="H690" s="16"/>
    </row>
    <row r="691" spans="2:8">
      <c r="B691" s="5"/>
      <c r="H691" s="16"/>
    </row>
    <row r="692" spans="2:8">
      <c r="B692" s="5"/>
      <c r="H692" s="16"/>
    </row>
    <row r="693" spans="2:8">
      <c r="B693" s="5"/>
      <c r="H693" s="16"/>
    </row>
    <row r="694" spans="2:8">
      <c r="B694" s="5"/>
      <c r="H694" s="16"/>
    </row>
    <row r="695" spans="2:8">
      <c r="B695" s="5"/>
      <c r="H695" s="16"/>
    </row>
    <row r="696" spans="2:8">
      <c r="B696" s="5"/>
      <c r="H696" s="16"/>
    </row>
    <row r="697" spans="2:8">
      <c r="B697" s="5"/>
      <c r="H697" s="16"/>
    </row>
    <row r="698" spans="2:8">
      <c r="B698" s="5"/>
      <c r="H698" s="16"/>
    </row>
    <row r="699" spans="2:8">
      <c r="B699" s="5"/>
      <c r="H699" s="16"/>
    </row>
    <row r="700" spans="2:8">
      <c r="B700" s="5"/>
      <c r="H700" s="16"/>
    </row>
    <row r="701" spans="2:8">
      <c r="B701" s="5"/>
      <c r="H701" s="16"/>
    </row>
    <row r="702" spans="2:8">
      <c r="B702" s="5"/>
      <c r="H702" s="16"/>
    </row>
    <row r="703" spans="2:8">
      <c r="B703" s="5"/>
      <c r="H703" s="16"/>
    </row>
    <row r="704" spans="2:8">
      <c r="B704" s="5"/>
      <c r="H704" s="16"/>
    </row>
    <row r="705" spans="2:8">
      <c r="B705" s="5"/>
      <c r="H705" s="16"/>
    </row>
    <row r="706" spans="2:8">
      <c r="B706" s="5"/>
      <c r="H706" s="16"/>
    </row>
    <row r="707" spans="2:8">
      <c r="B707" s="5"/>
      <c r="H707" s="16"/>
    </row>
    <row r="708" spans="2:8">
      <c r="B708" s="5"/>
      <c r="H708" s="16"/>
    </row>
    <row r="709" spans="2:8">
      <c r="B709" s="5"/>
      <c r="H709" s="16"/>
    </row>
    <row r="710" spans="2:8">
      <c r="B710" s="5"/>
      <c r="H710" s="16"/>
    </row>
    <row r="711" spans="2:8">
      <c r="B711" s="5"/>
      <c r="H711" s="16"/>
    </row>
    <row r="712" spans="2:8">
      <c r="B712" s="5"/>
      <c r="H712" s="16"/>
    </row>
    <row r="713" spans="2:8">
      <c r="B713" s="5"/>
      <c r="H713" s="16"/>
    </row>
    <row r="714" spans="2:8">
      <c r="B714" s="5"/>
      <c r="H714" s="16"/>
    </row>
    <row r="715" spans="2:8">
      <c r="B715" s="5"/>
      <c r="H715" s="16"/>
    </row>
    <row r="716" spans="2:8">
      <c r="B716" s="5"/>
      <c r="H716" s="16"/>
    </row>
    <row r="717" spans="2:8">
      <c r="B717" s="5"/>
      <c r="H717" s="16"/>
    </row>
    <row r="718" spans="2:8">
      <c r="B718" s="5"/>
      <c r="H718" s="16"/>
    </row>
    <row r="719" spans="2:8">
      <c r="B719" s="5"/>
      <c r="H719" s="16"/>
    </row>
    <row r="720" spans="2:8">
      <c r="B720" s="5"/>
      <c r="H720" s="16"/>
    </row>
    <row r="721" spans="2:8">
      <c r="B721" s="5"/>
      <c r="H721" s="16"/>
    </row>
    <row r="722" spans="2:8">
      <c r="B722" s="5"/>
      <c r="H722" s="16"/>
    </row>
    <row r="723" spans="2:8">
      <c r="B723" s="5"/>
      <c r="H723" s="16"/>
    </row>
    <row r="724" spans="2:8">
      <c r="B724" s="5"/>
      <c r="H724" s="16"/>
    </row>
    <row r="725" spans="2:8">
      <c r="B725" s="5"/>
      <c r="H725" s="16"/>
    </row>
    <row r="726" spans="2:8">
      <c r="B726" s="5"/>
      <c r="H726" s="16"/>
    </row>
    <row r="727" spans="2:8">
      <c r="B727" s="5"/>
      <c r="H727" s="16"/>
    </row>
    <row r="728" spans="2:8">
      <c r="B728" s="5"/>
      <c r="H728" s="16"/>
    </row>
    <row r="729" spans="2:8">
      <c r="B729" s="5"/>
      <c r="H729" s="16"/>
    </row>
    <row r="730" spans="2:8">
      <c r="B730" s="5"/>
      <c r="H730" s="16"/>
    </row>
    <row r="731" spans="2:8">
      <c r="B731" s="5"/>
      <c r="H731" s="16"/>
    </row>
    <row r="732" spans="2:8">
      <c r="B732" s="5"/>
      <c r="H732" s="16"/>
    </row>
    <row r="733" spans="2:8">
      <c r="B733" s="5"/>
      <c r="H733" s="16"/>
    </row>
    <row r="734" spans="2:8">
      <c r="B734" s="5"/>
      <c r="H734" s="16"/>
    </row>
    <row r="735" spans="2:8">
      <c r="B735" s="5"/>
      <c r="H735" s="16"/>
    </row>
    <row r="736" spans="2:8">
      <c r="B736" s="5"/>
      <c r="H736" s="16"/>
    </row>
    <row r="737" spans="2:8">
      <c r="B737" s="5"/>
      <c r="H737" s="16"/>
    </row>
    <row r="738" spans="2:8">
      <c r="B738" s="5"/>
      <c r="H738" s="16"/>
    </row>
    <row r="739" spans="2:8">
      <c r="B739" s="5"/>
      <c r="H739" s="16"/>
    </row>
    <row r="740" spans="2:8">
      <c r="B740" s="5"/>
      <c r="H740" s="16"/>
    </row>
    <row r="741" spans="2:8">
      <c r="B741" s="5"/>
      <c r="H741" s="16"/>
    </row>
    <row r="742" spans="2:8">
      <c r="B742" s="5"/>
      <c r="H742" s="16"/>
    </row>
    <row r="743" spans="2:8">
      <c r="B743" s="5"/>
      <c r="H743" s="16"/>
    </row>
    <row r="744" spans="2:8">
      <c r="B744" s="5"/>
      <c r="H744" s="16"/>
    </row>
    <row r="745" spans="2:8">
      <c r="B745" s="5"/>
      <c r="H745" s="16"/>
    </row>
    <row r="746" spans="2:8">
      <c r="B746" s="5"/>
      <c r="H746" s="16"/>
    </row>
    <row r="747" spans="2:8">
      <c r="B747" s="5"/>
      <c r="H747" s="16"/>
    </row>
    <row r="748" spans="2:8">
      <c r="B748" s="5"/>
      <c r="H748" s="16"/>
    </row>
    <row r="749" spans="2:8">
      <c r="B749" s="5"/>
      <c r="H749" s="16"/>
    </row>
    <row r="750" spans="2:8">
      <c r="B750" s="5"/>
      <c r="H750" s="16"/>
    </row>
    <row r="751" spans="2:8">
      <c r="B751" s="5"/>
      <c r="H751" s="16"/>
    </row>
    <row r="752" spans="2:8">
      <c r="B752" s="5"/>
      <c r="H752" s="16"/>
    </row>
    <row r="753" spans="2:8">
      <c r="B753" s="5"/>
      <c r="H753" s="16"/>
    </row>
    <row r="754" spans="2:8">
      <c r="B754" s="5"/>
      <c r="H754" s="16"/>
    </row>
    <row r="755" spans="2:8">
      <c r="B755" s="5"/>
      <c r="H755" s="16"/>
    </row>
    <row r="756" spans="2:8">
      <c r="B756" s="5"/>
      <c r="H756" s="16"/>
    </row>
    <row r="757" spans="2:8">
      <c r="B757" s="5"/>
      <c r="H757" s="16"/>
    </row>
    <row r="758" spans="2:8">
      <c r="B758" s="5"/>
      <c r="H758" s="16"/>
    </row>
    <row r="759" spans="2:8">
      <c r="B759" s="5"/>
      <c r="H759" s="16"/>
    </row>
    <row r="760" spans="2:8">
      <c r="B760" s="5"/>
      <c r="H760" s="16"/>
    </row>
    <row r="761" spans="2:8">
      <c r="B761" s="5"/>
      <c r="H761" s="16"/>
    </row>
    <row r="762" spans="2:8">
      <c r="B762" s="5"/>
      <c r="H762" s="16"/>
    </row>
    <row r="763" spans="2:8">
      <c r="B763" s="5"/>
      <c r="H763" s="16"/>
    </row>
    <row r="764" spans="2:8">
      <c r="B764" s="5"/>
      <c r="H764" s="16"/>
    </row>
    <row r="765" spans="2:8">
      <c r="B765" s="5"/>
      <c r="H765" s="16"/>
    </row>
    <row r="766" spans="2:8">
      <c r="B766" s="5"/>
      <c r="H766" s="16"/>
    </row>
    <row r="767" spans="2:8">
      <c r="B767" s="5"/>
      <c r="H767" s="16"/>
    </row>
    <row r="768" spans="2:8">
      <c r="B768" s="5"/>
      <c r="H768" s="16"/>
    </row>
    <row r="769" spans="2:8">
      <c r="B769" s="5"/>
      <c r="H769" s="16"/>
    </row>
    <row r="770" spans="2:8">
      <c r="B770" s="5"/>
      <c r="H770" s="16"/>
    </row>
    <row r="771" spans="2:8">
      <c r="B771" s="5"/>
      <c r="H771" s="16"/>
    </row>
    <row r="772" spans="2:8">
      <c r="B772" s="5"/>
      <c r="H772" s="16"/>
    </row>
    <row r="773" spans="2:8">
      <c r="B773" s="5"/>
      <c r="H773" s="16"/>
    </row>
    <row r="774" spans="2:8">
      <c r="B774" s="5"/>
      <c r="H774" s="16"/>
    </row>
    <row r="775" spans="2:8">
      <c r="B775" s="5"/>
      <c r="H775" s="16"/>
    </row>
    <row r="776" spans="2:8">
      <c r="B776" s="5"/>
      <c r="H776" s="16"/>
    </row>
    <row r="777" spans="2:8">
      <c r="B777" s="5"/>
      <c r="H777" s="16"/>
    </row>
    <row r="778" spans="2:8">
      <c r="B778" s="5"/>
      <c r="H778" s="16"/>
    </row>
    <row r="779" spans="2:8">
      <c r="B779" s="5"/>
      <c r="H779" s="16"/>
    </row>
    <row r="780" spans="2:8">
      <c r="B780" s="5"/>
      <c r="H780" s="16"/>
    </row>
    <row r="781" spans="2:8">
      <c r="B781" s="5"/>
      <c r="H781" s="16"/>
    </row>
    <row r="782" spans="2:8">
      <c r="B782" s="5"/>
      <c r="H782" s="16"/>
    </row>
    <row r="783" spans="2:8">
      <c r="B783" s="5"/>
      <c r="H783" s="16"/>
    </row>
    <row r="784" spans="2:8">
      <c r="B784" s="5"/>
      <c r="H784" s="16"/>
    </row>
    <row r="785" spans="2:8">
      <c r="B785" s="5"/>
      <c r="H785" s="16"/>
    </row>
    <row r="786" spans="2:8">
      <c r="B786" s="5"/>
      <c r="H786" s="16"/>
    </row>
    <row r="787" spans="2:8">
      <c r="B787" s="5"/>
      <c r="H787" s="16"/>
    </row>
    <row r="788" spans="2:8">
      <c r="B788" s="5"/>
      <c r="H788" s="16"/>
    </row>
    <row r="789" spans="2:8">
      <c r="B789" s="5"/>
      <c r="H789" s="16"/>
    </row>
    <row r="790" spans="2:8">
      <c r="B790" s="5"/>
      <c r="H790" s="16"/>
    </row>
    <row r="791" spans="2:8">
      <c r="B791" s="5"/>
      <c r="H791" s="16"/>
    </row>
    <row r="792" spans="2:8">
      <c r="B792" s="5"/>
      <c r="H792" s="16"/>
    </row>
    <row r="793" spans="2:8">
      <c r="B793" s="5"/>
      <c r="H793" s="16"/>
    </row>
    <row r="794" spans="2:8">
      <c r="B794" s="5"/>
      <c r="H794" s="16"/>
    </row>
    <row r="795" spans="2:8">
      <c r="B795" s="5"/>
      <c r="H795" s="16"/>
    </row>
    <row r="796" spans="2:8">
      <c r="B796" s="5"/>
      <c r="H796" s="16"/>
    </row>
    <row r="797" spans="2:8">
      <c r="B797" s="5"/>
      <c r="H797" s="16"/>
    </row>
    <row r="798" spans="2:8">
      <c r="B798" s="5"/>
      <c r="H798" s="16"/>
    </row>
    <row r="799" spans="2:8">
      <c r="B799" s="5"/>
      <c r="H799" s="16"/>
    </row>
    <row r="800" spans="2:8">
      <c r="B800" s="5"/>
      <c r="H800" s="16"/>
    </row>
    <row r="801" spans="2:8">
      <c r="B801" s="5"/>
      <c r="H801" s="16"/>
    </row>
    <row r="802" spans="2:8">
      <c r="B802" s="5"/>
      <c r="H802" s="16"/>
    </row>
    <row r="803" spans="2:8">
      <c r="B803" s="5"/>
      <c r="H803" s="16"/>
    </row>
    <row r="804" spans="2:8">
      <c r="B804" s="5"/>
      <c r="H804" s="16"/>
    </row>
    <row r="805" spans="2:8">
      <c r="B805" s="5"/>
      <c r="H805" s="16"/>
    </row>
    <row r="806" spans="2:8">
      <c r="B806" s="5"/>
      <c r="H806" s="16"/>
    </row>
    <row r="807" spans="2:8">
      <c r="B807" s="5"/>
      <c r="H807" s="16"/>
    </row>
    <row r="808" spans="2:8">
      <c r="B808" s="5"/>
      <c r="H808" s="16"/>
    </row>
    <row r="809" spans="2:8">
      <c r="B809" s="5"/>
      <c r="H809" s="16"/>
    </row>
    <row r="810" spans="2:8">
      <c r="B810" s="5"/>
      <c r="H810" s="16"/>
    </row>
    <row r="811" spans="2:8">
      <c r="B811" s="5"/>
      <c r="H811" s="16"/>
    </row>
    <row r="812" spans="2:8">
      <c r="B812" s="5"/>
      <c r="H812" s="16"/>
    </row>
    <row r="813" spans="2:8">
      <c r="B813" s="5"/>
      <c r="H813" s="16"/>
    </row>
    <row r="814" spans="2:8">
      <c r="B814" s="5"/>
      <c r="H814" s="16"/>
    </row>
    <row r="815" spans="2:8">
      <c r="B815" s="5"/>
      <c r="H815" s="16"/>
    </row>
    <row r="816" spans="2:8">
      <c r="B816" s="5"/>
      <c r="H816" s="16"/>
    </row>
    <row r="817" spans="2:8">
      <c r="B817" s="5"/>
      <c r="H817" s="16"/>
    </row>
    <row r="818" spans="2:8">
      <c r="B818" s="5"/>
      <c r="H818" s="16"/>
    </row>
    <row r="819" spans="2:8">
      <c r="B819" s="5"/>
      <c r="H819" s="16"/>
    </row>
    <row r="820" spans="2:8">
      <c r="B820" s="5"/>
      <c r="H820" s="16"/>
    </row>
    <row r="821" spans="2:8">
      <c r="B821" s="5"/>
      <c r="H821" s="16"/>
    </row>
    <row r="822" spans="2:8">
      <c r="B822" s="5"/>
      <c r="H822" s="16"/>
    </row>
    <row r="823" spans="2:8">
      <c r="B823" s="5"/>
      <c r="H823" s="16"/>
    </row>
    <row r="824" spans="2:8">
      <c r="B824" s="5"/>
      <c r="H824" s="16"/>
    </row>
    <row r="825" spans="2:8">
      <c r="B825" s="5"/>
      <c r="H825" s="16"/>
    </row>
    <row r="826" spans="2:8">
      <c r="B826" s="5"/>
      <c r="H826" s="16"/>
    </row>
    <row r="827" spans="2:8">
      <c r="B827" s="5"/>
      <c r="H827" s="16"/>
    </row>
    <row r="828" spans="2:8">
      <c r="B828" s="5"/>
      <c r="H828" s="16"/>
    </row>
    <row r="829" spans="2:8">
      <c r="B829" s="5"/>
      <c r="H829" s="16"/>
    </row>
    <row r="830" spans="2:8">
      <c r="B830" s="5"/>
      <c r="H830" s="16"/>
    </row>
    <row r="831" spans="2:8">
      <c r="B831" s="5"/>
      <c r="H831" s="16"/>
    </row>
    <row r="832" spans="2:8">
      <c r="B832" s="5"/>
      <c r="H832" s="16"/>
    </row>
    <row r="833" spans="2:8">
      <c r="B833" s="5"/>
      <c r="H833" s="16"/>
    </row>
    <row r="834" spans="2:8">
      <c r="B834" s="5"/>
      <c r="H834" s="16"/>
    </row>
    <row r="835" spans="2:8">
      <c r="B835" s="5"/>
      <c r="H835" s="16"/>
    </row>
    <row r="836" spans="2:8">
      <c r="B836" s="5"/>
      <c r="H836" s="16"/>
    </row>
    <row r="837" spans="2:8">
      <c r="B837" s="5"/>
      <c r="H837" s="16"/>
    </row>
    <row r="838" spans="2:8">
      <c r="B838" s="5"/>
      <c r="H838" s="16"/>
    </row>
    <row r="839" spans="2:8">
      <c r="B839" s="5"/>
      <c r="H839" s="16"/>
    </row>
    <row r="840" spans="2:8">
      <c r="B840" s="5"/>
      <c r="H840" s="16"/>
    </row>
    <row r="841" spans="2:8">
      <c r="B841" s="5"/>
      <c r="H841" s="16"/>
    </row>
    <row r="842" spans="2:8">
      <c r="B842" s="5"/>
      <c r="H842" s="16"/>
    </row>
    <row r="843" spans="2:8">
      <c r="B843" s="5"/>
      <c r="H843" s="16"/>
    </row>
    <row r="844" spans="2:8">
      <c r="B844" s="5"/>
      <c r="H844" s="16"/>
    </row>
    <row r="845" spans="2:8">
      <c r="B845" s="5"/>
      <c r="H845" s="16"/>
    </row>
    <row r="846" spans="2:8">
      <c r="B846" s="5"/>
      <c r="H846" s="16"/>
    </row>
    <row r="847" spans="2:8">
      <c r="B847" s="5"/>
      <c r="H847" s="16"/>
    </row>
    <row r="848" spans="2:8">
      <c r="B848" s="5"/>
      <c r="H848" s="16"/>
    </row>
    <row r="849" spans="2:8">
      <c r="B849" s="5"/>
      <c r="H849" s="16"/>
    </row>
    <row r="850" spans="2:8">
      <c r="B850" s="5"/>
      <c r="H850" s="16"/>
    </row>
    <row r="851" spans="2:8">
      <c r="B851" s="5"/>
      <c r="H851" s="16"/>
    </row>
    <row r="852" spans="2:8">
      <c r="B852" s="5"/>
      <c r="H852" s="16"/>
    </row>
    <row r="853" spans="2:8">
      <c r="B853" s="5"/>
      <c r="H853" s="16"/>
    </row>
    <row r="854" spans="2:8">
      <c r="B854" s="5"/>
      <c r="H854" s="16"/>
    </row>
    <row r="855" spans="2:8">
      <c r="B855" s="5"/>
      <c r="H855" s="16"/>
    </row>
    <row r="856" spans="2:8">
      <c r="B856" s="5"/>
      <c r="H856" s="16"/>
    </row>
    <row r="857" spans="2:8">
      <c r="B857" s="5"/>
      <c r="H857" s="16"/>
    </row>
    <row r="858" spans="2:8">
      <c r="B858" s="5"/>
      <c r="H858" s="16"/>
    </row>
    <row r="859" spans="2:8">
      <c r="B859" s="5"/>
      <c r="H859" s="16"/>
    </row>
    <row r="860" spans="2:8">
      <c r="B860" s="5"/>
      <c r="H860" s="16"/>
    </row>
    <row r="861" spans="2:8">
      <c r="B861" s="5"/>
      <c r="H861" s="16"/>
    </row>
    <row r="862" spans="2:8">
      <c r="B862" s="5"/>
      <c r="H862" s="16"/>
    </row>
    <row r="863" spans="2:8">
      <c r="B863" s="5"/>
      <c r="H863" s="16"/>
    </row>
    <row r="864" spans="2:8">
      <c r="B864" s="5"/>
      <c r="H864" s="16"/>
    </row>
    <row r="865" spans="2:8">
      <c r="B865" s="5"/>
      <c r="H865" s="16"/>
    </row>
    <row r="866" spans="2:8">
      <c r="B866" s="5"/>
      <c r="H866" s="16"/>
    </row>
    <row r="867" spans="2:8">
      <c r="B867" s="5"/>
      <c r="H867" s="16"/>
    </row>
    <row r="868" spans="2:8">
      <c r="B868" s="5"/>
      <c r="H868" s="16"/>
    </row>
    <row r="869" spans="2:8">
      <c r="B869" s="5"/>
      <c r="H869" s="16"/>
    </row>
    <row r="870" spans="2:8">
      <c r="B870" s="5"/>
      <c r="H870" s="16"/>
    </row>
    <row r="871" spans="2:8">
      <c r="B871" s="5"/>
      <c r="H871" s="16"/>
    </row>
    <row r="872" spans="2:8">
      <c r="B872" s="5"/>
      <c r="H872" s="16"/>
    </row>
    <row r="873" spans="2:8">
      <c r="B873" s="5"/>
      <c r="H873" s="16"/>
    </row>
    <row r="874" spans="2:8">
      <c r="B874" s="5"/>
      <c r="H874" s="16"/>
    </row>
    <row r="875" spans="2:8">
      <c r="B875" s="5"/>
      <c r="H875" s="16"/>
    </row>
    <row r="876" spans="2:8">
      <c r="B876" s="5"/>
      <c r="H876" s="16"/>
    </row>
    <row r="877" spans="2:8">
      <c r="B877" s="5"/>
      <c r="H877" s="16"/>
    </row>
    <row r="878" spans="2:8">
      <c r="B878" s="5"/>
      <c r="H878" s="16"/>
    </row>
    <row r="879" spans="2:8">
      <c r="B879" s="5"/>
      <c r="H879" s="16"/>
    </row>
    <row r="880" spans="2:8">
      <c r="B880" s="5"/>
      <c r="H880" s="16"/>
    </row>
    <row r="881" spans="2:8">
      <c r="B881" s="5"/>
      <c r="H881" s="16"/>
    </row>
    <row r="882" spans="2:8">
      <c r="B882" s="5"/>
      <c r="H882" s="16"/>
    </row>
    <row r="883" spans="2:8">
      <c r="B883" s="5"/>
      <c r="H883" s="16"/>
    </row>
    <row r="884" spans="2:8">
      <c r="B884" s="5"/>
      <c r="H884" s="16"/>
    </row>
    <row r="885" spans="2:8">
      <c r="B885" s="5"/>
      <c r="H885" s="16"/>
    </row>
    <row r="886" spans="2:8">
      <c r="B886" s="5"/>
      <c r="H886" s="16"/>
    </row>
    <row r="887" spans="2:8">
      <c r="B887" s="5"/>
      <c r="H887" s="16"/>
    </row>
    <row r="888" spans="2:8">
      <c r="B888" s="5"/>
      <c r="H888" s="16"/>
    </row>
    <row r="889" spans="2:8">
      <c r="B889" s="5"/>
      <c r="H889" s="16"/>
    </row>
    <row r="890" spans="2:8">
      <c r="B890" s="5"/>
      <c r="H890" s="16"/>
    </row>
    <row r="891" spans="2:8">
      <c r="B891" s="5"/>
      <c r="H891" s="16"/>
    </row>
    <row r="892" spans="2:8">
      <c r="B892" s="5"/>
      <c r="H892" s="16"/>
    </row>
  </sheetData>
  <mergeCells count="27">
    <mergeCell ref="C50:F50"/>
    <mergeCell ref="G50:H50"/>
    <mergeCell ref="C47:F47"/>
    <mergeCell ref="G47:H47"/>
    <mergeCell ref="C48:F48"/>
    <mergeCell ref="G48:H48"/>
    <mergeCell ref="C49:F49"/>
    <mergeCell ref="G49:H49"/>
    <mergeCell ref="C44:F44"/>
    <mergeCell ref="G44:H44"/>
    <mergeCell ref="C45:F45"/>
    <mergeCell ref="G45:H45"/>
    <mergeCell ref="C46:F46"/>
    <mergeCell ref="G46:H46"/>
    <mergeCell ref="C43:F43"/>
    <mergeCell ref="G43:H43"/>
    <mergeCell ref="A4:H4"/>
    <mergeCell ref="A10:F10"/>
    <mergeCell ref="A17:F17"/>
    <mergeCell ref="A23:F23"/>
    <mergeCell ref="A29:F29"/>
    <mergeCell ref="A35:F35"/>
    <mergeCell ref="A38:F38"/>
    <mergeCell ref="C41:F41"/>
    <mergeCell ref="G41:H41"/>
    <mergeCell ref="C42:F42"/>
    <mergeCell ref="G42:H42"/>
  </mergeCells>
  <phoneticPr fontId="24" type="noConversion"/>
  <dataValidations count="1">
    <dataValidation type="list" allowBlank="1" showInputMessage="1" showErrorMessage="1" sqref="B42:B48" xr:uid="{A2BD48A7-FEC9-4A00-A030-79FDAFB0E384}">
      <formula1>$L$41:$L$45</formula1>
    </dataValidation>
  </dataValidations>
  <pageMargins left="0.7" right="0.7" top="0.75" bottom="0.75" header="0.3" footer="0.3"/>
  <pageSetup scale="52"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60CC4-F881-4186-9B9E-66DFFA3E8BAC}">
  <sheetPr>
    <pageSetUpPr fitToPage="1"/>
  </sheetPr>
  <dimension ref="A1:L892"/>
  <sheetViews>
    <sheetView showZeros="0" view="pageBreakPreview" zoomScale="60" zoomScaleNormal="70" workbookViewId="0">
      <selection activeCell="A11" sqref="A11"/>
    </sheetView>
  </sheetViews>
  <sheetFormatPr defaultColWidth="10.875" defaultRowHeight="18.75"/>
  <cols>
    <col min="1" max="1" width="35.625" customWidth="1"/>
    <col min="2" max="2" width="14.625" style="16" customWidth="1"/>
    <col min="3" max="7" width="15.875" style="5" customWidth="1"/>
    <col min="8" max="8" width="15.875" style="17" customWidth="1"/>
    <col min="9" max="9" width="9" style="5"/>
    <col min="10" max="12" width="0" style="5" hidden="1" customWidth="1"/>
    <col min="13" max="16384" width="10.875" style="5"/>
  </cols>
  <sheetData>
    <row r="1" spans="1:10" customFormat="1" ht="15.75">
      <c r="A1" s="41"/>
      <c r="B1" s="42"/>
      <c r="C1" s="43"/>
      <c r="D1" s="43"/>
      <c r="E1" s="45" t="s">
        <v>25</v>
      </c>
      <c r="F1" s="43"/>
      <c r="G1" s="45" t="s">
        <v>26</v>
      </c>
      <c r="H1" s="44">
        <v>6</v>
      </c>
    </row>
    <row r="2" spans="1:10">
      <c r="A2" s="30"/>
      <c r="B2" s="18" t="s">
        <v>27</v>
      </c>
      <c r="C2" s="19" t="s">
        <v>28</v>
      </c>
      <c r="D2" s="19" t="s">
        <v>29</v>
      </c>
      <c r="E2" s="18" t="s">
        <v>30</v>
      </c>
      <c r="F2" s="18" t="s">
        <v>31</v>
      </c>
      <c r="G2" s="18" t="s">
        <v>32</v>
      </c>
      <c r="H2" s="18" t="s">
        <v>33</v>
      </c>
    </row>
    <row r="3" spans="1:10" ht="21" customHeight="1">
      <c r="A3" s="31" t="s">
        <v>7</v>
      </c>
      <c r="B3" s="6">
        <f>'Week. 4 Spring '!H3+1</f>
        <v>46152</v>
      </c>
      <c r="C3" s="6">
        <f>B3+1</f>
        <v>46153</v>
      </c>
      <c r="D3" s="6">
        <f t="shared" ref="D3:H3" si="0">C3+1</f>
        <v>46154</v>
      </c>
      <c r="E3" s="6">
        <f t="shared" si="0"/>
        <v>46155</v>
      </c>
      <c r="F3" s="6">
        <f t="shared" si="0"/>
        <v>46156</v>
      </c>
      <c r="G3" s="6">
        <f t="shared" si="0"/>
        <v>46157</v>
      </c>
      <c r="H3" s="6">
        <f t="shared" si="0"/>
        <v>46158</v>
      </c>
    </row>
    <row r="4" spans="1:10" s="7" customFormat="1">
      <c r="A4" s="224" t="s">
        <v>135</v>
      </c>
      <c r="B4" s="224"/>
      <c r="C4" s="224"/>
      <c r="D4" s="224"/>
      <c r="E4" s="224"/>
      <c r="F4" s="224"/>
      <c r="G4" s="224"/>
      <c r="H4" s="224"/>
    </row>
    <row r="5" spans="1:10" s="7" customFormat="1" ht="26.1" customHeight="1">
      <c r="A5" s="32" t="s">
        <v>8</v>
      </c>
      <c r="B5" s="27"/>
      <c r="C5" s="27"/>
      <c r="D5" s="27"/>
      <c r="E5" s="27"/>
      <c r="F5" s="27"/>
      <c r="G5" s="27"/>
      <c r="H5" s="27"/>
    </row>
    <row r="6" spans="1:10" s="7" customFormat="1" ht="26.1" customHeight="1">
      <c r="A6" s="4" t="s">
        <v>23</v>
      </c>
      <c r="B6" s="62"/>
      <c r="C6" s="62"/>
      <c r="D6" s="62"/>
      <c r="E6" s="62"/>
      <c r="F6" s="62"/>
      <c r="G6" s="62"/>
      <c r="H6" s="62"/>
    </row>
    <row r="7" spans="1:10" s="7" customFormat="1" ht="21.95" customHeight="1">
      <c r="A7" s="32" t="s">
        <v>35</v>
      </c>
      <c r="B7" s="27"/>
      <c r="C7" s="28"/>
      <c r="D7" s="28"/>
      <c r="E7" s="28"/>
      <c r="F7" s="28"/>
      <c r="G7" s="28"/>
      <c r="H7" s="27"/>
    </row>
    <row r="8" spans="1:10" s="7" customFormat="1" ht="24.95" customHeight="1">
      <c r="A8" s="83" t="s">
        <v>36</v>
      </c>
      <c r="B8" s="84">
        <f t="shared" ref="B8:H8" si="1">B5+B6+B7</f>
        <v>0</v>
      </c>
      <c r="C8" s="84">
        <f t="shared" si="1"/>
        <v>0</v>
      </c>
      <c r="D8" s="84">
        <f t="shared" si="1"/>
        <v>0</v>
      </c>
      <c r="E8" s="84">
        <f t="shared" si="1"/>
        <v>0</v>
      </c>
      <c r="F8" s="84">
        <f t="shared" si="1"/>
        <v>0</v>
      </c>
      <c r="G8" s="84">
        <f t="shared" si="1"/>
        <v>0</v>
      </c>
      <c r="H8" s="84">
        <f t="shared" si="1"/>
        <v>0</v>
      </c>
    </row>
    <row r="9" spans="1:10" s="7" customFormat="1" ht="24.95" customHeight="1">
      <c r="A9" s="33"/>
      <c r="B9" s="29"/>
      <c r="C9" s="29"/>
      <c r="D9" s="29"/>
      <c r="E9" s="29"/>
      <c r="F9" s="29"/>
      <c r="G9" s="63" t="s">
        <v>37</v>
      </c>
      <c r="H9" s="64">
        <f>SUM(B8:H8)</f>
        <v>0</v>
      </c>
    </row>
    <row r="10" spans="1:10" s="7" customFormat="1">
      <c r="A10" s="182" t="s">
        <v>136</v>
      </c>
      <c r="B10" s="183"/>
      <c r="C10" s="183"/>
      <c r="D10" s="183"/>
      <c r="E10" s="183"/>
      <c r="F10" s="183"/>
      <c r="G10" s="65" t="s">
        <v>39</v>
      </c>
      <c r="H10" s="66">
        <v>-0.15</v>
      </c>
      <c r="I10" s="5"/>
      <c r="J10" s="26"/>
    </row>
    <row r="11" spans="1:10" s="7" customFormat="1" ht="30" customHeight="1">
      <c r="A11" s="39" t="s">
        <v>8</v>
      </c>
      <c r="B11" s="9"/>
      <c r="C11" s="9"/>
      <c r="D11" s="67"/>
      <c r="E11" s="67"/>
      <c r="F11" s="9"/>
      <c r="G11" s="68"/>
      <c r="H11" s="69"/>
    </row>
    <row r="12" spans="1:10" s="7" customFormat="1" ht="30" customHeight="1">
      <c r="A12" s="70" t="s">
        <v>23</v>
      </c>
      <c r="B12" s="59"/>
      <c r="C12" s="58"/>
      <c r="D12" s="58"/>
      <c r="E12" s="58"/>
      <c r="F12" s="58"/>
      <c r="G12" s="58"/>
      <c r="H12" s="58"/>
    </row>
    <row r="13" spans="1:10" s="7" customFormat="1" ht="30" customHeight="1">
      <c r="A13" s="3" t="s">
        <v>35</v>
      </c>
      <c r="B13" s="8"/>
      <c r="C13" s="8"/>
      <c r="D13" s="8"/>
      <c r="E13" s="8"/>
      <c r="F13" s="8"/>
      <c r="G13" s="8"/>
      <c r="H13" s="8"/>
    </row>
    <row r="14" spans="1:10" s="7" customFormat="1" ht="27" customHeight="1">
      <c r="A14" s="85" t="s">
        <v>36</v>
      </c>
      <c r="B14" s="87">
        <f t="shared" ref="B14:H14" si="2">B11+B12+B13</f>
        <v>0</v>
      </c>
      <c r="C14" s="87">
        <f t="shared" si="2"/>
        <v>0</v>
      </c>
      <c r="D14" s="87">
        <f t="shared" si="2"/>
        <v>0</v>
      </c>
      <c r="E14" s="87">
        <f t="shared" si="2"/>
        <v>0</v>
      </c>
      <c r="F14" s="87">
        <f t="shared" si="2"/>
        <v>0</v>
      </c>
      <c r="G14" s="87">
        <f t="shared" si="2"/>
        <v>0</v>
      </c>
      <c r="H14" s="87">
        <f t="shared" si="2"/>
        <v>0</v>
      </c>
    </row>
    <row r="15" spans="1:10" s="7" customFormat="1" ht="24.95" customHeight="1">
      <c r="A15" s="86" t="s">
        <v>40</v>
      </c>
      <c r="B15" s="92" t="e">
        <f t="shared" ref="B15:H15" si="3">(B14-B8)/B8</f>
        <v>#DIV/0!</v>
      </c>
      <c r="C15" s="93" t="e">
        <f t="shared" si="3"/>
        <v>#DIV/0!</v>
      </c>
      <c r="D15" s="93" t="e">
        <f t="shared" si="3"/>
        <v>#DIV/0!</v>
      </c>
      <c r="E15" s="93" t="e">
        <f t="shared" si="3"/>
        <v>#DIV/0!</v>
      </c>
      <c r="F15" s="93" t="e">
        <f t="shared" si="3"/>
        <v>#DIV/0!</v>
      </c>
      <c r="G15" s="93" t="e">
        <f t="shared" si="3"/>
        <v>#DIV/0!</v>
      </c>
      <c r="H15" s="94" t="e">
        <f t="shared" si="3"/>
        <v>#DIV/0!</v>
      </c>
      <c r="I15" s="71"/>
    </row>
    <row r="16" spans="1:10" ht="30" customHeight="1">
      <c r="B16" s="88"/>
      <c r="C16" s="88"/>
      <c r="D16" s="88"/>
      <c r="E16" s="88"/>
      <c r="F16" s="89"/>
      <c r="G16" s="90" t="s">
        <v>37</v>
      </c>
      <c r="H16" s="91">
        <f>SUM(B14:H14)</f>
        <v>0</v>
      </c>
    </row>
    <row r="17" spans="1:8" s="7" customFormat="1">
      <c r="A17" s="184" t="s">
        <v>41</v>
      </c>
      <c r="B17" s="185"/>
      <c r="C17" s="185"/>
      <c r="D17" s="185"/>
      <c r="E17" s="185"/>
      <c r="F17" s="185"/>
      <c r="G17" s="72" t="s">
        <v>42</v>
      </c>
      <c r="H17" s="66" t="e">
        <f>(H16-H9)/H9</f>
        <v>#DIV/0!</v>
      </c>
    </row>
    <row r="18" spans="1:8" s="7" customFormat="1" ht="30" customHeight="1">
      <c r="A18" s="35" t="s">
        <v>43</v>
      </c>
      <c r="B18" s="12">
        <v>0</v>
      </c>
      <c r="C18" s="12"/>
      <c r="D18" s="73"/>
      <c r="E18" s="73"/>
      <c r="F18" s="12"/>
      <c r="G18" s="24"/>
      <c r="H18" s="74"/>
    </row>
    <row r="19" spans="1:8" s="7" customFormat="1" ht="30" customHeight="1">
      <c r="A19" s="35" t="str">
        <f>'Week. 4 Spring '!A31</f>
        <v>Non Meal Plan Meals</v>
      </c>
      <c r="B19" s="12"/>
      <c r="C19" s="12"/>
      <c r="D19" s="73"/>
      <c r="E19" s="73"/>
      <c r="F19" s="12"/>
      <c r="G19" s="24"/>
      <c r="H19" s="74"/>
    </row>
    <row r="20" spans="1:8" s="7" customFormat="1" ht="30" customHeight="1">
      <c r="A20" s="35" t="str">
        <f>'Week. 4 Spring '!A32</f>
        <v xml:space="preserve">Meal numbers </v>
      </c>
      <c r="B20" s="95"/>
      <c r="C20" s="95"/>
      <c r="D20" s="67"/>
      <c r="E20" s="67"/>
      <c r="F20" s="95"/>
      <c r="G20" s="95"/>
      <c r="H20" s="75"/>
    </row>
    <row r="21" spans="1:8" s="7" customFormat="1" ht="24.95" customHeight="1">
      <c r="A21" s="36" t="s">
        <v>45</v>
      </c>
      <c r="B21" s="77">
        <f t="shared" ref="B21:G21" si="4">B18+B20</f>
        <v>0</v>
      </c>
      <c r="C21" s="77">
        <f t="shared" si="4"/>
        <v>0</v>
      </c>
      <c r="D21" s="96"/>
      <c r="E21" s="96"/>
      <c r="F21" s="77">
        <f t="shared" si="4"/>
        <v>0</v>
      </c>
      <c r="G21" s="77">
        <f t="shared" si="4"/>
        <v>0</v>
      </c>
      <c r="H21" s="77">
        <f>H18+H20</f>
        <v>0</v>
      </c>
    </row>
    <row r="22" spans="1:8" s="7" customFormat="1" ht="24.95" customHeight="1">
      <c r="A22" s="34" t="s">
        <v>40</v>
      </c>
      <c r="B22" s="92" t="e">
        <f>(B21-B5)/B5</f>
        <v>#DIV/0!</v>
      </c>
      <c r="C22" s="93" t="e">
        <f>(C21-C5)/C5</f>
        <v>#DIV/0!</v>
      </c>
      <c r="D22" s="99"/>
      <c r="E22" s="99"/>
      <c r="F22" s="93" t="e">
        <f>(F21-F5)/F5</f>
        <v>#DIV/0!</v>
      </c>
      <c r="G22" s="93" t="e">
        <f>(G21-G5)/G5</f>
        <v>#DIV/0!</v>
      </c>
      <c r="H22" s="94" t="e">
        <f>(H21-H5)/H5</f>
        <v>#DIV/0!</v>
      </c>
    </row>
    <row r="23" spans="1:8" s="7" customFormat="1">
      <c r="A23" s="186" t="s">
        <v>46</v>
      </c>
      <c r="B23" s="187"/>
      <c r="C23" s="187"/>
      <c r="D23" s="187"/>
      <c r="E23" s="187"/>
      <c r="F23" s="188" t="s">
        <v>47</v>
      </c>
      <c r="G23" s="97"/>
      <c r="H23" s="98"/>
    </row>
    <row r="24" spans="1:8" s="7" customFormat="1" ht="30" customHeight="1">
      <c r="A24" s="35" t="s">
        <v>43</v>
      </c>
      <c r="B24" s="11"/>
      <c r="C24" s="12"/>
      <c r="D24" s="12"/>
      <c r="E24" s="12"/>
      <c r="F24" s="12"/>
      <c r="G24" s="12"/>
      <c r="H24" s="11"/>
    </row>
    <row r="25" spans="1:8" s="7" customFormat="1" ht="30" customHeight="1">
      <c r="A25" s="35" t="str">
        <f>A19</f>
        <v>Non Meal Plan Meals</v>
      </c>
      <c r="B25" s="117"/>
      <c r="C25" s="117"/>
      <c r="D25" s="117"/>
      <c r="E25" s="117"/>
      <c r="F25" s="117"/>
      <c r="G25" s="117"/>
      <c r="H25" s="117"/>
    </row>
    <row r="26" spans="1:8" s="7" customFormat="1" ht="30" customHeight="1">
      <c r="A26" s="35" t="str">
        <f>A20</f>
        <v xml:space="preserve">Meal numbers </v>
      </c>
      <c r="B26" s="11"/>
      <c r="C26" s="11"/>
      <c r="D26" s="11"/>
      <c r="E26" s="11"/>
      <c r="F26" s="11"/>
      <c r="G26" s="11"/>
      <c r="H26" s="11"/>
    </row>
    <row r="27" spans="1:8" s="7" customFormat="1" ht="27.95" customHeight="1">
      <c r="A27" s="36" t="s">
        <v>50</v>
      </c>
      <c r="B27" s="100">
        <f>B24+B25+B26</f>
        <v>0</v>
      </c>
      <c r="C27" s="100">
        <f t="shared" ref="C27:G27" si="5">C24+C25+C26</f>
        <v>0</v>
      </c>
      <c r="D27" s="100">
        <f t="shared" si="5"/>
        <v>0</v>
      </c>
      <c r="E27" s="100">
        <f t="shared" si="5"/>
        <v>0</v>
      </c>
      <c r="F27" s="100">
        <f t="shared" si="5"/>
        <v>0</v>
      </c>
      <c r="G27" s="100">
        <f t="shared" si="5"/>
        <v>0</v>
      </c>
      <c r="H27" s="100">
        <f>H24+H25+H26</f>
        <v>0</v>
      </c>
    </row>
    <row r="28" spans="1:8" s="7" customFormat="1" ht="24.95" customHeight="1">
      <c r="A28" s="34" t="s">
        <v>40</v>
      </c>
      <c r="B28" s="92" t="e">
        <f t="shared" ref="B28:H28" si="6">(B27-B6)/B6</f>
        <v>#DIV/0!</v>
      </c>
      <c r="C28" s="93" t="e">
        <f t="shared" si="6"/>
        <v>#DIV/0!</v>
      </c>
      <c r="D28" s="93" t="e">
        <f t="shared" si="6"/>
        <v>#DIV/0!</v>
      </c>
      <c r="E28" s="93" t="e">
        <f t="shared" si="6"/>
        <v>#DIV/0!</v>
      </c>
      <c r="F28" s="93" t="e">
        <f t="shared" si="6"/>
        <v>#DIV/0!</v>
      </c>
      <c r="G28" s="93" t="e">
        <f t="shared" si="6"/>
        <v>#DIV/0!</v>
      </c>
      <c r="H28" s="94" t="e">
        <f t="shared" si="6"/>
        <v>#DIV/0!</v>
      </c>
    </row>
    <row r="29" spans="1:8" s="7" customFormat="1">
      <c r="A29" s="189" t="s">
        <v>51</v>
      </c>
      <c r="B29" s="190"/>
      <c r="C29" s="190"/>
      <c r="D29" s="190"/>
      <c r="E29" s="190"/>
      <c r="F29" s="191" t="s">
        <v>35</v>
      </c>
      <c r="G29" s="101"/>
      <c r="H29" s="102"/>
    </row>
    <row r="30" spans="1:8" s="7" customFormat="1" ht="30" customHeight="1">
      <c r="A30" s="35" t="s">
        <v>43</v>
      </c>
      <c r="B30" s="10"/>
      <c r="C30" s="9"/>
      <c r="D30" s="9"/>
      <c r="E30" s="9"/>
      <c r="F30" s="9"/>
      <c r="G30" s="9"/>
      <c r="H30" s="10"/>
    </row>
    <row r="31" spans="1:8" s="7" customFormat="1" ht="30" customHeight="1">
      <c r="A31" s="35" t="str">
        <f>A25</f>
        <v>Non Meal Plan Meals</v>
      </c>
      <c r="B31" s="60"/>
      <c r="C31" s="60"/>
      <c r="D31" s="60"/>
      <c r="E31" s="60"/>
      <c r="F31" s="60"/>
      <c r="G31" s="60"/>
      <c r="H31" s="60"/>
    </row>
    <row r="32" spans="1:8" s="7" customFormat="1" ht="30" customHeight="1">
      <c r="A32" s="35" t="str">
        <f>A26</f>
        <v xml:space="preserve">Meal numbers </v>
      </c>
      <c r="B32" s="10"/>
      <c r="C32" s="10"/>
      <c r="D32" s="10"/>
      <c r="E32" s="10"/>
      <c r="F32" s="10"/>
      <c r="G32" s="10"/>
      <c r="H32" s="10"/>
    </row>
    <row r="33" spans="1:12" s="7" customFormat="1" ht="30.95" customHeight="1">
      <c r="A33" s="36" t="s">
        <v>53</v>
      </c>
      <c r="B33" s="103">
        <f>B30+B31+B32</f>
        <v>0</v>
      </c>
      <c r="C33" s="103">
        <f t="shared" ref="C33:G33" si="7">C30+C31+C32</f>
        <v>0</v>
      </c>
      <c r="D33" s="103">
        <f t="shared" si="7"/>
        <v>0</v>
      </c>
      <c r="E33" s="103">
        <f t="shared" si="7"/>
        <v>0</v>
      </c>
      <c r="F33" s="103">
        <f t="shared" si="7"/>
        <v>0</v>
      </c>
      <c r="G33" s="103">
        <f t="shared" si="7"/>
        <v>0</v>
      </c>
      <c r="H33" s="103">
        <f>H30+H31+H32</f>
        <v>0</v>
      </c>
    </row>
    <row r="34" spans="1:12" s="7" customFormat="1" ht="24.95" customHeight="1">
      <c r="A34" s="34" t="s">
        <v>40</v>
      </c>
      <c r="B34" s="92" t="e">
        <f t="shared" ref="B34:H34" si="8">(B33-B7)/B7</f>
        <v>#DIV/0!</v>
      </c>
      <c r="C34" s="93" t="e">
        <f t="shared" si="8"/>
        <v>#DIV/0!</v>
      </c>
      <c r="D34" s="93" t="e">
        <f t="shared" si="8"/>
        <v>#DIV/0!</v>
      </c>
      <c r="E34" s="93" t="e">
        <f t="shared" si="8"/>
        <v>#DIV/0!</v>
      </c>
      <c r="F34" s="93" t="e">
        <f t="shared" si="8"/>
        <v>#DIV/0!</v>
      </c>
      <c r="G34" s="93" t="e">
        <f t="shared" si="8"/>
        <v>#DIV/0!</v>
      </c>
      <c r="H34" s="94" t="e">
        <f t="shared" si="8"/>
        <v>#DIV/0!</v>
      </c>
    </row>
    <row r="35" spans="1:12" s="7" customFormat="1">
      <c r="A35" s="192" t="s">
        <v>54</v>
      </c>
      <c r="B35" s="193"/>
      <c r="C35" s="193"/>
      <c r="D35" s="193"/>
      <c r="E35" s="193"/>
      <c r="F35" s="194" t="s">
        <v>35</v>
      </c>
      <c r="G35" s="104"/>
      <c r="H35" s="105"/>
    </row>
    <row r="36" spans="1:12" s="7" customFormat="1" ht="30.95" customHeight="1">
      <c r="A36" s="78" t="s">
        <v>55</v>
      </c>
      <c r="B36" s="77">
        <f>B33+B27+B21</f>
        <v>0</v>
      </c>
      <c r="C36" s="77">
        <f t="shared" ref="C36:H36" si="9">C33+C27+C21</f>
        <v>0</v>
      </c>
      <c r="D36" s="77">
        <f t="shared" si="9"/>
        <v>0</v>
      </c>
      <c r="E36" s="77">
        <f t="shared" si="9"/>
        <v>0</v>
      </c>
      <c r="F36" s="77">
        <f t="shared" si="9"/>
        <v>0</v>
      </c>
      <c r="G36" s="77">
        <f t="shared" si="9"/>
        <v>0</v>
      </c>
      <c r="H36" s="77">
        <f t="shared" si="9"/>
        <v>0</v>
      </c>
    </row>
    <row r="37" spans="1:12" s="7" customFormat="1" ht="24.95" customHeight="1">
      <c r="A37" s="34" t="s">
        <v>40</v>
      </c>
      <c r="B37" s="92" t="e">
        <f t="shared" ref="B37:H37" si="10">(B36-B8)/B8</f>
        <v>#DIV/0!</v>
      </c>
      <c r="C37" s="93" t="e">
        <f t="shared" si="10"/>
        <v>#DIV/0!</v>
      </c>
      <c r="D37" s="93" t="e">
        <f t="shared" si="10"/>
        <v>#DIV/0!</v>
      </c>
      <c r="E37" s="93" t="e">
        <f t="shared" si="10"/>
        <v>#DIV/0!</v>
      </c>
      <c r="F37" s="93" t="e">
        <f t="shared" si="10"/>
        <v>#DIV/0!</v>
      </c>
      <c r="G37" s="93" t="e">
        <f t="shared" si="10"/>
        <v>#DIV/0!</v>
      </c>
      <c r="H37" s="94" t="e">
        <f t="shared" si="10"/>
        <v>#DIV/0!</v>
      </c>
    </row>
    <row r="38" spans="1:12" ht="30" customHeight="1">
      <c r="A38" s="195"/>
      <c r="B38" s="196"/>
      <c r="C38" s="196"/>
      <c r="D38" s="196"/>
      <c r="E38" s="196"/>
      <c r="F38" s="196"/>
      <c r="G38" s="106" t="s">
        <v>37</v>
      </c>
      <c r="H38" s="107">
        <f>SUM(B36:H36)</f>
        <v>0</v>
      </c>
    </row>
    <row r="39" spans="1:12" s="7" customFormat="1" ht="24.95" customHeight="1">
      <c r="A39" s="37"/>
      <c r="B39" s="25"/>
      <c r="C39" s="25"/>
      <c r="D39" s="25"/>
      <c r="E39" s="25"/>
      <c r="F39" s="25"/>
      <c r="G39" s="79" t="s">
        <v>40</v>
      </c>
      <c r="H39" s="80" t="e">
        <f>(H38-H9)/H9</f>
        <v>#DIV/0!</v>
      </c>
    </row>
    <row r="40" spans="1:12" s="7" customFormat="1" ht="24.95" customHeight="1">
      <c r="A40" s="37"/>
      <c r="B40" s="25"/>
      <c r="C40" s="25"/>
      <c r="D40" s="25"/>
      <c r="E40" s="25"/>
      <c r="F40" s="25"/>
      <c r="G40" s="81" t="s">
        <v>56</v>
      </c>
      <c r="H40" s="82" t="e">
        <f>(H38-H16)/H16</f>
        <v>#DIV/0!</v>
      </c>
    </row>
    <row r="41" spans="1:12" s="46" customFormat="1" ht="23.1" customHeight="1">
      <c r="A41" s="40"/>
      <c r="B41" s="47" t="s">
        <v>57</v>
      </c>
      <c r="C41" s="197" t="s">
        <v>58</v>
      </c>
      <c r="D41" s="197"/>
      <c r="E41" s="197"/>
      <c r="F41" s="197"/>
      <c r="G41" s="198">
        <v>2022</v>
      </c>
      <c r="H41" s="199"/>
    </row>
    <row r="42" spans="1:12" ht="30" customHeight="1">
      <c r="A42" s="1" t="s">
        <v>60</v>
      </c>
      <c r="B42" s="57" t="s">
        <v>59</v>
      </c>
      <c r="C42" s="180"/>
      <c r="D42" s="180"/>
      <c r="E42" s="180"/>
      <c r="F42" s="180"/>
      <c r="G42" s="178"/>
      <c r="H42" s="179"/>
      <c r="L42" s="7" t="s">
        <v>61</v>
      </c>
    </row>
    <row r="43" spans="1:12" ht="30" customHeight="1">
      <c r="A43" s="1" t="s">
        <v>1</v>
      </c>
      <c r="B43" s="57" t="s">
        <v>59</v>
      </c>
      <c r="C43" s="180"/>
      <c r="D43" s="180"/>
      <c r="E43" s="180"/>
      <c r="F43" s="180"/>
      <c r="G43" s="178"/>
      <c r="H43" s="179"/>
      <c r="L43" s="5" t="s">
        <v>62</v>
      </c>
    </row>
    <row r="44" spans="1:12" ht="30" customHeight="1">
      <c r="A44" s="1" t="s">
        <v>2</v>
      </c>
      <c r="B44" s="57" t="s">
        <v>59</v>
      </c>
      <c r="C44" s="175"/>
      <c r="D44" s="175"/>
      <c r="E44" s="175"/>
      <c r="F44" s="175"/>
      <c r="G44" s="176"/>
      <c r="H44" s="177"/>
      <c r="L44" s="5" t="s">
        <v>63</v>
      </c>
    </row>
    <row r="45" spans="1:12" ht="30" customHeight="1">
      <c r="A45" s="1" t="s">
        <v>3</v>
      </c>
      <c r="B45" s="57" t="s">
        <v>59</v>
      </c>
      <c r="C45" s="175"/>
      <c r="D45" s="175"/>
      <c r="E45" s="175"/>
      <c r="F45" s="175"/>
      <c r="G45" s="176"/>
      <c r="H45" s="177"/>
      <c r="L45" s="5" t="s">
        <v>64</v>
      </c>
    </row>
    <row r="46" spans="1:12" ht="30.95" customHeight="1">
      <c r="A46" s="1" t="s">
        <v>4</v>
      </c>
      <c r="B46" s="57" t="s">
        <v>59</v>
      </c>
      <c r="C46" s="175"/>
      <c r="D46" s="175"/>
      <c r="E46" s="175"/>
      <c r="F46" s="175"/>
      <c r="G46" s="176"/>
      <c r="H46" s="177"/>
    </row>
    <row r="47" spans="1:12" ht="30" customHeight="1">
      <c r="A47" s="1" t="s">
        <v>5</v>
      </c>
      <c r="B47" s="57" t="s">
        <v>59</v>
      </c>
      <c r="C47" s="175"/>
      <c r="D47" s="175"/>
      <c r="E47" s="175"/>
      <c r="F47" s="175"/>
      <c r="G47" s="176"/>
      <c r="H47" s="177"/>
    </row>
    <row r="48" spans="1:12" ht="30" customHeight="1">
      <c r="A48" s="1" t="s">
        <v>6</v>
      </c>
      <c r="B48" s="57" t="s">
        <v>59</v>
      </c>
      <c r="C48" s="175"/>
      <c r="D48" s="175"/>
      <c r="E48" s="175"/>
      <c r="F48" s="175"/>
      <c r="G48" s="176"/>
      <c r="H48" s="177"/>
    </row>
    <row r="49" spans="1:8" ht="30" customHeight="1">
      <c r="A49" s="1"/>
      <c r="B49" s="14"/>
      <c r="C49" s="175"/>
      <c r="D49" s="175"/>
      <c r="E49" s="175"/>
      <c r="F49" s="175"/>
      <c r="G49" s="176"/>
      <c r="H49" s="177"/>
    </row>
    <row r="50" spans="1:8" ht="30" customHeight="1">
      <c r="A50" s="2"/>
      <c r="B50" s="14"/>
      <c r="C50" s="175"/>
      <c r="D50" s="175"/>
      <c r="E50" s="175"/>
      <c r="F50" s="175"/>
      <c r="G50" s="176"/>
      <c r="H50" s="177"/>
    </row>
    <row r="51" spans="1:8">
      <c r="A51" s="30"/>
      <c r="B51" s="18" t="s">
        <v>27</v>
      </c>
      <c r="C51" s="18" t="s">
        <v>28</v>
      </c>
      <c r="D51" s="18" t="s">
        <v>65</v>
      </c>
      <c r="E51" s="18" t="s">
        <v>30</v>
      </c>
      <c r="F51" s="18" t="s">
        <v>66</v>
      </c>
      <c r="G51" s="18" t="s">
        <v>32</v>
      </c>
      <c r="H51" s="18" t="s">
        <v>33</v>
      </c>
    </row>
    <row r="52" spans="1:8">
      <c r="A52" s="38" t="s">
        <v>67</v>
      </c>
      <c r="B52" s="15"/>
      <c r="C52" s="20"/>
      <c r="D52" s="20"/>
      <c r="E52" s="20"/>
      <c r="F52" s="20"/>
      <c r="G52" s="20"/>
      <c r="H52" s="15"/>
    </row>
    <row r="53" spans="1:8" customFormat="1" ht="15.75">
      <c r="A53" s="48" t="s">
        <v>68</v>
      </c>
      <c r="B53" s="22"/>
      <c r="C53" s="21"/>
      <c r="D53" s="21"/>
      <c r="E53" s="21"/>
      <c r="F53" s="21"/>
      <c r="G53" s="23" t="s">
        <v>37</v>
      </c>
      <c r="H53" s="23">
        <f>SUM(B52:H52)</f>
        <v>0</v>
      </c>
    </row>
    <row r="54" spans="1:8">
      <c r="A54" s="30"/>
      <c r="B54" s="18" t="s">
        <v>27</v>
      </c>
      <c r="C54" s="18" t="s">
        <v>28</v>
      </c>
      <c r="D54" s="18" t="s">
        <v>65</v>
      </c>
      <c r="E54" s="18" t="s">
        <v>30</v>
      </c>
      <c r="F54" s="18" t="s">
        <v>66</v>
      </c>
      <c r="G54" s="18" t="s">
        <v>32</v>
      </c>
      <c r="H54" s="18" t="s">
        <v>33</v>
      </c>
    </row>
    <row r="55" spans="1:8">
      <c r="A55" s="38" t="s">
        <v>69</v>
      </c>
      <c r="B55" s="51"/>
      <c r="C55" s="52"/>
      <c r="D55" s="52"/>
      <c r="E55" s="52"/>
      <c r="F55" s="52"/>
      <c r="G55" s="20"/>
      <c r="H55" s="15"/>
    </row>
    <row r="56" spans="1:8" customFormat="1" ht="15.75">
      <c r="A56" s="49" t="s">
        <v>70</v>
      </c>
      <c r="B56" s="53"/>
      <c r="C56" s="53" t="s">
        <v>71</v>
      </c>
      <c r="D56" s="54"/>
      <c r="E56" s="54"/>
      <c r="F56" s="55"/>
      <c r="G56" s="50" t="s">
        <v>37</v>
      </c>
      <c r="H56" s="23"/>
    </row>
    <row r="57" spans="1:8">
      <c r="H57" s="16"/>
    </row>
    <row r="58" spans="1:8">
      <c r="H58" s="16"/>
    </row>
    <row r="59" spans="1:8">
      <c r="H59" s="16"/>
    </row>
    <row r="60" spans="1:8">
      <c r="H60" s="16"/>
    </row>
    <row r="61" spans="1:8">
      <c r="H61" s="16"/>
    </row>
    <row r="62" spans="1:8">
      <c r="H62" s="16"/>
    </row>
    <row r="63" spans="1:8">
      <c r="H63" s="16"/>
    </row>
    <row r="64" spans="1:8">
      <c r="B64" s="5"/>
      <c r="H64" s="16"/>
    </row>
    <row r="65" spans="2:8">
      <c r="B65" s="5"/>
      <c r="H65" s="16"/>
    </row>
    <row r="66" spans="2:8">
      <c r="B66" s="5"/>
      <c r="H66" s="16"/>
    </row>
    <row r="67" spans="2:8">
      <c r="B67" s="5"/>
      <c r="H67" s="16"/>
    </row>
    <row r="68" spans="2:8">
      <c r="B68" s="5"/>
      <c r="H68" s="16"/>
    </row>
    <row r="69" spans="2:8">
      <c r="B69" s="5"/>
      <c r="H69" s="16"/>
    </row>
    <row r="70" spans="2:8">
      <c r="B70" s="5"/>
      <c r="H70" s="16"/>
    </row>
    <row r="71" spans="2:8">
      <c r="B71" s="5"/>
      <c r="H71" s="16"/>
    </row>
    <row r="72" spans="2:8">
      <c r="B72" s="5"/>
      <c r="H72" s="16"/>
    </row>
    <row r="73" spans="2:8">
      <c r="B73" s="5"/>
      <c r="H73" s="16"/>
    </row>
    <row r="74" spans="2:8">
      <c r="B74" s="5"/>
      <c r="H74" s="16"/>
    </row>
    <row r="75" spans="2:8">
      <c r="B75" s="5"/>
      <c r="H75" s="16"/>
    </row>
    <row r="76" spans="2:8">
      <c r="B76" s="5"/>
      <c r="H76" s="16"/>
    </row>
    <row r="77" spans="2:8">
      <c r="B77" s="5"/>
      <c r="H77" s="16"/>
    </row>
    <row r="78" spans="2:8">
      <c r="B78" s="5"/>
      <c r="H78" s="16"/>
    </row>
    <row r="79" spans="2:8">
      <c r="B79" s="5"/>
      <c r="H79" s="16"/>
    </row>
    <row r="80" spans="2:8">
      <c r="B80" s="5"/>
      <c r="H80" s="16"/>
    </row>
    <row r="81" spans="2:8">
      <c r="B81" s="5"/>
      <c r="H81" s="16"/>
    </row>
    <row r="82" spans="2:8">
      <c r="B82" s="5"/>
      <c r="H82" s="16"/>
    </row>
    <row r="83" spans="2:8">
      <c r="B83" s="5"/>
      <c r="H83" s="16"/>
    </row>
    <row r="84" spans="2:8">
      <c r="B84" s="5"/>
      <c r="H84" s="16"/>
    </row>
    <row r="85" spans="2:8">
      <c r="B85" s="5"/>
      <c r="H85" s="16"/>
    </row>
    <row r="86" spans="2:8">
      <c r="B86" s="5"/>
      <c r="H86" s="16"/>
    </row>
    <row r="87" spans="2:8">
      <c r="B87" s="5"/>
      <c r="H87" s="16"/>
    </row>
    <row r="88" spans="2:8">
      <c r="B88" s="5"/>
      <c r="H88" s="16"/>
    </row>
    <row r="89" spans="2:8">
      <c r="B89" s="5"/>
      <c r="H89" s="16"/>
    </row>
    <row r="90" spans="2:8">
      <c r="B90" s="5"/>
      <c r="H90" s="16"/>
    </row>
    <row r="91" spans="2:8">
      <c r="B91" s="5"/>
      <c r="H91" s="16"/>
    </row>
    <row r="92" spans="2:8">
      <c r="B92" s="5"/>
      <c r="H92" s="16"/>
    </row>
    <row r="93" spans="2:8">
      <c r="B93" s="5"/>
      <c r="H93" s="16"/>
    </row>
    <row r="94" spans="2:8">
      <c r="B94" s="5"/>
      <c r="H94" s="16"/>
    </row>
    <row r="95" spans="2:8">
      <c r="B95" s="5"/>
      <c r="H95" s="16"/>
    </row>
    <row r="96" spans="2:8">
      <c r="B96" s="5"/>
      <c r="H96" s="16"/>
    </row>
    <row r="97" spans="2:8">
      <c r="B97" s="5"/>
      <c r="H97" s="16"/>
    </row>
    <row r="98" spans="2:8">
      <c r="B98" s="5"/>
      <c r="H98" s="16"/>
    </row>
    <row r="99" spans="2:8">
      <c r="B99" s="5"/>
      <c r="H99" s="16"/>
    </row>
    <row r="100" spans="2:8">
      <c r="B100" s="5"/>
      <c r="H100" s="16"/>
    </row>
    <row r="101" spans="2:8">
      <c r="B101" s="5"/>
      <c r="H101" s="16"/>
    </row>
    <row r="102" spans="2:8">
      <c r="B102" s="5"/>
      <c r="H102" s="16"/>
    </row>
    <row r="103" spans="2:8">
      <c r="B103" s="5"/>
      <c r="H103" s="16"/>
    </row>
    <row r="104" spans="2:8">
      <c r="B104" s="5"/>
      <c r="H104" s="16"/>
    </row>
    <row r="105" spans="2:8">
      <c r="B105" s="5"/>
      <c r="H105" s="16"/>
    </row>
    <row r="106" spans="2:8">
      <c r="B106" s="5"/>
      <c r="H106" s="16"/>
    </row>
    <row r="107" spans="2:8">
      <c r="B107" s="5"/>
      <c r="H107" s="16"/>
    </row>
    <row r="108" spans="2:8">
      <c r="B108" s="5"/>
      <c r="H108" s="16"/>
    </row>
    <row r="109" spans="2:8">
      <c r="B109" s="5"/>
      <c r="H109" s="16"/>
    </row>
    <row r="110" spans="2:8">
      <c r="B110" s="5"/>
      <c r="H110" s="16"/>
    </row>
    <row r="111" spans="2:8">
      <c r="B111" s="5"/>
      <c r="H111" s="16"/>
    </row>
    <row r="112" spans="2:8">
      <c r="B112" s="5"/>
      <c r="H112" s="16"/>
    </row>
    <row r="113" spans="2:8">
      <c r="B113" s="5"/>
      <c r="H113" s="16"/>
    </row>
    <row r="114" spans="2:8">
      <c r="B114" s="5"/>
      <c r="H114" s="16"/>
    </row>
    <row r="115" spans="2:8">
      <c r="B115" s="5"/>
      <c r="H115" s="16"/>
    </row>
    <row r="116" spans="2:8">
      <c r="B116" s="5"/>
      <c r="H116" s="16"/>
    </row>
    <row r="117" spans="2:8">
      <c r="B117" s="5"/>
      <c r="H117" s="16"/>
    </row>
    <row r="118" spans="2:8">
      <c r="B118" s="5"/>
      <c r="H118" s="16"/>
    </row>
    <row r="119" spans="2:8">
      <c r="B119" s="5"/>
      <c r="H119" s="16"/>
    </row>
    <row r="120" spans="2:8">
      <c r="B120" s="5"/>
      <c r="H120" s="16"/>
    </row>
    <row r="121" spans="2:8">
      <c r="B121" s="5"/>
      <c r="H121" s="16"/>
    </row>
    <row r="122" spans="2:8">
      <c r="B122" s="5"/>
      <c r="H122" s="16"/>
    </row>
    <row r="123" spans="2:8">
      <c r="B123" s="5"/>
      <c r="H123" s="16"/>
    </row>
    <row r="124" spans="2:8">
      <c r="B124" s="5"/>
      <c r="H124" s="16"/>
    </row>
    <row r="125" spans="2:8">
      <c r="B125" s="5"/>
      <c r="H125" s="16"/>
    </row>
    <row r="126" spans="2:8">
      <c r="B126" s="5"/>
      <c r="H126" s="16"/>
    </row>
    <row r="127" spans="2:8">
      <c r="B127" s="5"/>
      <c r="H127" s="16"/>
    </row>
    <row r="128" spans="2:8">
      <c r="B128" s="5"/>
      <c r="H128" s="16"/>
    </row>
    <row r="129" spans="2:8">
      <c r="B129" s="5"/>
      <c r="H129" s="16"/>
    </row>
    <row r="130" spans="2:8">
      <c r="B130" s="5"/>
      <c r="H130" s="16"/>
    </row>
    <row r="131" spans="2:8">
      <c r="B131" s="5"/>
      <c r="H131" s="16"/>
    </row>
    <row r="132" spans="2:8">
      <c r="B132" s="5"/>
      <c r="H132" s="16"/>
    </row>
    <row r="133" spans="2:8">
      <c r="B133" s="5"/>
      <c r="H133" s="16"/>
    </row>
    <row r="134" spans="2:8">
      <c r="B134" s="5"/>
      <c r="H134" s="16"/>
    </row>
    <row r="135" spans="2:8">
      <c r="B135" s="5"/>
      <c r="H135" s="16"/>
    </row>
    <row r="136" spans="2:8">
      <c r="B136" s="5"/>
      <c r="H136" s="16"/>
    </row>
    <row r="137" spans="2:8">
      <c r="B137" s="5"/>
      <c r="H137" s="16"/>
    </row>
    <row r="138" spans="2:8">
      <c r="B138" s="5"/>
      <c r="H138" s="16"/>
    </row>
    <row r="139" spans="2:8">
      <c r="B139" s="5"/>
      <c r="H139" s="16"/>
    </row>
    <row r="140" spans="2:8">
      <c r="B140" s="5"/>
      <c r="H140" s="16"/>
    </row>
    <row r="141" spans="2:8">
      <c r="B141" s="5"/>
      <c r="H141" s="16"/>
    </row>
    <row r="142" spans="2:8">
      <c r="B142" s="5"/>
      <c r="H142" s="16"/>
    </row>
    <row r="143" spans="2:8">
      <c r="B143" s="5"/>
      <c r="H143" s="16"/>
    </row>
    <row r="144" spans="2:8">
      <c r="B144" s="5"/>
      <c r="H144" s="16"/>
    </row>
    <row r="145" spans="2:8">
      <c r="B145" s="5"/>
      <c r="H145" s="16"/>
    </row>
    <row r="146" spans="2:8">
      <c r="B146" s="5"/>
      <c r="H146" s="16"/>
    </row>
    <row r="147" spans="2:8">
      <c r="B147" s="5"/>
      <c r="H147" s="16"/>
    </row>
    <row r="148" spans="2:8">
      <c r="B148" s="5"/>
      <c r="H148" s="16"/>
    </row>
    <row r="149" spans="2:8">
      <c r="B149" s="5"/>
      <c r="H149" s="16"/>
    </row>
    <row r="150" spans="2:8">
      <c r="B150" s="5"/>
      <c r="H150" s="16"/>
    </row>
    <row r="151" spans="2:8">
      <c r="B151" s="5"/>
      <c r="H151" s="16"/>
    </row>
    <row r="152" spans="2:8">
      <c r="B152" s="5"/>
      <c r="H152" s="16"/>
    </row>
    <row r="153" spans="2:8">
      <c r="B153" s="5"/>
      <c r="H153" s="16"/>
    </row>
    <row r="154" spans="2:8">
      <c r="B154" s="5"/>
      <c r="H154" s="16"/>
    </row>
    <row r="155" spans="2:8">
      <c r="B155" s="5"/>
      <c r="H155" s="16"/>
    </row>
    <row r="156" spans="2:8">
      <c r="B156" s="5"/>
      <c r="H156" s="16"/>
    </row>
    <row r="157" spans="2:8">
      <c r="B157" s="5"/>
      <c r="H157" s="16"/>
    </row>
    <row r="158" spans="2:8">
      <c r="B158" s="5"/>
      <c r="H158" s="16"/>
    </row>
    <row r="159" spans="2:8">
      <c r="B159" s="5"/>
      <c r="H159" s="16"/>
    </row>
    <row r="160" spans="2:8">
      <c r="B160" s="5"/>
      <c r="H160" s="16"/>
    </row>
    <row r="161" spans="2:8">
      <c r="B161" s="5"/>
      <c r="H161" s="16"/>
    </row>
    <row r="162" spans="2:8">
      <c r="B162" s="5"/>
      <c r="H162" s="16"/>
    </row>
    <row r="163" spans="2:8">
      <c r="B163" s="5"/>
      <c r="H163" s="16"/>
    </row>
    <row r="164" spans="2:8">
      <c r="B164" s="5"/>
      <c r="H164" s="16"/>
    </row>
    <row r="165" spans="2:8">
      <c r="B165" s="5"/>
      <c r="H165" s="16"/>
    </row>
    <row r="166" spans="2:8">
      <c r="B166" s="5"/>
      <c r="H166" s="16"/>
    </row>
    <row r="167" spans="2:8">
      <c r="B167" s="5"/>
      <c r="H167" s="16"/>
    </row>
    <row r="168" spans="2:8">
      <c r="B168" s="5"/>
      <c r="H168" s="16"/>
    </row>
    <row r="169" spans="2:8">
      <c r="B169" s="5"/>
      <c r="H169" s="16"/>
    </row>
    <row r="170" spans="2:8">
      <c r="B170" s="5"/>
      <c r="H170" s="16"/>
    </row>
    <row r="171" spans="2:8">
      <c r="B171" s="5"/>
      <c r="H171" s="16"/>
    </row>
    <row r="172" spans="2:8">
      <c r="B172" s="5"/>
      <c r="H172" s="16"/>
    </row>
    <row r="173" spans="2:8">
      <c r="B173" s="5"/>
      <c r="H173" s="16"/>
    </row>
    <row r="174" spans="2:8">
      <c r="B174" s="5"/>
      <c r="H174" s="16"/>
    </row>
    <row r="175" spans="2:8">
      <c r="B175" s="5"/>
      <c r="H175" s="16"/>
    </row>
    <row r="176" spans="2:8">
      <c r="B176" s="5"/>
      <c r="H176" s="16"/>
    </row>
    <row r="177" spans="2:8">
      <c r="B177" s="5"/>
      <c r="H177" s="16"/>
    </row>
    <row r="178" spans="2:8">
      <c r="B178" s="5"/>
      <c r="H178" s="16"/>
    </row>
    <row r="179" spans="2:8">
      <c r="B179" s="5"/>
      <c r="H179" s="16"/>
    </row>
    <row r="180" spans="2:8">
      <c r="B180" s="5"/>
      <c r="H180" s="16"/>
    </row>
    <row r="181" spans="2:8">
      <c r="B181" s="5"/>
      <c r="H181" s="16"/>
    </row>
    <row r="182" spans="2:8">
      <c r="B182" s="5"/>
      <c r="H182" s="16"/>
    </row>
    <row r="183" spans="2:8">
      <c r="B183" s="5"/>
      <c r="H183" s="16"/>
    </row>
    <row r="184" spans="2:8">
      <c r="B184" s="5"/>
      <c r="H184" s="16"/>
    </row>
    <row r="185" spans="2:8">
      <c r="B185" s="5"/>
      <c r="H185" s="16"/>
    </row>
    <row r="186" spans="2:8">
      <c r="B186" s="5"/>
      <c r="H186" s="16"/>
    </row>
    <row r="187" spans="2:8">
      <c r="B187" s="5"/>
      <c r="H187" s="16"/>
    </row>
    <row r="188" spans="2:8">
      <c r="B188" s="5"/>
      <c r="H188" s="16"/>
    </row>
    <row r="189" spans="2:8">
      <c r="B189" s="5"/>
      <c r="H189" s="16"/>
    </row>
    <row r="190" spans="2:8">
      <c r="B190" s="5"/>
      <c r="H190" s="16"/>
    </row>
    <row r="191" spans="2:8">
      <c r="B191" s="5"/>
      <c r="H191" s="16"/>
    </row>
    <row r="192" spans="2:8">
      <c r="B192" s="5"/>
      <c r="H192" s="16"/>
    </row>
    <row r="193" spans="2:8">
      <c r="B193" s="5"/>
      <c r="H193" s="16"/>
    </row>
    <row r="194" spans="2:8">
      <c r="B194" s="5"/>
      <c r="H194" s="16"/>
    </row>
    <row r="195" spans="2:8">
      <c r="B195" s="5"/>
      <c r="H195" s="16"/>
    </row>
    <row r="196" spans="2:8">
      <c r="B196" s="5"/>
      <c r="H196" s="16"/>
    </row>
    <row r="197" spans="2:8">
      <c r="B197" s="5"/>
      <c r="H197" s="16"/>
    </row>
    <row r="198" spans="2:8">
      <c r="B198" s="5"/>
      <c r="H198" s="16"/>
    </row>
    <row r="199" spans="2:8">
      <c r="B199" s="5"/>
      <c r="H199" s="16"/>
    </row>
    <row r="200" spans="2:8">
      <c r="B200" s="5"/>
      <c r="H200" s="16"/>
    </row>
    <row r="201" spans="2:8">
      <c r="B201" s="5"/>
      <c r="H201" s="16"/>
    </row>
    <row r="202" spans="2:8">
      <c r="B202" s="5"/>
      <c r="H202" s="16"/>
    </row>
    <row r="203" spans="2:8">
      <c r="B203" s="5"/>
      <c r="H203" s="16"/>
    </row>
    <row r="204" spans="2:8">
      <c r="B204" s="5"/>
      <c r="H204" s="16"/>
    </row>
    <row r="205" spans="2:8">
      <c r="B205" s="5"/>
      <c r="H205" s="16"/>
    </row>
    <row r="206" spans="2:8">
      <c r="B206" s="5"/>
      <c r="H206" s="16"/>
    </row>
    <row r="207" spans="2:8">
      <c r="B207" s="5"/>
      <c r="H207" s="16"/>
    </row>
    <row r="208" spans="2:8">
      <c r="B208" s="5"/>
      <c r="H208" s="16"/>
    </row>
    <row r="209" spans="2:8">
      <c r="B209" s="5"/>
      <c r="H209" s="16"/>
    </row>
    <row r="210" spans="2:8">
      <c r="B210" s="5"/>
      <c r="H210" s="16"/>
    </row>
    <row r="211" spans="2:8">
      <c r="B211" s="5"/>
      <c r="H211" s="16"/>
    </row>
    <row r="212" spans="2:8">
      <c r="B212" s="5"/>
      <c r="H212" s="16"/>
    </row>
    <row r="213" spans="2:8">
      <c r="B213" s="5"/>
      <c r="H213" s="16"/>
    </row>
    <row r="214" spans="2:8">
      <c r="B214" s="5"/>
      <c r="H214" s="16"/>
    </row>
    <row r="215" spans="2:8">
      <c r="B215" s="5"/>
      <c r="H215" s="16"/>
    </row>
    <row r="216" spans="2:8">
      <c r="B216" s="5"/>
      <c r="H216" s="16"/>
    </row>
    <row r="217" spans="2:8">
      <c r="B217" s="5"/>
      <c r="H217" s="16"/>
    </row>
    <row r="218" spans="2:8">
      <c r="B218" s="5"/>
      <c r="H218" s="16"/>
    </row>
    <row r="219" spans="2:8">
      <c r="B219" s="5"/>
      <c r="H219" s="16"/>
    </row>
    <row r="220" spans="2:8">
      <c r="B220" s="5"/>
      <c r="H220" s="16"/>
    </row>
    <row r="221" spans="2:8">
      <c r="B221" s="5"/>
      <c r="H221" s="16"/>
    </row>
    <row r="222" spans="2:8">
      <c r="B222" s="5"/>
      <c r="H222" s="16"/>
    </row>
    <row r="223" spans="2:8">
      <c r="B223" s="5"/>
      <c r="H223" s="16"/>
    </row>
    <row r="224" spans="2:8">
      <c r="B224" s="5"/>
      <c r="H224" s="16"/>
    </row>
    <row r="225" spans="2:8">
      <c r="B225" s="5"/>
      <c r="H225" s="16"/>
    </row>
    <row r="226" spans="2:8">
      <c r="B226" s="5"/>
      <c r="H226" s="16"/>
    </row>
    <row r="227" spans="2:8">
      <c r="B227" s="5"/>
      <c r="H227" s="16"/>
    </row>
    <row r="228" spans="2:8">
      <c r="B228" s="5"/>
      <c r="H228" s="16"/>
    </row>
    <row r="229" spans="2:8">
      <c r="B229" s="5"/>
      <c r="H229" s="16"/>
    </row>
    <row r="230" spans="2:8">
      <c r="B230" s="5"/>
      <c r="H230" s="16"/>
    </row>
    <row r="231" spans="2:8">
      <c r="B231" s="5"/>
      <c r="H231" s="16"/>
    </row>
    <row r="232" spans="2:8">
      <c r="B232" s="5"/>
      <c r="H232" s="16"/>
    </row>
    <row r="233" spans="2:8">
      <c r="B233" s="5"/>
      <c r="H233" s="16"/>
    </row>
    <row r="234" spans="2:8">
      <c r="B234" s="5"/>
      <c r="H234" s="16"/>
    </row>
    <row r="235" spans="2:8">
      <c r="B235" s="5"/>
      <c r="H235" s="16"/>
    </row>
    <row r="236" spans="2:8">
      <c r="B236" s="5"/>
      <c r="H236" s="16"/>
    </row>
    <row r="237" spans="2:8">
      <c r="B237" s="5"/>
      <c r="H237" s="16"/>
    </row>
    <row r="238" spans="2:8">
      <c r="B238" s="5"/>
      <c r="H238" s="16"/>
    </row>
    <row r="239" spans="2:8">
      <c r="B239" s="5"/>
      <c r="H239" s="16"/>
    </row>
    <row r="240" spans="2:8">
      <c r="B240" s="5"/>
      <c r="H240" s="16"/>
    </row>
    <row r="241" spans="2:8">
      <c r="B241" s="5"/>
      <c r="H241" s="16"/>
    </row>
    <row r="242" spans="2:8">
      <c r="B242" s="5"/>
      <c r="H242" s="16"/>
    </row>
    <row r="243" spans="2:8">
      <c r="B243" s="5"/>
      <c r="H243" s="16"/>
    </row>
    <row r="244" spans="2:8">
      <c r="B244" s="5"/>
      <c r="H244" s="16"/>
    </row>
    <row r="245" spans="2:8">
      <c r="B245" s="5"/>
      <c r="H245" s="16"/>
    </row>
    <row r="246" spans="2:8">
      <c r="B246" s="5"/>
      <c r="H246" s="16"/>
    </row>
    <row r="247" spans="2:8">
      <c r="B247" s="5"/>
      <c r="H247" s="16"/>
    </row>
    <row r="248" spans="2:8">
      <c r="B248" s="5"/>
      <c r="H248" s="16"/>
    </row>
    <row r="249" spans="2:8">
      <c r="B249" s="5"/>
      <c r="H249" s="16"/>
    </row>
    <row r="250" spans="2:8">
      <c r="B250" s="5"/>
      <c r="H250" s="16"/>
    </row>
    <row r="251" spans="2:8">
      <c r="B251" s="5"/>
      <c r="H251" s="16"/>
    </row>
    <row r="252" spans="2:8">
      <c r="B252" s="5"/>
      <c r="H252" s="16"/>
    </row>
    <row r="253" spans="2:8">
      <c r="B253" s="5"/>
      <c r="H253" s="16"/>
    </row>
    <row r="254" spans="2:8">
      <c r="B254" s="5"/>
      <c r="H254" s="16"/>
    </row>
    <row r="255" spans="2:8">
      <c r="B255" s="5"/>
      <c r="H255" s="16"/>
    </row>
    <row r="256" spans="2:8">
      <c r="B256" s="5"/>
      <c r="H256" s="16"/>
    </row>
    <row r="257" spans="2:8">
      <c r="B257" s="5"/>
      <c r="H257" s="16"/>
    </row>
    <row r="258" spans="2:8">
      <c r="B258" s="5"/>
      <c r="H258" s="16"/>
    </row>
    <row r="259" spans="2:8">
      <c r="B259" s="5"/>
      <c r="H259" s="16"/>
    </row>
    <row r="260" spans="2:8">
      <c r="B260" s="5"/>
      <c r="H260" s="16"/>
    </row>
    <row r="261" spans="2:8">
      <c r="B261" s="5"/>
      <c r="H261" s="16"/>
    </row>
    <row r="262" spans="2:8">
      <c r="B262" s="5"/>
      <c r="H262" s="16"/>
    </row>
    <row r="263" spans="2:8">
      <c r="B263" s="5"/>
      <c r="H263" s="16"/>
    </row>
    <row r="264" spans="2:8">
      <c r="B264" s="5"/>
      <c r="H264" s="16"/>
    </row>
    <row r="265" spans="2:8">
      <c r="B265" s="5"/>
      <c r="H265" s="16"/>
    </row>
    <row r="266" spans="2:8">
      <c r="B266" s="5"/>
      <c r="H266" s="16"/>
    </row>
    <row r="267" spans="2:8">
      <c r="B267" s="5"/>
      <c r="H267" s="16"/>
    </row>
    <row r="268" spans="2:8">
      <c r="B268" s="5"/>
      <c r="H268" s="16"/>
    </row>
    <row r="269" spans="2:8">
      <c r="B269" s="5"/>
      <c r="H269" s="16"/>
    </row>
    <row r="270" spans="2:8">
      <c r="B270" s="5"/>
      <c r="H270" s="16"/>
    </row>
    <row r="271" spans="2:8">
      <c r="B271" s="5"/>
      <c r="H271" s="16"/>
    </row>
    <row r="272" spans="2:8">
      <c r="B272" s="5"/>
      <c r="H272" s="16"/>
    </row>
    <row r="273" spans="2:8">
      <c r="B273" s="5"/>
      <c r="H273" s="16"/>
    </row>
    <row r="274" spans="2:8">
      <c r="B274" s="5"/>
      <c r="H274" s="16"/>
    </row>
    <row r="275" spans="2:8">
      <c r="B275" s="5"/>
      <c r="H275" s="16"/>
    </row>
    <row r="276" spans="2:8">
      <c r="B276" s="5"/>
      <c r="H276" s="16"/>
    </row>
    <row r="277" spans="2:8">
      <c r="B277" s="5"/>
      <c r="H277" s="16"/>
    </row>
    <row r="278" spans="2:8">
      <c r="B278" s="5"/>
      <c r="H278" s="16"/>
    </row>
    <row r="279" spans="2:8">
      <c r="B279" s="5"/>
      <c r="H279" s="16"/>
    </row>
    <row r="280" spans="2:8">
      <c r="B280" s="5"/>
      <c r="H280" s="16"/>
    </row>
    <row r="281" spans="2:8">
      <c r="B281" s="5"/>
      <c r="H281" s="16"/>
    </row>
    <row r="282" spans="2:8">
      <c r="B282" s="5"/>
      <c r="H282" s="16"/>
    </row>
    <row r="283" spans="2:8">
      <c r="B283" s="5"/>
      <c r="H283" s="16"/>
    </row>
    <row r="284" spans="2:8">
      <c r="B284" s="5"/>
      <c r="H284" s="16"/>
    </row>
    <row r="285" spans="2:8">
      <c r="B285" s="5"/>
      <c r="H285" s="16"/>
    </row>
    <row r="286" spans="2:8">
      <c r="B286" s="5"/>
      <c r="H286" s="16"/>
    </row>
    <row r="287" spans="2:8">
      <c r="B287" s="5"/>
      <c r="H287" s="16"/>
    </row>
    <row r="288" spans="2:8">
      <c r="B288" s="5"/>
      <c r="H288" s="16"/>
    </row>
    <row r="289" spans="2:8">
      <c r="B289" s="5"/>
      <c r="H289" s="16"/>
    </row>
    <row r="290" spans="2:8">
      <c r="B290" s="5"/>
      <c r="H290" s="16"/>
    </row>
    <row r="291" spans="2:8">
      <c r="B291" s="5"/>
      <c r="H291" s="16"/>
    </row>
    <row r="292" spans="2:8">
      <c r="B292" s="5"/>
      <c r="H292" s="16"/>
    </row>
    <row r="293" spans="2:8">
      <c r="B293" s="5"/>
      <c r="H293" s="16"/>
    </row>
    <row r="294" spans="2:8">
      <c r="B294" s="5"/>
      <c r="H294" s="16"/>
    </row>
    <row r="295" spans="2:8">
      <c r="B295" s="5"/>
      <c r="H295" s="16"/>
    </row>
    <row r="296" spans="2:8">
      <c r="B296" s="5"/>
      <c r="H296" s="16"/>
    </row>
    <row r="297" spans="2:8">
      <c r="B297" s="5"/>
      <c r="H297" s="16"/>
    </row>
    <row r="298" spans="2:8">
      <c r="B298" s="5"/>
      <c r="H298" s="16"/>
    </row>
    <row r="299" spans="2:8">
      <c r="B299" s="5"/>
      <c r="H299" s="16"/>
    </row>
    <row r="300" spans="2:8">
      <c r="B300" s="5"/>
      <c r="H300" s="16"/>
    </row>
    <row r="301" spans="2:8">
      <c r="B301" s="5"/>
      <c r="H301" s="16"/>
    </row>
    <row r="302" spans="2:8">
      <c r="B302" s="5"/>
      <c r="H302" s="16"/>
    </row>
    <row r="303" spans="2:8">
      <c r="B303" s="5"/>
      <c r="H303" s="16"/>
    </row>
    <row r="304" spans="2:8">
      <c r="B304" s="5"/>
      <c r="H304" s="16"/>
    </row>
    <row r="305" spans="2:8">
      <c r="B305" s="5"/>
      <c r="H305" s="16"/>
    </row>
    <row r="306" spans="2:8">
      <c r="B306" s="5"/>
      <c r="H306" s="16"/>
    </row>
    <row r="307" spans="2:8">
      <c r="B307" s="5"/>
      <c r="H307" s="16"/>
    </row>
    <row r="308" spans="2:8">
      <c r="B308" s="5"/>
      <c r="H308" s="16"/>
    </row>
    <row r="309" spans="2:8">
      <c r="B309" s="5"/>
      <c r="H309" s="16"/>
    </row>
    <row r="310" spans="2:8">
      <c r="B310" s="5"/>
      <c r="H310" s="16"/>
    </row>
    <row r="311" spans="2:8">
      <c r="B311" s="5"/>
      <c r="H311" s="16"/>
    </row>
    <row r="312" spans="2:8">
      <c r="B312" s="5"/>
      <c r="H312" s="16"/>
    </row>
    <row r="313" spans="2:8">
      <c r="B313" s="5"/>
      <c r="H313" s="16"/>
    </row>
    <row r="314" spans="2:8">
      <c r="B314" s="5"/>
      <c r="H314" s="16"/>
    </row>
    <row r="315" spans="2:8">
      <c r="B315" s="5"/>
      <c r="H315" s="16"/>
    </row>
    <row r="316" spans="2:8">
      <c r="B316" s="5"/>
      <c r="H316" s="16"/>
    </row>
    <row r="317" spans="2:8">
      <c r="B317" s="5"/>
      <c r="H317" s="16"/>
    </row>
    <row r="318" spans="2:8">
      <c r="B318" s="5"/>
      <c r="H318" s="16"/>
    </row>
    <row r="319" spans="2:8">
      <c r="B319" s="5"/>
      <c r="H319" s="16"/>
    </row>
    <row r="320" spans="2:8">
      <c r="B320" s="5"/>
      <c r="H320" s="16"/>
    </row>
    <row r="321" spans="2:8">
      <c r="B321" s="5"/>
      <c r="H321" s="16"/>
    </row>
    <row r="322" spans="2:8">
      <c r="B322" s="5"/>
      <c r="H322" s="16"/>
    </row>
    <row r="323" spans="2:8">
      <c r="B323" s="5"/>
      <c r="H323" s="16"/>
    </row>
    <row r="324" spans="2:8">
      <c r="B324" s="5"/>
      <c r="H324" s="16"/>
    </row>
    <row r="325" spans="2:8">
      <c r="B325" s="5"/>
      <c r="H325" s="16"/>
    </row>
    <row r="326" spans="2:8">
      <c r="B326" s="5"/>
      <c r="H326" s="16"/>
    </row>
    <row r="327" spans="2:8">
      <c r="B327" s="5"/>
      <c r="H327" s="16"/>
    </row>
    <row r="328" spans="2:8">
      <c r="B328" s="5"/>
      <c r="H328" s="16"/>
    </row>
    <row r="329" spans="2:8">
      <c r="B329" s="5"/>
      <c r="H329" s="16"/>
    </row>
    <row r="330" spans="2:8">
      <c r="B330" s="5"/>
      <c r="H330" s="16"/>
    </row>
    <row r="331" spans="2:8">
      <c r="B331" s="5"/>
      <c r="H331" s="16"/>
    </row>
    <row r="332" spans="2:8">
      <c r="B332" s="5"/>
      <c r="H332" s="16"/>
    </row>
    <row r="333" spans="2:8">
      <c r="B333" s="5"/>
      <c r="H333" s="16"/>
    </row>
    <row r="334" spans="2:8">
      <c r="B334" s="5"/>
      <c r="H334" s="16"/>
    </row>
    <row r="335" spans="2:8">
      <c r="B335" s="5"/>
      <c r="H335" s="16"/>
    </row>
    <row r="336" spans="2:8">
      <c r="B336" s="5"/>
      <c r="H336" s="16"/>
    </row>
    <row r="337" spans="2:8">
      <c r="B337" s="5"/>
      <c r="H337" s="16"/>
    </row>
    <row r="338" spans="2:8">
      <c r="B338" s="5"/>
      <c r="H338" s="16"/>
    </row>
    <row r="339" spans="2:8">
      <c r="B339" s="5"/>
      <c r="H339" s="16"/>
    </row>
    <row r="340" spans="2:8">
      <c r="B340" s="5"/>
      <c r="H340" s="16"/>
    </row>
    <row r="341" spans="2:8">
      <c r="B341" s="5"/>
      <c r="H341" s="16"/>
    </row>
    <row r="342" spans="2:8">
      <c r="B342" s="5"/>
      <c r="H342" s="16"/>
    </row>
    <row r="343" spans="2:8">
      <c r="B343" s="5"/>
      <c r="H343" s="16"/>
    </row>
    <row r="344" spans="2:8">
      <c r="B344" s="5"/>
      <c r="H344" s="16"/>
    </row>
    <row r="345" spans="2:8">
      <c r="B345" s="5"/>
      <c r="H345" s="16"/>
    </row>
    <row r="346" spans="2:8">
      <c r="B346" s="5"/>
      <c r="H346" s="16"/>
    </row>
    <row r="347" spans="2:8">
      <c r="B347" s="5"/>
      <c r="H347" s="16"/>
    </row>
    <row r="348" spans="2:8">
      <c r="B348" s="5"/>
      <c r="H348" s="16"/>
    </row>
    <row r="349" spans="2:8">
      <c r="B349" s="5"/>
      <c r="H349" s="16"/>
    </row>
    <row r="350" spans="2:8">
      <c r="B350" s="5"/>
      <c r="H350" s="16"/>
    </row>
    <row r="351" spans="2:8">
      <c r="B351" s="5"/>
      <c r="H351" s="16"/>
    </row>
    <row r="352" spans="2:8">
      <c r="B352" s="5"/>
      <c r="H352" s="16"/>
    </row>
    <row r="353" spans="2:8">
      <c r="B353" s="5"/>
      <c r="H353" s="16"/>
    </row>
    <row r="354" spans="2:8">
      <c r="B354" s="5"/>
      <c r="H354" s="16"/>
    </row>
    <row r="355" spans="2:8">
      <c r="B355" s="5"/>
      <c r="H355" s="16"/>
    </row>
    <row r="356" spans="2:8">
      <c r="B356" s="5"/>
      <c r="H356" s="16"/>
    </row>
    <row r="357" spans="2:8">
      <c r="B357" s="5"/>
      <c r="H357" s="16"/>
    </row>
    <row r="358" spans="2:8">
      <c r="B358" s="5"/>
      <c r="H358" s="16"/>
    </row>
    <row r="359" spans="2:8">
      <c r="B359" s="5"/>
      <c r="H359" s="16"/>
    </row>
    <row r="360" spans="2:8">
      <c r="B360" s="5"/>
      <c r="H360" s="16"/>
    </row>
    <row r="361" spans="2:8">
      <c r="B361" s="5"/>
      <c r="H361" s="16"/>
    </row>
    <row r="362" spans="2:8">
      <c r="B362" s="5"/>
      <c r="H362" s="16"/>
    </row>
    <row r="363" spans="2:8">
      <c r="B363" s="5"/>
      <c r="H363" s="16"/>
    </row>
    <row r="364" spans="2:8">
      <c r="B364" s="5"/>
      <c r="H364" s="16"/>
    </row>
    <row r="365" spans="2:8">
      <c r="B365" s="5"/>
      <c r="H365" s="16"/>
    </row>
    <row r="366" spans="2:8">
      <c r="B366" s="5"/>
      <c r="H366" s="16"/>
    </row>
    <row r="367" spans="2:8">
      <c r="B367" s="5"/>
      <c r="H367" s="16"/>
    </row>
    <row r="368" spans="2:8">
      <c r="B368" s="5"/>
      <c r="H368" s="16"/>
    </row>
    <row r="369" spans="2:8">
      <c r="B369" s="5"/>
      <c r="H369" s="16"/>
    </row>
    <row r="370" spans="2:8">
      <c r="B370" s="5"/>
      <c r="H370" s="16"/>
    </row>
    <row r="371" spans="2:8">
      <c r="B371" s="5"/>
      <c r="H371" s="16"/>
    </row>
    <row r="372" spans="2:8">
      <c r="B372" s="5"/>
      <c r="H372" s="16"/>
    </row>
    <row r="373" spans="2:8">
      <c r="B373" s="5"/>
      <c r="H373" s="16"/>
    </row>
    <row r="374" spans="2:8">
      <c r="B374" s="5"/>
      <c r="H374" s="16"/>
    </row>
    <row r="375" spans="2:8">
      <c r="B375" s="5"/>
      <c r="H375" s="16"/>
    </row>
    <row r="376" spans="2:8">
      <c r="B376" s="5"/>
      <c r="H376" s="16"/>
    </row>
    <row r="377" spans="2:8">
      <c r="B377" s="5"/>
      <c r="H377" s="16"/>
    </row>
    <row r="378" spans="2:8">
      <c r="B378" s="5"/>
      <c r="H378" s="16"/>
    </row>
    <row r="379" spans="2:8">
      <c r="B379" s="5"/>
      <c r="H379" s="16"/>
    </row>
    <row r="380" spans="2:8">
      <c r="B380" s="5"/>
      <c r="H380" s="16"/>
    </row>
    <row r="381" spans="2:8">
      <c r="B381" s="5"/>
      <c r="H381" s="16"/>
    </row>
    <row r="382" spans="2:8">
      <c r="B382" s="5"/>
      <c r="H382" s="16"/>
    </row>
    <row r="383" spans="2:8">
      <c r="B383" s="5"/>
      <c r="H383" s="16"/>
    </row>
    <row r="384" spans="2:8">
      <c r="B384" s="5"/>
      <c r="H384" s="16"/>
    </row>
    <row r="385" spans="2:8">
      <c r="B385" s="5"/>
      <c r="H385" s="16"/>
    </row>
    <row r="386" spans="2:8">
      <c r="B386" s="5"/>
      <c r="H386" s="16"/>
    </row>
    <row r="387" spans="2:8">
      <c r="B387" s="5"/>
      <c r="H387" s="16"/>
    </row>
    <row r="388" spans="2:8">
      <c r="B388" s="5"/>
      <c r="H388" s="16"/>
    </row>
    <row r="389" spans="2:8">
      <c r="B389" s="5"/>
      <c r="H389" s="16"/>
    </row>
    <row r="390" spans="2:8">
      <c r="B390" s="5"/>
      <c r="H390" s="16"/>
    </row>
    <row r="391" spans="2:8">
      <c r="B391" s="5"/>
      <c r="H391" s="16"/>
    </row>
    <row r="392" spans="2:8">
      <c r="B392" s="5"/>
      <c r="H392" s="16"/>
    </row>
    <row r="393" spans="2:8">
      <c r="B393" s="5"/>
      <c r="H393" s="16"/>
    </row>
    <row r="394" spans="2:8">
      <c r="B394" s="5"/>
      <c r="H394" s="16"/>
    </row>
    <row r="395" spans="2:8">
      <c r="B395" s="5"/>
      <c r="H395" s="16"/>
    </row>
    <row r="396" spans="2:8">
      <c r="B396" s="5"/>
      <c r="H396" s="16"/>
    </row>
    <row r="397" spans="2:8">
      <c r="B397" s="5"/>
      <c r="H397" s="16"/>
    </row>
    <row r="398" spans="2:8">
      <c r="B398" s="5"/>
      <c r="H398" s="16"/>
    </row>
    <row r="399" spans="2:8">
      <c r="B399" s="5"/>
      <c r="H399" s="16"/>
    </row>
    <row r="400" spans="2:8">
      <c r="B400" s="5"/>
      <c r="H400" s="16"/>
    </row>
    <row r="401" spans="2:8">
      <c r="B401" s="5"/>
      <c r="H401" s="16"/>
    </row>
    <row r="402" spans="2:8">
      <c r="B402" s="5"/>
      <c r="H402" s="16"/>
    </row>
    <row r="403" spans="2:8">
      <c r="B403" s="5"/>
      <c r="H403" s="16"/>
    </row>
    <row r="404" spans="2:8">
      <c r="B404" s="5"/>
      <c r="H404" s="16"/>
    </row>
    <row r="405" spans="2:8">
      <c r="B405" s="5"/>
      <c r="H405" s="16"/>
    </row>
    <row r="406" spans="2:8">
      <c r="B406" s="5"/>
      <c r="H406" s="16"/>
    </row>
    <row r="407" spans="2:8">
      <c r="B407" s="5"/>
      <c r="H407" s="16"/>
    </row>
    <row r="408" spans="2:8">
      <c r="B408" s="5"/>
      <c r="H408" s="16"/>
    </row>
    <row r="409" spans="2:8">
      <c r="B409" s="5"/>
      <c r="H409" s="16"/>
    </row>
    <row r="410" spans="2:8">
      <c r="B410" s="5"/>
      <c r="H410" s="16"/>
    </row>
    <row r="411" spans="2:8">
      <c r="B411" s="5"/>
      <c r="H411" s="16"/>
    </row>
    <row r="412" spans="2:8">
      <c r="B412" s="5"/>
      <c r="H412" s="16"/>
    </row>
    <row r="413" spans="2:8">
      <c r="B413" s="5"/>
      <c r="H413" s="16"/>
    </row>
    <row r="414" spans="2:8">
      <c r="B414" s="5"/>
      <c r="H414" s="16"/>
    </row>
    <row r="415" spans="2:8">
      <c r="B415" s="5"/>
      <c r="H415" s="16"/>
    </row>
    <row r="416" spans="2:8">
      <c r="B416" s="5"/>
      <c r="H416" s="16"/>
    </row>
    <row r="417" spans="2:8">
      <c r="B417" s="5"/>
      <c r="H417" s="16"/>
    </row>
    <row r="418" spans="2:8">
      <c r="B418" s="5"/>
      <c r="H418" s="16"/>
    </row>
    <row r="419" spans="2:8">
      <c r="B419" s="5"/>
      <c r="H419" s="16"/>
    </row>
    <row r="420" spans="2:8">
      <c r="B420" s="5"/>
      <c r="H420" s="16"/>
    </row>
    <row r="421" spans="2:8">
      <c r="B421" s="5"/>
      <c r="H421" s="16"/>
    </row>
    <row r="422" spans="2:8">
      <c r="B422" s="5"/>
      <c r="H422" s="16"/>
    </row>
    <row r="423" spans="2:8">
      <c r="B423" s="5"/>
      <c r="H423" s="16"/>
    </row>
    <row r="424" spans="2:8">
      <c r="B424" s="5"/>
      <c r="H424" s="16"/>
    </row>
    <row r="425" spans="2:8">
      <c r="B425" s="5"/>
      <c r="H425" s="16"/>
    </row>
    <row r="426" spans="2:8">
      <c r="B426" s="5"/>
      <c r="H426" s="16"/>
    </row>
    <row r="427" spans="2:8">
      <c r="B427" s="5"/>
      <c r="H427" s="16"/>
    </row>
    <row r="428" spans="2:8">
      <c r="B428" s="5"/>
      <c r="H428" s="16"/>
    </row>
    <row r="429" spans="2:8">
      <c r="B429" s="5"/>
      <c r="H429" s="16"/>
    </row>
    <row r="430" spans="2:8">
      <c r="B430" s="5"/>
      <c r="H430" s="16"/>
    </row>
    <row r="431" spans="2:8">
      <c r="B431" s="5"/>
      <c r="H431" s="16"/>
    </row>
    <row r="432" spans="2:8">
      <c r="B432" s="5"/>
      <c r="H432" s="16"/>
    </row>
    <row r="433" spans="2:8">
      <c r="B433" s="5"/>
      <c r="H433" s="16"/>
    </row>
    <row r="434" spans="2:8">
      <c r="B434" s="5"/>
      <c r="H434" s="16"/>
    </row>
    <row r="435" spans="2:8">
      <c r="B435" s="5"/>
      <c r="H435" s="16"/>
    </row>
    <row r="436" spans="2:8">
      <c r="B436" s="5"/>
      <c r="H436" s="16"/>
    </row>
    <row r="437" spans="2:8">
      <c r="B437" s="5"/>
      <c r="H437" s="16"/>
    </row>
    <row r="438" spans="2:8">
      <c r="B438" s="5"/>
      <c r="H438" s="16"/>
    </row>
    <row r="439" spans="2:8">
      <c r="B439" s="5"/>
      <c r="H439" s="16"/>
    </row>
    <row r="440" spans="2:8">
      <c r="B440" s="5"/>
      <c r="H440" s="16"/>
    </row>
    <row r="441" spans="2:8">
      <c r="B441" s="5"/>
      <c r="H441" s="16"/>
    </row>
    <row r="442" spans="2:8">
      <c r="B442" s="5"/>
      <c r="H442" s="16"/>
    </row>
    <row r="443" spans="2:8">
      <c r="B443" s="5"/>
      <c r="H443" s="16"/>
    </row>
    <row r="444" spans="2:8">
      <c r="B444" s="5"/>
      <c r="H444" s="16"/>
    </row>
    <row r="445" spans="2:8">
      <c r="B445" s="5"/>
      <c r="H445" s="16"/>
    </row>
    <row r="446" spans="2:8">
      <c r="B446" s="5"/>
      <c r="H446" s="16"/>
    </row>
    <row r="447" spans="2:8">
      <c r="B447" s="5"/>
      <c r="H447" s="16"/>
    </row>
    <row r="448" spans="2:8">
      <c r="B448" s="5"/>
      <c r="H448" s="16"/>
    </row>
    <row r="449" spans="2:8">
      <c r="B449" s="5"/>
      <c r="H449" s="16"/>
    </row>
    <row r="450" spans="2:8">
      <c r="B450" s="5"/>
      <c r="H450" s="16"/>
    </row>
    <row r="451" spans="2:8">
      <c r="B451" s="5"/>
      <c r="H451" s="16"/>
    </row>
    <row r="452" spans="2:8">
      <c r="B452" s="5"/>
      <c r="H452" s="16"/>
    </row>
    <row r="453" spans="2:8">
      <c r="B453" s="5"/>
      <c r="H453" s="16"/>
    </row>
    <row r="454" spans="2:8">
      <c r="B454" s="5"/>
      <c r="H454" s="16"/>
    </row>
    <row r="455" spans="2:8">
      <c r="B455" s="5"/>
      <c r="H455" s="16"/>
    </row>
    <row r="456" spans="2:8">
      <c r="B456" s="5"/>
      <c r="H456" s="16"/>
    </row>
    <row r="457" spans="2:8">
      <c r="B457" s="5"/>
      <c r="H457" s="16"/>
    </row>
    <row r="458" spans="2:8">
      <c r="B458" s="5"/>
      <c r="H458" s="16"/>
    </row>
    <row r="459" spans="2:8">
      <c r="B459" s="5"/>
      <c r="H459" s="16"/>
    </row>
    <row r="460" spans="2:8">
      <c r="B460" s="5"/>
      <c r="H460" s="16"/>
    </row>
    <row r="461" spans="2:8">
      <c r="B461" s="5"/>
      <c r="H461" s="16"/>
    </row>
    <row r="462" spans="2:8">
      <c r="B462" s="5"/>
      <c r="H462" s="16"/>
    </row>
    <row r="463" spans="2:8">
      <c r="B463" s="5"/>
      <c r="H463" s="16"/>
    </row>
    <row r="464" spans="2:8">
      <c r="B464" s="5"/>
      <c r="H464" s="16"/>
    </row>
    <row r="465" spans="2:8">
      <c r="B465" s="5"/>
      <c r="H465" s="16"/>
    </row>
    <row r="466" spans="2:8">
      <c r="B466" s="5"/>
      <c r="H466" s="16"/>
    </row>
    <row r="467" spans="2:8">
      <c r="B467" s="5"/>
      <c r="H467" s="16"/>
    </row>
    <row r="468" spans="2:8">
      <c r="B468" s="5"/>
      <c r="H468" s="16"/>
    </row>
    <row r="469" spans="2:8">
      <c r="B469" s="5"/>
      <c r="H469" s="16"/>
    </row>
    <row r="470" spans="2:8">
      <c r="B470" s="5"/>
      <c r="H470" s="16"/>
    </row>
    <row r="471" spans="2:8">
      <c r="B471" s="5"/>
      <c r="H471" s="16"/>
    </row>
    <row r="472" spans="2:8">
      <c r="B472" s="5"/>
      <c r="H472" s="16"/>
    </row>
    <row r="473" spans="2:8">
      <c r="B473" s="5"/>
      <c r="H473" s="16"/>
    </row>
    <row r="474" spans="2:8">
      <c r="B474" s="5"/>
      <c r="H474" s="16"/>
    </row>
    <row r="475" spans="2:8">
      <c r="B475" s="5"/>
      <c r="H475" s="16"/>
    </row>
    <row r="476" spans="2:8">
      <c r="B476" s="5"/>
      <c r="H476" s="16"/>
    </row>
    <row r="477" spans="2:8">
      <c r="B477" s="5"/>
      <c r="H477" s="16"/>
    </row>
    <row r="478" spans="2:8">
      <c r="B478" s="5"/>
      <c r="H478" s="16"/>
    </row>
    <row r="479" spans="2:8">
      <c r="B479" s="5"/>
      <c r="H479" s="16"/>
    </row>
    <row r="480" spans="2:8">
      <c r="B480" s="5"/>
      <c r="H480" s="16"/>
    </row>
    <row r="481" spans="2:8">
      <c r="B481" s="5"/>
      <c r="H481" s="16"/>
    </row>
    <row r="482" spans="2:8">
      <c r="B482" s="5"/>
      <c r="H482" s="16"/>
    </row>
    <row r="483" spans="2:8">
      <c r="B483" s="5"/>
      <c r="H483" s="16"/>
    </row>
    <row r="484" spans="2:8">
      <c r="B484" s="5"/>
      <c r="H484" s="16"/>
    </row>
    <row r="485" spans="2:8">
      <c r="B485" s="5"/>
      <c r="H485" s="16"/>
    </row>
    <row r="486" spans="2:8">
      <c r="B486" s="5"/>
      <c r="H486" s="16"/>
    </row>
    <row r="487" spans="2:8">
      <c r="B487" s="5"/>
      <c r="H487" s="16"/>
    </row>
    <row r="488" spans="2:8">
      <c r="B488" s="5"/>
      <c r="H488" s="16"/>
    </row>
    <row r="489" spans="2:8">
      <c r="B489" s="5"/>
      <c r="H489" s="16"/>
    </row>
    <row r="490" spans="2:8">
      <c r="B490" s="5"/>
      <c r="H490" s="16"/>
    </row>
    <row r="491" spans="2:8">
      <c r="B491" s="5"/>
      <c r="H491" s="16"/>
    </row>
    <row r="492" spans="2:8">
      <c r="B492" s="5"/>
      <c r="H492" s="16"/>
    </row>
    <row r="493" spans="2:8">
      <c r="B493" s="5"/>
      <c r="H493" s="16"/>
    </row>
    <row r="494" spans="2:8">
      <c r="B494" s="5"/>
      <c r="H494" s="16"/>
    </row>
    <row r="495" spans="2:8">
      <c r="B495" s="5"/>
      <c r="H495" s="16"/>
    </row>
    <row r="496" spans="2:8">
      <c r="B496" s="5"/>
      <c r="H496" s="16"/>
    </row>
    <row r="497" spans="2:8">
      <c r="B497" s="5"/>
      <c r="H497" s="16"/>
    </row>
    <row r="498" spans="2:8">
      <c r="B498" s="5"/>
      <c r="H498" s="16"/>
    </row>
    <row r="499" spans="2:8">
      <c r="B499" s="5"/>
      <c r="H499" s="16"/>
    </row>
    <row r="500" spans="2:8">
      <c r="B500" s="5"/>
      <c r="H500" s="16"/>
    </row>
    <row r="501" spans="2:8">
      <c r="B501" s="5"/>
      <c r="H501" s="16"/>
    </row>
    <row r="502" spans="2:8">
      <c r="B502" s="5"/>
      <c r="H502" s="16"/>
    </row>
    <row r="503" spans="2:8">
      <c r="B503" s="5"/>
      <c r="H503" s="16"/>
    </row>
    <row r="504" spans="2:8">
      <c r="B504" s="5"/>
      <c r="H504" s="16"/>
    </row>
    <row r="505" spans="2:8">
      <c r="B505" s="5"/>
      <c r="H505" s="16"/>
    </row>
    <row r="506" spans="2:8">
      <c r="B506" s="5"/>
      <c r="H506" s="16"/>
    </row>
    <row r="507" spans="2:8">
      <c r="B507" s="5"/>
      <c r="H507" s="16"/>
    </row>
    <row r="508" spans="2:8">
      <c r="B508" s="5"/>
      <c r="H508" s="16"/>
    </row>
    <row r="509" spans="2:8">
      <c r="B509" s="5"/>
      <c r="H509" s="16"/>
    </row>
    <row r="510" spans="2:8">
      <c r="B510" s="5"/>
      <c r="H510" s="16"/>
    </row>
    <row r="511" spans="2:8">
      <c r="B511" s="5"/>
      <c r="H511" s="16"/>
    </row>
    <row r="512" spans="2:8">
      <c r="B512" s="5"/>
      <c r="H512" s="16"/>
    </row>
    <row r="513" spans="2:8">
      <c r="B513" s="5"/>
      <c r="H513" s="16"/>
    </row>
    <row r="514" spans="2:8">
      <c r="B514" s="5"/>
      <c r="H514" s="16"/>
    </row>
    <row r="515" spans="2:8">
      <c r="B515" s="5"/>
      <c r="H515" s="16"/>
    </row>
    <row r="516" spans="2:8">
      <c r="B516" s="5"/>
      <c r="H516" s="16"/>
    </row>
    <row r="517" spans="2:8">
      <c r="B517" s="5"/>
      <c r="H517" s="16"/>
    </row>
    <row r="518" spans="2:8">
      <c r="B518" s="5"/>
      <c r="H518" s="16"/>
    </row>
    <row r="519" spans="2:8">
      <c r="B519" s="5"/>
      <c r="H519" s="16"/>
    </row>
    <row r="520" spans="2:8">
      <c r="B520" s="5"/>
      <c r="H520" s="16"/>
    </row>
    <row r="521" spans="2:8">
      <c r="B521" s="5"/>
      <c r="H521" s="16"/>
    </row>
    <row r="522" spans="2:8">
      <c r="B522" s="5"/>
      <c r="H522" s="16"/>
    </row>
    <row r="523" spans="2:8">
      <c r="B523" s="5"/>
      <c r="H523" s="16"/>
    </row>
    <row r="524" spans="2:8">
      <c r="B524" s="5"/>
      <c r="H524" s="16"/>
    </row>
    <row r="525" spans="2:8">
      <c r="B525" s="5"/>
      <c r="H525" s="16"/>
    </row>
    <row r="526" spans="2:8">
      <c r="B526" s="5"/>
      <c r="H526" s="16"/>
    </row>
    <row r="527" spans="2:8">
      <c r="B527" s="5"/>
      <c r="H527" s="16"/>
    </row>
    <row r="528" spans="2:8">
      <c r="B528" s="5"/>
      <c r="H528" s="16"/>
    </row>
    <row r="529" spans="2:8">
      <c r="B529" s="5"/>
      <c r="H529" s="16"/>
    </row>
    <row r="530" spans="2:8">
      <c r="B530" s="5"/>
      <c r="H530" s="16"/>
    </row>
    <row r="531" spans="2:8">
      <c r="B531" s="5"/>
      <c r="H531" s="16"/>
    </row>
    <row r="532" spans="2:8">
      <c r="B532" s="5"/>
      <c r="H532" s="16"/>
    </row>
    <row r="533" spans="2:8">
      <c r="B533" s="5"/>
      <c r="H533" s="16"/>
    </row>
    <row r="534" spans="2:8">
      <c r="B534" s="5"/>
      <c r="H534" s="16"/>
    </row>
    <row r="535" spans="2:8">
      <c r="B535" s="5"/>
      <c r="H535" s="16"/>
    </row>
    <row r="536" spans="2:8">
      <c r="B536" s="5"/>
      <c r="H536" s="16"/>
    </row>
    <row r="537" spans="2:8">
      <c r="B537" s="5"/>
      <c r="H537" s="16"/>
    </row>
    <row r="538" spans="2:8">
      <c r="B538" s="5"/>
      <c r="H538" s="16"/>
    </row>
    <row r="539" spans="2:8">
      <c r="B539" s="5"/>
      <c r="H539" s="16"/>
    </row>
    <row r="540" spans="2:8">
      <c r="B540" s="5"/>
      <c r="H540" s="16"/>
    </row>
    <row r="541" spans="2:8">
      <c r="B541" s="5"/>
      <c r="H541" s="16"/>
    </row>
    <row r="542" spans="2:8">
      <c r="B542" s="5"/>
      <c r="H542" s="16"/>
    </row>
    <row r="543" spans="2:8">
      <c r="B543" s="5"/>
      <c r="H543" s="16"/>
    </row>
    <row r="544" spans="2:8">
      <c r="B544" s="5"/>
      <c r="H544" s="16"/>
    </row>
    <row r="545" spans="2:8">
      <c r="B545" s="5"/>
      <c r="H545" s="16"/>
    </row>
    <row r="546" spans="2:8">
      <c r="B546" s="5"/>
      <c r="H546" s="16"/>
    </row>
    <row r="547" spans="2:8">
      <c r="B547" s="5"/>
      <c r="H547" s="16"/>
    </row>
    <row r="548" spans="2:8">
      <c r="B548" s="5"/>
      <c r="H548" s="16"/>
    </row>
    <row r="549" spans="2:8">
      <c r="B549" s="5"/>
      <c r="H549" s="16"/>
    </row>
    <row r="550" spans="2:8">
      <c r="B550" s="5"/>
      <c r="H550" s="16"/>
    </row>
    <row r="551" spans="2:8">
      <c r="B551" s="5"/>
      <c r="H551" s="16"/>
    </row>
    <row r="552" spans="2:8">
      <c r="B552" s="5"/>
      <c r="H552" s="16"/>
    </row>
    <row r="553" spans="2:8">
      <c r="B553" s="5"/>
      <c r="H553" s="16"/>
    </row>
    <row r="554" spans="2:8">
      <c r="B554" s="5"/>
      <c r="H554" s="16"/>
    </row>
    <row r="555" spans="2:8">
      <c r="B555" s="5"/>
      <c r="H555" s="16"/>
    </row>
    <row r="556" spans="2:8">
      <c r="B556" s="5"/>
      <c r="H556" s="16"/>
    </row>
    <row r="557" spans="2:8">
      <c r="B557" s="5"/>
      <c r="H557" s="16"/>
    </row>
    <row r="558" spans="2:8">
      <c r="B558" s="5"/>
      <c r="H558" s="16"/>
    </row>
    <row r="559" spans="2:8">
      <c r="B559" s="5"/>
      <c r="H559" s="16"/>
    </row>
    <row r="560" spans="2:8">
      <c r="B560" s="5"/>
      <c r="H560" s="16"/>
    </row>
    <row r="561" spans="2:8">
      <c r="B561" s="5"/>
      <c r="H561" s="16"/>
    </row>
    <row r="562" spans="2:8">
      <c r="B562" s="5"/>
      <c r="H562" s="16"/>
    </row>
    <row r="563" spans="2:8">
      <c r="B563" s="5"/>
      <c r="H563" s="16"/>
    </row>
    <row r="564" spans="2:8">
      <c r="B564" s="5"/>
      <c r="H564" s="16"/>
    </row>
    <row r="565" spans="2:8">
      <c r="B565" s="5"/>
      <c r="H565" s="16"/>
    </row>
    <row r="566" spans="2:8">
      <c r="B566" s="5"/>
      <c r="H566" s="16"/>
    </row>
    <row r="567" spans="2:8">
      <c r="B567" s="5"/>
      <c r="H567" s="16"/>
    </row>
    <row r="568" spans="2:8">
      <c r="B568" s="5"/>
      <c r="H568" s="16"/>
    </row>
    <row r="569" spans="2:8">
      <c r="B569" s="5"/>
      <c r="H569" s="16"/>
    </row>
    <row r="570" spans="2:8">
      <c r="B570" s="5"/>
      <c r="H570" s="16"/>
    </row>
    <row r="571" spans="2:8">
      <c r="B571" s="5"/>
      <c r="H571" s="16"/>
    </row>
    <row r="572" spans="2:8">
      <c r="B572" s="5"/>
      <c r="H572" s="16"/>
    </row>
    <row r="573" spans="2:8">
      <c r="B573" s="5"/>
      <c r="H573" s="16"/>
    </row>
    <row r="574" spans="2:8">
      <c r="B574" s="5"/>
      <c r="H574" s="16"/>
    </row>
    <row r="575" spans="2:8">
      <c r="B575" s="5"/>
      <c r="H575" s="16"/>
    </row>
    <row r="576" spans="2:8">
      <c r="B576" s="5"/>
      <c r="H576" s="16"/>
    </row>
    <row r="577" spans="2:8">
      <c r="B577" s="5"/>
      <c r="H577" s="16"/>
    </row>
    <row r="578" spans="2:8">
      <c r="B578" s="5"/>
      <c r="H578" s="16"/>
    </row>
    <row r="579" spans="2:8">
      <c r="B579" s="5"/>
      <c r="H579" s="16"/>
    </row>
    <row r="580" spans="2:8">
      <c r="B580" s="5"/>
      <c r="H580" s="16"/>
    </row>
    <row r="581" spans="2:8">
      <c r="B581" s="5"/>
      <c r="H581" s="16"/>
    </row>
    <row r="582" spans="2:8">
      <c r="B582" s="5"/>
      <c r="H582" s="16"/>
    </row>
    <row r="583" spans="2:8">
      <c r="B583" s="5"/>
      <c r="H583" s="16"/>
    </row>
    <row r="584" spans="2:8">
      <c r="B584" s="5"/>
      <c r="H584" s="16"/>
    </row>
    <row r="585" spans="2:8">
      <c r="B585" s="5"/>
      <c r="H585" s="16"/>
    </row>
    <row r="586" spans="2:8">
      <c r="B586" s="5"/>
      <c r="H586" s="16"/>
    </row>
    <row r="587" spans="2:8">
      <c r="B587" s="5"/>
      <c r="H587" s="16"/>
    </row>
    <row r="588" spans="2:8">
      <c r="B588" s="5"/>
      <c r="H588" s="16"/>
    </row>
    <row r="589" spans="2:8">
      <c r="B589" s="5"/>
      <c r="H589" s="16"/>
    </row>
    <row r="590" spans="2:8">
      <c r="B590" s="5"/>
      <c r="H590" s="16"/>
    </row>
    <row r="591" spans="2:8">
      <c r="B591" s="5"/>
      <c r="H591" s="16"/>
    </row>
    <row r="592" spans="2:8">
      <c r="B592" s="5"/>
      <c r="H592" s="16"/>
    </row>
    <row r="593" spans="2:8">
      <c r="B593" s="5"/>
      <c r="H593" s="16"/>
    </row>
    <row r="594" spans="2:8">
      <c r="B594" s="5"/>
      <c r="H594" s="16"/>
    </row>
    <row r="595" spans="2:8">
      <c r="B595" s="5"/>
      <c r="H595" s="16"/>
    </row>
    <row r="596" spans="2:8">
      <c r="B596" s="5"/>
      <c r="H596" s="16"/>
    </row>
    <row r="597" spans="2:8">
      <c r="B597" s="5"/>
      <c r="H597" s="16"/>
    </row>
    <row r="598" spans="2:8">
      <c r="B598" s="5"/>
      <c r="H598" s="16"/>
    </row>
    <row r="599" spans="2:8">
      <c r="B599" s="5"/>
      <c r="H599" s="16"/>
    </row>
    <row r="600" spans="2:8">
      <c r="B600" s="5"/>
      <c r="H600" s="16"/>
    </row>
    <row r="601" spans="2:8">
      <c r="B601" s="5"/>
      <c r="H601" s="16"/>
    </row>
    <row r="602" spans="2:8">
      <c r="B602" s="5"/>
      <c r="H602" s="16"/>
    </row>
    <row r="603" spans="2:8">
      <c r="B603" s="5"/>
      <c r="H603" s="16"/>
    </row>
    <row r="604" spans="2:8">
      <c r="B604" s="5"/>
      <c r="H604" s="16"/>
    </row>
    <row r="605" spans="2:8">
      <c r="B605" s="5"/>
      <c r="H605" s="16"/>
    </row>
    <row r="606" spans="2:8">
      <c r="B606" s="5"/>
      <c r="H606" s="16"/>
    </row>
    <row r="607" spans="2:8">
      <c r="B607" s="5"/>
      <c r="H607" s="16"/>
    </row>
    <row r="608" spans="2:8">
      <c r="B608" s="5"/>
      <c r="H608" s="16"/>
    </row>
    <row r="609" spans="2:8">
      <c r="B609" s="5"/>
      <c r="H609" s="16"/>
    </row>
    <row r="610" spans="2:8">
      <c r="B610" s="5"/>
      <c r="H610" s="16"/>
    </row>
    <row r="611" spans="2:8">
      <c r="B611" s="5"/>
      <c r="H611" s="16"/>
    </row>
    <row r="612" spans="2:8">
      <c r="B612" s="5"/>
      <c r="H612" s="16"/>
    </row>
    <row r="613" spans="2:8">
      <c r="B613" s="5"/>
      <c r="H613" s="16"/>
    </row>
    <row r="614" spans="2:8">
      <c r="B614" s="5"/>
      <c r="H614" s="16"/>
    </row>
    <row r="615" spans="2:8">
      <c r="B615" s="5"/>
      <c r="H615" s="16"/>
    </row>
    <row r="616" spans="2:8">
      <c r="B616" s="5"/>
      <c r="H616" s="16"/>
    </row>
    <row r="617" spans="2:8">
      <c r="B617" s="5"/>
      <c r="H617" s="16"/>
    </row>
    <row r="618" spans="2:8">
      <c r="B618" s="5"/>
      <c r="H618" s="16"/>
    </row>
    <row r="619" spans="2:8">
      <c r="B619" s="5"/>
      <c r="H619" s="16"/>
    </row>
    <row r="620" spans="2:8">
      <c r="B620" s="5"/>
      <c r="H620" s="16"/>
    </row>
    <row r="621" spans="2:8">
      <c r="B621" s="5"/>
      <c r="H621" s="16"/>
    </row>
    <row r="622" spans="2:8">
      <c r="B622" s="5"/>
      <c r="H622" s="16"/>
    </row>
    <row r="623" spans="2:8">
      <c r="B623" s="5"/>
      <c r="H623" s="16"/>
    </row>
    <row r="624" spans="2:8">
      <c r="B624" s="5"/>
      <c r="H624" s="16"/>
    </row>
    <row r="625" spans="2:8">
      <c r="B625" s="5"/>
      <c r="H625" s="16"/>
    </row>
    <row r="626" spans="2:8">
      <c r="B626" s="5"/>
      <c r="H626" s="16"/>
    </row>
    <row r="627" spans="2:8">
      <c r="B627" s="5"/>
      <c r="H627" s="16"/>
    </row>
    <row r="628" spans="2:8">
      <c r="B628" s="5"/>
      <c r="H628" s="16"/>
    </row>
    <row r="629" spans="2:8">
      <c r="B629" s="5"/>
      <c r="H629" s="16"/>
    </row>
    <row r="630" spans="2:8">
      <c r="B630" s="5"/>
      <c r="H630" s="16"/>
    </row>
    <row r="631" spans="2:8">
      <c r="B631" s="5"/>
      <c r="H631" s="16"/>
    </row>
    <row r="632" spans="2:8">
      <c r="B632" s="5"/>
      <c r="H632" s="16"/>
    </row>
    <row r="633" spans="2:8">
      <c r="B633" s="5"/>
      <c r="H633" s="16"/>
    </row>
    <row r="634" spans="2:8">
      <c r="B634" s="5"/>
      <c r="H634" s="16"/>
    </row>
    <row r="635" spans="2:8">
      <c r="B635" s="5"/>
      <c r="H635" s="16"/>
    </row>
    <row r="636" spans="2:8">
      <c r="B636" s="5"/>
      <c r="H636" s="16"/>
    </row>
    <row r="637" spans="2:8">
      <c r="B637" s="5"/>
      <c r="H637" s="16"/>
    </row>
    <row r="638" spans="2:8">
      <c r="B638" s="5"/>
      <c r="H638" s="16"/>
    </row>
    <row r="639" spans="2:8">
      <c r="B639" s="5"/>
      <c r="H639" s="16"/>
    </row>
    <row r="640" spans="2:8">
      <c r="B640" s="5"/>
      <c r="H640" s="16"/>
    </row>
    <row r="641" spans="2:8">
      <c r="B641" s="5"/>
      <c r="H641" s="16"/>
    </row>
    <row r="642" spans="2:8">
      <c r="B642" s="5"/>
      <c r="H642" s="16"/>
    </row>
    <row r="643" spans="2:8">
      <c r="B643" s="5"/>
      <c r="H643" s="16"/>
    </row>
    <row r="644" spans="2:8">
      <c r="B644" s="5"/>
      <c r="H644" s="16"/>
    </row>
    <row r="645" spans="2:8">
      <c r="B645" s="5"/>
      <c r="H645" s="16"/>
    </row>
    <row r="646" spans="2:8">
      <c r="B646" s="5"/>
      <c r="H646" s="16"/>
    </row>
    <row r="647" spans="2:8">
      <c r="B647" s="5"/>
      <c r="H647" s="16"/>
    </row>
    <row r="648" spans="2:8">
      <c r="B648" s="5"/>
      <c r="H648" s="16"/>
    </row>
    <row r="649" spans="2:8">
      <c r="B649" s="5"/>
      <c r="H649" s="16"/>
    </row>
    <row r="650" spans="2:8">
      <c r="B650" s="5"/>
      <c r="H650" s="16"/>
    </row>
    <row r="651" spans="2:8">
      <c r="B651" s="5"/>
      <c r="H651" s="16"/>
    </row>
    <row r="652" spans="2:8">
      <c r="B652" s="5"/>
      <c r="H652" s="16"/>
    </row>
    <row r="653" spans="2:8">
      <c r="B653" s="5"/>
      <c r="H653" s="16"/>
    </row>
    <row r="654" spans="2:8">
      <c r="B654" s="5"/>
      <c r="H654" s="16"/>
    </row>
    <row r="655" spans="2:8">
      <c r="B655" s="5"/>
      <c r="H655" s="16"/>
    </row>
    <row r="656" spans="2:8">
      <c r="B656" s="5"/>
      <c r="H656" s="16"/>
    </row>
    <row r="657" spans="2:8">
      <c r="B657" s="5"/>
      <c r="H657" s="16"/>
    </row>
    <row r="658" spans="2:8">
      <c r="B658" s="5"/>
      <c r="H658" s="16"/>
    </row>
    <row r="659" spans="2:8">
      <c r="B659" s="5"/>
      <c r="H659" s="16"/>
    </row>
    <row r="660" spans="2:8">
      <c r="B660" s="5"/>
      <c r="H660" s="16"/>
    </row>
    <row r="661" spans="2:8">
      <c r="B661" s="5"/>
      <c r="H661" s="16"/>
    </row>
    <row r="662" spans="2:8">
      <c r="B662" s="5"/>
      <c r="H662" s="16"/>
    </row>
    <row r="663" spans="2:8">
      <c r="B663" s="5"/>
      <c r="H663" s="16"/>
    </row>
    <row r="664" spans="2:8">
      <c r="B664" s="5"/>
      <c r="H664" s="16"/>
    </row>
    <row r="665" spans="2:8">
      <c r="B665" s="5"/>
      <c r="H665" s="16"/>
    </row>
    <row r="666" spans="2:8">
      <c r="B666" s="5"/>
      <c r="H666" s="16"/>
    </row>
    <row r="667" spans="2:8">
      <c r="B667" s="5"/>
      <c r="H667" s="16"/>
    </row>
    <row r="668" spans="2:8">
      <c r="B668" s="5"/>
      <c r="H668" s="16"/>
    </row>
    <row r="669" spans="2:8">
      <c r="B669" s="5"/>
      <c r="H669" s="16"/>
    </row>
    <row r="670" spans="2:8">
      <c r="B670" s="5"/>
      <c r="H670" s="16"/>
    </row>
    <row r="671" spans="2:8">
      <c r="B671" s="5"/>
      <c r="H671" s="16"/>
    </row>
    <row r="672" spans="2:8">
      <c r="B672" s="5"/>
      <c r="H672" s="16"/>
    </row>
    <row r="673" spans="2:8">
      <c r="B673" s="5"/>
      <c r="H673" s="16"/>
    </row>
    <row r="674" spans="2:8">
      <c r="B674" s="5"/>
      <c r="H674" s="16"/>
    </row>
    <row r="675" spans="2:8">
      <c r="B675" s="5"/>
      <c r="H675" s="16"/>
    </row>
    <row r="676" spans="2:8">
      <c r="B676" s="5"/>
      <c r="H676" s="16"/>
    </row>
    <row r="677" spans="2:8">
      <c r="B677" s="5"/>
      <c r="H677" s="16"/>
    </row>
    <row r="678" spans="2:8">
      <c r="B678" s="5"/>
      <c r="H678" s="16"/>
    </row>
    <row r="679" spans="2:8">
      <c r="B679" s="5"/>
      <c r="H679" s="16"/>
    </row>
    <row r="680" spans="2:8">
      <c r="B680" s="5"/>
      <c r="H680" s="16"/>
    </row>
    <row r="681" spans="2:8">
      <c r="B681" s="5"/>
      <c r="H681" s="16"/>
    </row>
    <row r="682" spans="2:8">
      <c r="B682" s="5"/>
      <c r="H682" s="16"/>
    </row>
    <row r="683" spans="2:8">
      <c r="B683" s="5"/>
      <c r="H683" s="16"/>
    </row>
    <row r="684" spans="2:8">
      <c r="B684" s="5"/>
      <c r="H684" s="16"/>
    </row>
    <row r="685" spans="2:8">
      <c r="B685" s="5"/>
      <c r="H685" s="16"/>
    </row>
    <row r="686" spans="2:8">
      <c r="B686" s="5"/>
      <c r="H686" s="16"/>
    </row>
    <row r="687" spans="2:8">
      <c r="B687" s="5"/>
      <c r="H687" s="16"/>
    </row>
    <row r="688" spans="2:8">
      <c r="B688" s="5"/>
      <c r="H688" s="16"/>
    </row>
    <row r="689" spans="2:8">
      <c r="B689" s="5"/>
      <c r="H689" s="16"/>
    </row>
    <row r="690" spans="2:8">
      <c r="B690" s="5"/>
      <c r="H690" s="16"/>
    </row>
    <row r="691" spans="2:8">
      <c r="B691" s="5"/>
      <c r="H691" s="16"/>
    </row>
    <row r="692" spans="2:8">
      <c r="B692" s="5"/>
      <c r="H692" s="16"/>
    </row>
    <row r="693" spans="2:8">
      <c r="B693" s="5"/>
      <c r="H693" s="16"/>
    </row>
    <row r="694" spans="2:8">
      <c r="B694" s="5"/>
      <c r="H694" s="16"/>
    </row>
    <row r="695" spans="2:8">
      <c r="B695" s="5"/>
      <c r="H695" s="16"/>
    </row>
    <row r="696" spans="2:8">
      <c r="B696" s="5"/>
      <c r="H696" s="16"/>
    </row>
    <row r="697" spans="2:8">
      <c r="B697" s="5"/>
      <c r="H697" s="16"/>
    </row>
    <row r="698" spans="2:8">
      <c r="B698" s="5"/>
      <c r="H698" s="16"/>
    </row>
    <row r="699" spans="2:8">
      <c r="B699" s="5"/>
      <c r="H699" s="16"/>
    </row>
    <row r="700" spans="2:8">
      <c r="B700" s="5"/>
      <c r="H700" s="16"/>
    </row>
    <row r="701" spans="2:8">
      <c r="B701" s="5"/>
      <c r="H701" s="16"/>
    </row>
    <row r="702" spans="2:8">
      <c r="B702" s="5"/>
      <c r="H702" s="16"/>
    </row>
    <row r="703" spans="2:8">
      <c r="B703" s="5"/>
      <c r="H703" s="16"/>
    </row>
    <row r="704" spans="2:8">
      <c r="B704" s="5"/>
      <c r="H704" s="16"/>
    </row>
    <row r="705" spans="2:8">
      <c r="B705" s="5"/>
      <c r="H705" s="16"/>
    </row>
    <row r="706" spans="2:8">
      <c r="B706" s="5"/>
      <c r="H706" s="16"/>
    </row>
    <row r="707" spans="2:8">
      <c r="B707" s="5"/>
      <c r="H707" s="16"/>
    </row>
    <row r="708" spans="2:8">
      <c r="B708" s="5"/>
      <c r="H708" s="16"/>
    </row>
    <row r="709" spans="2:8">
      <c r="B709" s="5"/>
      <c r="H709" s="16"/>
    </row>
    <row r="710" spans="2:8">
      <c r="B710" s="5"/>
      <c r="H710" s="16"/>
    </row>
    <row r="711" spans="2:8">
      <c r="B711" s="5"/>
      <c r="H711" s="16"/>
    </row>
    <row r="712" spans="2:8">
      <c r="B712" s="5"/>
      <c r="H712" s="16"/>
    </row>
    <row r="713" spans="2:8">
      <c r="B713" s="5"/>
      <c r="H713" s="16"/>
    </row>
    <row r="714" spans="2:8">
      <c r="B714" s="5"/>
      <c r="H714" s="16"/>
    </row>
    <row r="715" spans="2:8">
      <c r="B715" s="5"/>
      <c r="H715" s="16"/>
    </row>
    <row r="716" spans="2:8">
      <c r="B716" s="5"/>
      <c r="H716" s="16"/>
    </row>
    <row r="717" spans="2:8">
      <c r="B717" s="5"/>
      <c r="H717" s="16"/>
    </row>
    <row r="718" spans="2:8">
      <c r="B718" s="5"/>
      <c r="H718" s="16"/>
    </row>
    <row r="719" spans="2:8">
      <c r="B719" s="5"/>
      <c r="H719" s="16"/>
    </row>
    <row r="720" spans="2:8">
      <c r="B720" s="5"/>
      <c r="H720" s="16"/>
    </row>
    <row r="721" spans="2:8">
      <c r="B721" s="5"/>
      <c r="H721" s="16"/>
    </row>
    <row r="722" spans="2:8">
      <c r="B722" s="5"/>
      <c r="H722" s="16"/>
    </row>
    <row r="723" spans="2:8">
      <c r="B723" s="5"/>
      <c r="H723" s="16"/>
    </row>
    <row r="724" spans="2:8">
      <c r="B724" s="5"/>
      <c r="H724" s="16"/>
    </row>
    <row r="725" spans="2:8">
      <c r="B725" s="5"/>
      <c r="H725" s="16"/>
    </row>
    <row r="726" spans="2:8">
      <c r="B726" s="5"/>
      <c r="H726" s="16"/>
    </row>
    <row r="727" spans="2:8">
      <c r="B727" s="5"/>
      <c r="H727" s="16"/>
    </row>
    <row r="728" spans="2:8">
      <c r="B728" s="5"/>
      <c r="H728" s="16"/>
    </row>
    <row r="729" spans="2:8">
      <c r="B729" s="5"/>
      <c r="H729" s="16"/>
    </row>
    <row r="730" spans="2:8">
      <c r="B730" s="5"/>
      <c r="H730" s="16"/>
    </row>
    <row r="731" spans="2:8">
      <c r="B731" s="5"/>
      <c r="H731" s="16"/>
    </row>
    <row r="732" spans="2:8">
      <c r="B732" s="5"/>
      <c r="H732" s="16"/>
    </row>
    <row r="733" spans="2:8">
      <c r="B733" s="5"/>
      <c r="H733" s="16"/>
    </row>
    <row r="734" spans="2:8">
      <c r="B734" s="5"/>
      <c r="H734" s="16"/>
    </row>
    <row r="735" spans="2:8">
      <c r="B735" s="5"/>
      <c r="H735" s="16"/>
    </row>
    <row r="736" spans="2:8">
      <c r="B736" s="5"/>
      <c r="H736" s="16"/>
    </row>
    <row r="737" spans="2:8">
      <c r="B737" s="5"/>
      <c r="H737" s="16"/>
    </row>
    <row r="738" spans="2:8">
      <c r="B738" s="5"/>
      <c r="H738" s="16"/>
    </row>
    <row r="739" spans="2:8">
      <c r="B739" s="5"/>
      <c r="H739" s="16"/>
    </row>
    <row r="740" spans="2:8">
      <c r="B740" s="5"/>
      <c r="H740" s="16"/>
    </row>
    <row r="741" spans="2:8">
      <c r="B741" s="5"/>
      <c r="H741" s="16"/>
    </row>
    <row r="742" spans="2:8">
      <c r="B742" s="5"/>
      <c r="H742" s="16"/>
    </row>
    <row r="743" spans="2:8">
      <c r="B743" s="5"/>
      <c r="H743" s="16"/>
    </row>
    <row r="744" spans="2:8">
      <c r="B744" s="5"/>
      <c r="H744" s="16"/>
    </row>
    <row r="745" spans="2:8">
      <c r="B745" s="5"/>
      <c r="H745" s="16"/>
    </row>
    <row r="746" spans="2:8">
      <c r="B746" s="5"/>
      <c r="H746" s="16"/>
    </row>
    <row r="747" spans="2:8">
      <c r="B747" s="5"/>
      <c r="H747" s="16"/>
    </row>
    <row r="748" spans="2:8">
      <c r="B748" s="5"/>
      <c r="H748" s="16"/>
    </row>
    <row r="749" spans="2:8">
      <c r="B749" s="5"/>
      <c r="H749" s="16"/>
    </row>
    <row r="750" spans="2:8">
      <c r="B750" s="5"/>
      <c r="H750" s="16"/>
    </row>
    <row r="751" spans="2:8">
      <c r="B751" s="5"/>
      <c r="H751" s="16"/>
    </row>
    <row r="752" spans="2:8">
      <c r="B752" s="5"/>
      <c r="H752" s="16"/>
    </row>
    <row r="753" spans="2:8">
      <c r="B753" s="5"/>
      <c r="H753" s="16"/>
    </row>
    <row r="754" spans="2:8">
      <c r="B754" s="5"/>
      <c r="H754" s="16"/>
    </row>
    <row r="755" spans="2:8">
      <c r="B755" s="5"/>
      <c r="H755" s="16"/>
    </row>
    <row r="756" spans="2:8">
      <c r="B756" s="5"/>
      <c r="H756" s="16"/>
    </row>
    <row r="757" spans="2:8">
      <c r="B757" s="5"/>
      <c r="H757" s="16"/>
    </row>
    <row r="758" spans="2:8">
      <c r="B758" s="5"/>
      <c r="H758" s="16"/>
    </row>
    <row r="759" spans="2:8">
      <c r="B759" s="5"/>
      <c r="H759" s="16"/>
    </row>
    <row r="760" spans="2:8">
      <c r="B760" s="5"/>
      <c r="H760" s="16"/>
    </row>
    <row r="761" spans="2:8">
      <c r="B761" s="5"/>
      <c r="H761" s="16"/>
    </row>
    <row r="762" spans="2:8">
      <c r="B762" s="5"/>
      <c r="H762" s="16"/>
    </row>
    <row r="763" spans="2:8">
      <c r="B763" s="5"/>
      <c r="H763" s="16"/>
    </row>
    <row r="764" spans="2:8">
      <c r="B764" s="5"/>
      <c r="H764" s="16"/>
    </row>
    <row r="765" spans="2:8">
      <c r="B765" s="5"/>
      <c r="H765" s="16"/>
    </row>
    <row r="766" spans="2:8">
      <c r="B766" s="5"/>
      <c r="H766" s="16"/>
    </row>
    <row r="767" spans="2:8">
      <c r="B767" s="5"/>
      <c r="H767" s="16"/>
    </row>
    <row r="768" spans="2:8">
      <c r="B768" s="5"/>
      <c r="H768" s="16"/>
    </row>
    <row r="769" spans="2:8">
      <c r="B769" s="5"/>
      <c r="H769" s="16"/>
    </row>
    <row r="770" spans="2:8">
      <c r="B770" s="5"/>
      <c r="H770" s="16"/>
    </row>
    <row r="771" spans="2:8">
      <c r="B771" s="5"/>
      <c r="H771" s="16"/>
    </row>
    <row r="772" spans="2:8">
      <c r="B772" s="5"/>
      <c r="H772" s="16"/>
    </row>
    <row r="773" spans="2:8">
      <c r="B773" s="5"/>
      <c r="H773" s="16"/>
    </row>
    <row r="774" spans="2:8">
      <c r="B774" s="5"/>
      <c r="H774" s="16"/>
    </row>
    <row r="775" spans="2:8">
      <c r="B775" s="5"/>
      <c r="H775" s="16"/>
    </row>
    <row r="776" spans="2:8">
      <c r="B776" s="5"/>
      <c r="H776" s="16"/>
    </row>
    <row r="777" spans="2:8">
      <c r="B777" s="5"/>
      <c r="H777" s="16"/>
    </row>
    <row r="778" spans="2:8">
      <c r="B778" s="5"/>
      <c r="H778" s="16"/>
    </row>
    <row r="779" spans="2:8">
      <c r="B779" s="5"/>
      <c r="H779" s="16"/>
    </row>
    <row r="780" spans="2:8">
      <c r="B780" s="5"/>
      <c r="H780" s="16"/>
    </row>
    <row r="781" spans="2:8">
      <c r="B781" s="5"/>
      <c r="H781" s="16"/>
    </row>
    <row r="782" spans="2:8">
      <c r="B782" s="5"/>
      <c r="H782" s="16"/>
    </row>
    <row r="783" spans="2:8">
      <c r="B783" s="5"/>
      <c r="H783" s="16"/>
    </row>
    <row r="784" spans="2:8">
      <c r="B784" s="5"/>
      <c r="H784" s="16"/>
    </row>
    <row r="785" spans="2:8">
      <c r="B785" s="5"/>
      <c r="H785" s="16"/>
    </row>
    <row r="786" spans="2:8">
      <c r="B786" s="5"/>
      <c r="H786" s="16"/>
    </row>
    <row r="787" spans="2:8">
      <c r="B787" s="5"/>
      <c r="H787" s="16"/>
    </row>
    <row r="788" spans="2:8">
      <c r="B788" s="5"/>
      <c r="H788" s="16"/>
    </row>
    <row r="789" spans="2:8">
      <c r="B789" s="5"/>
      <c r="H789" s="16"/>
    </row>
    <row r="790" spans="2:8">
      <c r="B790" s="5"/>
      <c r="H790" s="16"/>
    </row>
    <row r="791" spans="2:8">
      <c r="B791" s="5"/>
      <c r="H791" s="16"/>
    </row>
    <row r="792" spans="2:8">
      <c r="B792" s="5"/>
      <c r="H792" s="16"/>
    </row>
    <row r="793" spans="2:8">
      <c r="B793" s="5"/>
      <c r="H793" s="16"/>
    </row>
    <row r="794" spans="2:8">
      <c r="B794" s="5"/>
      <c r="H794" s="16"/>
    </row>
    <row r="795" spans="2:8">
      <c r="B795" s="5"/>
      <c r="H795" s="16"/>
    </row>
    <row r="796" spans="2:8">
      <c r="B796" s="5"/>
      <c r="H796" s="16"/>
    </row>
    <row r="797" spans="2:8">
      <c r="B797" s="5"/>
      <c r="H797" s="16"/>
    </row>
    <row r="798" spans="2:8">
      <c r="B798" s="5"/>
      <c r="H798" s="16"/>
    </row>
    <row r="799" spans="2:8">
      <c r="B799" s="5"/>
      <c r="H799" s="16"/>
    </row>
    <row r="800" spans="2:8">
      <c r="B800" s="5"/>
      <c r="H800" s="16"/>
    </row>
    <row r="801" spans="2:8">
      <c r="B801" s="5"/>
      <c r="H801" s="16"/>
    </row>
    <row r="802" spans="2:8">
      <c r="B802" s="5"/>
      <c r="H802" s="16"/>
    </row>
    <row r="803" spans="2:8">
      <c r="B803" s="5"/>
      <c r="H803" s="16"/>
    </row>
    <row r="804" spans="2:8">
      <c r="B804" s="5"/>
      <c r="H804" s="16"/>
    </row>
    <row r="805" spans="2:8">
      <c r="B805" s="5"/>
      <c r="H805" s="16"/>
    </row>
    <row r="806" spans="2:8">
      <c r="B806" s="5"/>
      <c r="H806" s="16"/>
    </row>
    <row r="807" spans="2:8">
      <c r="B807" s="5"/>
      <c r="H807" s="16"/>
    </row>
    <row r="808" spans="2:8">
      <c r="B808" s="5"/>
      <c r="H808" s="16"/>
    </row>
    <row r="809" spans="2:8">
      <c r="B809" s="5"/>
      <c r="H809" s="16"/>
    </row>
    <row r="810" spans="2:8">
      <c r="B810" s="5"/>
      <c r="H810" s="16"/>
    </row>
    <row r="811" spans="2:8">
      <c r="B811" s="5"/>
      <c r="H811" s="16"/>
    </row>
    <row r="812" spans="2:8">
      <c r="B812" s="5"/>
      <c r="H812" s="16"/>
    </row>
    <row r="813" spans="2:8">
      <c r="B813" s="5"/>
      <c r="H813" s="16"/>
    </row>
    <row r="814" spans="2:8">
      <c r="B814" s="5"/>
      <c r="H814" s="16"/>
    </row>
    <row r="815" spans="2:8">
      <c r="B815" s="5"/>
      <c r="H815" s="16"/>
    </row>
    <row r="816" spans="2:8">
      <c r="B816" s="5"/>
      <c r="H816" s="16"/>
    </row>
    <row r="817" spans="2:8">
      <c r="B817" s="5"/>
      <c r="H817" s="16"/>
    </row>
    <row r="818" spans="2:8">
      <c r="B818" s="5"/>
      <c r="H818" s="16"/>
    </row>
    <row r="819" spans="2:8">
      <c r="B819" s="5"/>
      <c r="H819" s="16"/>
    </row>
    <row r="820" spans="2:8">
      <c r="B820" s="5"/>
      <c r="H820" s="16"/>
    </row>
    <row r="821" spans="2:8">
      <c r="B821" s="5"/>
      <c r="H821" s="16"/>
    </row>
    <row r="822" spans="2:8">
      <c r="B822" s="5"/>
      <c r="H822" s="16"/>
    </row>
    <row r="823" spans="2:8">
      <c r="B823" s="5"/>
      <c r="H823" s="16"/>
    </row>
    <row r="824" spans="2:8">
      <c r="B824" s="5"/>
      <c r="H824" s="16"/>
    </row>
    <row r="825" spans="2:8">
      <c r="B825" s="5"/>
      <c r="H825" s="16"/>
    </row>
    <row r="826" spans="2:8">
      <c r="B826" s="5"/>
      <c r="H826" s="16"/>
    </row>
    <row r="827" spans="2:8">
      <c r="B827" s="5"/>
      <c r="H827" s="16"/>
    </row>
    <row r="828" spans="2:8">
      <c r="B828" s="5"/>
      <c r="H828" s="16"/>
    </row>
    <row r="829" spans="2:8">
      <c r="B829" s="5"/>
      <c r="H829" s="16"/>
    </row>
    <row r="830" spans="2:8">
      <c r="B830" s="5"/>
      <c r="H830" s="16"/>
    </row>
    <row r="831" spans="2:8">
      <c r="B831" s="5"/>
      <c r="H831" s="16"/>
    </row>
    <row r="832" spans="2:8">
      <c r="B832" s="5"/>
      <c r="H832" s="16"/>
    </row>
    <row r="833" spans="2:8">
      <c r="B833" s="5"/>
      <c r="H833" s="16"/>
    </row>
    <row r="834" spans="2:8">
      <c r="B834" s="5"/>
      <c r="H834" s="16"/>
    </row>
    <row r="835" spans="2:8">
      <c r="B835" s="5"/>
      <c r="H835" s="16"/>
    </row>
    <row r="836" spans="2:8">
      <c r="B836" s="5"/>
      <c r="H836" s="16"/>
    </row>
    <row r="837" spans="2:8">
      <c r="B837" s="5"/>
      <c r="H837" s="16"/>
    </row>
    <row r="838" spans="2:8">
      <c r="B838" s="5"/>
      <c r="H838" s="16"/>
    </row>
    <row r="839" spans="2:8">
      <c r="B839" s="5"/>
      <c r="H839" s="16"/>
    </row>
    <row r="840" spans="2:8">
      <c r="B840" s="5"/>
      <c r="H840" s="16"/>
    </row>
    <row r="841" spans="2:8">
      <c r="B841" s="5"/>
      <c r="H841" s="16"/>
    </row>
    <row r="842" spans="2:8">
      <c r="B842" s="5"/>
      <c r="H842" s="16"/>
    </row>
    <row r="843" spans="2:8">
      <c r="B843" s="5"/>
      <c r="H843" s="16"/>
    </row>
    <row r="844" spans="2:8">
      <c r="B844" s="5"/>
      <c r="H844" s="16"/>
    </row>
    <row r="845" spans="2:8">
      <c r="B845" s="5"/>
      <c r="H845" s="16"/>
    </row>
    <row r="846" spans="2:8">
      <c r="B846" s="5"/>
      <c r="H846" s="16"/>
    </row>
    <row r="847" spans="2:8">
      <c r="B847" s="5"/>
      <c r="H847" s="16"/>
    </row>
    <row r="848" spans="2:8">
      <c r="B848" s="5"/>
      <c r="H848" s="16"/>
    </row>
    <row r="849" spans="2:8">
      <c r="B849" s="5"/>
      <c r="H849" s="16"/>
    </row>
    <row r="850" spans="2:8">
      <c r="B850" s="5"/>
      <c r="H850" s="16"/>
    </row>
    <row r="851" spans="2:8">
      <c r="B851" s="5"/>
      <c r="H851" s="16"/>
    </row>
    <row r="852" spans="2:8">
      <c r="B852" s="5"/>
      <c r="H852" s="16"/>
    </row>
    <row r="853" spans="2:8">
      <c r="B853" s="5"/>
      <c r="H853" s="16"/>
    </row>
    <row r="854" spans="2:8">
      <c r="B854" s="5"/>
      <c r="H854" s="16"/>
    </row>
    <row r="855" spans="2:8">
      <c r="B855" s="5"/>
      <c r="H855" s="16"/>
    </row>
    <row r="856" spans="2:8">
      <c r="B856" s="5"/>
      <c r="H856" s="16"/>
    </row>
    <row r="857" spans="2:8">
      <c r="B857" s="5"/>
      <c r="H857" s="16"/>
    </row>
    <row r="858" spans="2:8">
      <c r="B858" s="5"/>
      <c r="H858" s="16"/>
    </row>
    <row r="859" spans="2:8">
      <c r="B859" s="5"/>
      <c r="H859" s="16"/>
    </row>
    <row r="860" spans="2:8">
      <c r="B860" s="5"/>
      <c r="H860" s="16"/>
    </row>
    <row r="861" spans="2:8">
      <c r="B861" s="5"/>
      <c r="H861" s="16"/>
    </row>
    <row r="862" spans="2:8">
      <c r="B862" s="5"/>
      <c r="H862" s="16"/>
    </row>
    <row r="863" spans="2:8">
      <c r="B863" s="5"/>
      <c r="H863" s="16"/>
    </row>
    <row r="864" spans="2:8">
      <c r="B864" s="5"/>
      <c r="H864" s="16"/>
    </row>
    <row r="865" spans="2:8">
      <c r="B865" s="5"/>
      <c r="H865" s="16"/>
    </row>
    <row r="866" spans="2:8">
      <c r="B866" s="5"/>
      <c r="H866" s="16"/>
    </row>
    <row r="867" spans="2:8">
      <c r="B867" s="5"/>
      <c r="H867" s="16"/>
    </row>
    <row r="868" spans="2:8">
      <c r="B868" s="5"/>
      <c r="H868" s="16"/>
    </row>
    <row r="869" spans="2:8">
      <c r="B869" s="5"/>
      <c r="H869" s="16"/>
    </row>
    <row r="870" spans="2:8">
      <c r="B870" s="5"/>
      <c r="H870" s="16"/>
    </row>
    <row r="871" spans="2:8">
      <c r="B871" s="5"/>
      <c r="H871" s="16"/>
    </row>
    <row r="872" spans="2:8">
      <c r="B872" s="5"/>
      <c r="H872" s="16"/>
    </row>
    <row r="873" spans="2:8">
      <c r="B873" s="5"/>
      <c r="H873" s="16"/>
    </row>
    <row r="874" spans="2:8">
      <c r="B874" s="5"/>
      <c r="H874" s="16"/>
    </row>
    <row r="875" spans="2:8">
      <c r="B875" s="5"/>
      <c r="H875" s="16"/>
    </row>
    <row r="876" spans="2:8">
      <c r="B876" s="5"/>
      <c r="H876" s="16"/>
    </row>
    <row r="877" spans="2:8">
      <c r="B877" s="5"/>
      <c r="H877" s="16"/>
    </row>
    <row r="878" spans="2:8">
      <c r="B878" s="5"/>
      <c r="H878" s="16"/>
    </row>
    <row r="879" spans="2:8">
      <c r="B879" s="5"/>
      <c r="H879" s="16"/>
    </row>
    <row r="880" spans="2:8">
      <c r="B880" s="5"/>
      <c r="H880" s="16"/>
    </row>
    <row r="881" spans="2:8">
      <c r="B881" s="5"/>
      <c r="H881" s="16"/>
    </row>
    <row r="882" spans="2:8">
      <c r="B882" s="5"/>
      <c r="H882" s="16"/>
    </row>
    <row r="883" spans="2:8">
      <c r="B883" s="5"/>
      <c r="H883" s="16"/>
    </row>
    <row r="884" spans="2:8">
      <c r="B884" s="5"/>
      <c r="H884" s="16"/>
    </row>
    <row r="885" spans="2:8">
      <c r="B885" s="5"/>
      <c r="H885" s="16"/>
    </row>
    <row r="886" spans="2:8">
      <c r="B886" s="5"/>
      <c r="H886" s="16"/>
    </row>
    <row r="887" spans="2:8">
      <c r="B887" s="5"/>
      <c r="H887" s="16"/>
    </row>
    <row r="888" spans="2:8">
      <c r="B888" s="5"/>
      <c r="H888" s="16"/>
    </row>
    <row r="889" spans="2:8">
      <c r="B889" s="5"/>
      <c r="H889" s="16"/>
    </row>
    <row r="890" spans="2:8">
      <c r="B890" s="5"/>
      <c r="H890" s="16"/>
    </row>
    <row r="891" spans="2:8">
      <c r="B891" s="5"/>
      <c r="H891" s="16"/>
    </row>
    <row r="892" spans="2:8">
      <c r="B892" s="5"/>
      <c r="H892" s="16"/>
    </row>
  </sheetData>
  <mergeCells count="27">
    <mergeCell ref="C50:F50"/>
    <mergeCell ref="G50:H50"/>
    <mergeCell ref="C47:F47"/>
    <mergeCell ref="G47:H47"/>
    <mergeCell ref="C48:F48"/>
    <mergeCell ref="G48:H48"/>
    <mergeCell ref="C49:F49"/>
    <mergeCell ref="G49:H49"/>
    <mergeCell ref="C44:F44"/>
    <mergeCell ref="G44:H44"/>
    <mergeCell ref="C45:F45"/>
    <mergeCell ref="G45:H45"/>
    <mergeCell ref="C46:F46"/>
    <mergeCell ref="G46:H46"/>
    <mergeCell ref="C43:F43"/>
    <mergeCell ref="G43:H43"/>
    <mergeCell ref="A4:H4"/>
    <mergeCell ref="A10:F10"/>
    <mergeCell ref="A17:F17"/>
    <mergeCell ref="A23:F23"/>
    <mergeCell ref="A29:F29"/>
    <mergeCell ref="A35:F35"/>
    <mergeCell ref="A38:F38"/>
    <mergeCell ref="C41:F41"/>
    <mergeCell ref="G41:H41"/>
    <mergeCell ref="C42:F42"/>
    <mergeCell ref="G42:H42"/>
  </mergeCells>
  <phoneticPr fontId="24" type="noConversion"/>
  <dataValidations count="1">
    <dataValidation type="list" allowBlank="1" showInputMessage="1" showErrorMessage="1" sqref="B42:B48" xr:uid="{F7BE2FA8-FD1E-432E-A348-9F980143630C}">
      <formula1>$L$41:$L$45</formula1>
    </dataValidation>
  </dataValidations>
  <pageMargins left="0.7" right="0.7" top="0.75" bottom="0.75" header="0.3" footer="0.3"/>
  <pageSetup scale="52"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D2D1D-D58F-4A16-B6DE-68894A144C20}">
  <dimension ref="A1"/>
  <sheetViews>
    <sheetView workbookViewId="0"/>
  </sheetViews>
  <sheetFormatPr defaultRowHeight="15.7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949516d-192a-41da-bf88-694d9a195ed2" xsi:nil="true"/>
    <lcf76f155ced4ddcb4097134ff3c332f xmlns="1c27e10e-30a6-4ec3-bcd8-086560d121f1">
      <Terms xmlns="http://schemas.microsoft.com/office/infopath/2007/PartnerControls"/>
    </lcf76f155ced4ddcb4097134ff3c332f>
    <Organized xmlns="1c27e10e-30a6-4ec3-bcd8-086560d121f1" xsi:nil="true"/>
    <Organization xmlns="1c27e10e-30a6-4ec3-bcd8-086560d121f1" xsi:nil="true"/>
    <_Flow_SignoffStatus xmlns="1c27e10e-30a6-4ec3-bcd8-086560d121f1" xsi:nil="true"/>
    <CLEANFILE xmlns="1c27e10e-30a6-4ec3-bcd8-086560d121f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B46E9E6FAF134AB97B19AB9D2158D0" ma:contentTypeVersion="19" ma:contentTypeDescription="Create a new document." ma:contentTypeScope="" ma:versionID="833b2e020c3ced72fb86bb38caa3c821">
  <xsd:schema xmlns:xsd="http://www.w3.org/2001/XMLSchema" xmlns:xs="http://www.w3.org/2001/XMLSchema" xmlns:p="http://schemas.microsoft.com/office/2006/metadata/properties" xmlns:ns2="1c27e10e-30a6-4ec3-bcd8-086560d121f1" xmlns:ns3="3949516d-192a-41da-bf88-694d9a195ed2" targetNamespace="http://schemas.microsoft.com/office/2006/metadata/properties" ma:root="true" ma:fieldsID="06ffe600ce803a5187ff8e9e350c2117" ns2:_="" ns3:_="">
    <xsd:import namespace="1c27e10e-30a6-4ec3-bcd8-086560d121f1"/>
    <xsd:import namespace="3949516d-192a-41da-bf88-694d9a195e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Organized" minOccurs="0"/>
                <xsd:element ref="ns2:Organization" minOccurs="0"/>
                <xsd:element ref="ns2:MediaServiceLocation" minOccurs="0"/>
                <xsd:element ref="ns2:MediaLengthInSeconds" minOccurs="0"/>
                <xsd:element ref="ns2:_Flow_SignoffStatus" minOccurs="0"/>
                <xsd:element ref="ns2:CLEANFIL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27e10e-30a6-4ec3-bcd8-086560d121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3cbf3ef5-13ed-4112-981c-6220f7b68e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Organized" ma:index="21" nillable="true" ma:displayName="Organized " ma:format="Dropdown" ma:internalName="Organized">
      <xsd:simpleType>
        <xsd:restriction base="dms:Text">
          <xsd:maxLength value="255"/>
        </xsd:restriction>
      </xsd:simpleType>
    </xsd:element>
    <xsd:element name="Organization" ma:index="22" nillable="true" ma:displayName="Organization" ma:format="Dropdown" ma:internalName="Organization">
      <xsd:simpleType>
        <xsd:restriction base="dms:Choice">
          <xsd:enumeration value="Organized"/>
          <xsd:enumeration value="Not organized"/>
          <xsd:enumeration value="Choice 3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5" nillable="true" ma:displayName="Sign-off status" ma:internalName="_x0024_Resources_x003a_core_x002c_Signoff_Status">
      <xsd:simpleType>
        <xsd:restriction base="dms:Text"/>
      </xsd:simpleType>
    </xsd:element>
    <xsd:element name="CLEANFILE" ma:index="26" nillable="true" ma:displayName="CLEAN FILE " ma:description="The file has been gone through, clean up, reorganized, duplicate files deleted, old files put in archive " ma:format="Dropdown" ma:internalName="CLEANFILE">
      <xsd:simpleType>
        <xsd:union memberTypes="dms:Text">
          <xsd:simpleType>
            <xsd:restriction base="dms:Choice">
              <xsd:enumeration value="yes"/>
              <xsd:enumeration value="Choice 2"/>
              <xsd:enumeration value="Choice 3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9516d-192a-41da-bf88-694d9a195ed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68dd303-45ab-4f64-9d6b-b61fe7d872d5}" ma:internalName="TaxCatchAll" ma:showField="CatchAllData" ma:web="3949516d-192a-41da-bf88-694d9a195e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95BDB55-C998-4DC4-B0B2-8F03011DD12C}"/>
</file>

<file path=customXml/itemProps2.xml><?xml version="1.0" encoding="utf-8"?>
<ds:datastoreItem xmlns:ds="http://schemas.openxmlformats.org/officeDocument/2006/customXml" ds:itemID="{C940B067-4642-444E-8C0E-F54B8D2D575C}"/>
</file>

<file path=customXml/itemProps3.xml><?xml version="1.0" encoding="utf-8"?>
<ds:datastoreItem xmlns:ds="http://schemas.openxmlformats.org/officeDocument/2006/customXml" ds:itemID="{7828C2BC-2CEB-49CC-8BFE-3A73A3E105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Marquardt, Brenda M</dc:creator>
  <cp:keywords/>
  <dc:description/>
  <cp:lastModifiedBy/>
  <cp:revision/>
  <dcterms:created xsi:type="dcterms:W3CDTF">2018-04-17T17:32:05Z</dcterms:created>
  <dcterms:modified xsi:type="dcterms:W3CDTF">2026-04-03T14:39:10Z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0x0101000CB46E9E6FAF134AB97B19AB9D2158D0</vt:lpwstr>
  </property>
  <property fmtid="{D5CDD505-2E9C-101B-9397-08002B2CF9AE}" pid="3" name="Order">
    <vt:r8>14000</vt:r8>
  </property>
  <property fmtid="{D5CDD505-2E9C-101B-9397-08002B2CF9AE}" pid="4" name="MediaServiceImageTags">
    <vt:lpwstr/>
  </property>
</Properties>
</file>